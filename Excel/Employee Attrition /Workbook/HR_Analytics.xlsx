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https://capgemini-my.sharepoint.com/personal/kalla_priyanka_capgemini_com/Documents/Desktop/Excel projects/"/>
    </mc:Choice>
  </mc:AlternateContent>
  <xr:revisionPtr revIDLastSave="1067" documentId="8_{BFA7C010-D009-489D-88CA-544D3AE941E7}" xr6:coauthVersionLast="47" xr6:coauthVersionMax="47" xr10:uidLastSave="{3D66A790-6440-444A-BDE5-2C81621385EC}"/>
  <bookViews>
    <workbookView xWindow="-104" yWindow="-104" windowWidth="22326" windowHeight="11947" firstSheet="1" activeTab="4" xr2:uid="{66B0FED2-2DB9-41CB-AEB9-4652C16EFC21}"/>
  </bookViews>
  <sheets>
    <sheet name="Raw Data" sheetId="4" state="hidden" r:id="rId1"/>
    <sheet name="Clean Data" sheetId="2" r:id="rId2"/>
    <sheet name="Metrics" sheetId="3" r:id="rId3"/>
    <sheet name="Pivots" sheetId="9" r:id="rId4"/>
    <sheet name="DashBoard" sheetId="8" r:id="rId5"/>
  </sheets>
  <definedNames>
    <definedName name="ExternalData_1" localSheetId="1" hidden="1">'Clean Data'!$A$1:$AF$1471</definedName>
    <definedName name="ExternalData_1" localSheetId="0" hidden="1">'Raw Data'!$A$1:$AI$1471</definedName>
    <definedName name="Slicer_Department">#N/A</definedName>
    <definedName name="Slicer_Gender">#N/A</definedName>
    <definedName name="Slicer_JobRole">#N/A</definedName>
    <definedName name="Slicer_OverTime">#N/A</definedName>
    <definedName name="Total_Employees" localSheetId="2">DashBoard!B1048575</definedName>
  </definedNames>
  <calcPr calcId="191029"/>
  <pivotCaches>
    <pivotCache cacheId="144"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3" l="1"/>
  <c r="B7" i="3"/>
  <c r="B4" i="3"/>
  <c r="B5" i="3"/>
  <c r="B3" i="3"/>
  <c r="B2" i="3"/>
  <c r="B6"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B037A4-CC4F-4173-AC5A-A4F86A101029}" keepAlive="1" name="Query - HR-Employee-Attrition" description="Connection to the 'HR-Employee-Attrition' query in the workbook." type="5" refreshedVersion="8" background="1" saveData="1">
    <dbPr connection="Provider=Microsoft.Mashup.OleDb.1;Data Source=$Workbook$;Location=HR-Employee-Attrition;Extended Properties=&quot;&quot;" command="SELECT * FROM [HR-Employee-Attrition]"/>
  </connection>
  <connection id="2" xr16:uid="{49D923A3-4C15-4955-AD64-5E32474E9F43}" keepAlive="1" name="Query - HR-Employee-Attrition (2)" description="Connection to the 'HR-Employee-Attrition (2)' query in the workbook." type="5" refreshedVersion="8" background="1" saveData="1">
    <dbPr connection="Provider=Microsoft.Mashup.OleDb.1;Data Source=$Workbook$;Location=&quot;HR-Employee-Attrition (2)&quot;;Extended Properties=&quot;&quot;" command="SELECT * FROM [HR-Employee-Attrition (2)]"/>
  </connection>
</connections>
</file>

<file path=xl/sharedStrings.xml><?xml version="1.0" encoding="utf-8"?>
<sst xmlns="http://schemas.openxmlformats.org/spreadsheetml/2006/main" count="30991" uniqueCount="93">
  <si>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</si>
  <si>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</si>
  <si>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</si>
  <si>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</si>
  <si>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</si>
  <si>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</si>
  <si>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</si>
  <si>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</si>
  <si>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</si>
  <si>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</si>
  <si>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</si>
  <si>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</si>
  <si>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</si>
  <si>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</si>
  <si>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</si>
  <si>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</si>
  <si>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</si>
  <si>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</si>
  <si>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</si>
  <si>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</si>
  <si>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</si>
  <si>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</si>
  <si>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</si>
  <si>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</si>
  <si>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</si>
  <si>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</si>
  <si>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</si>
  <si>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</si>
  <si>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</si>
  <si>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</si>
  <si>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</si>
  <si>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</si>
  <si>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</si>
  <si>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</si>
  <si>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</si>
  <si>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</si>
  <si>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</si>
  <si>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</si>
  <si>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</si>
  <si>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</si>
  <si>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</si>
  <si>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</si>
  <si>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</si>
  <si>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</si>
  <si>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</si>
  <si>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</si>
  <si>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</si>
  <si>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</si>
  <si>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</si>
  <si>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</si>
  <si>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</si>
  <si>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</si>
  <si>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</si>
  <si>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</si>
  <si>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</si>
  <si>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</si>
  <si>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</si>
  <si>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</si>
  <si>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</si>
  <si>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</si>
  <si>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</si>
  <si>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</si>
  <si>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TenureBand</t>
  </si>
  <si>
    <t>Age Band</t>
  </si>
  <si>
    <t>Attrition Flag</t>
  </si>
  <si>
    <t>5+</t>
  </si>
  <si>
    <t>&lt;1</t>
  </si>
  <si>
    <t>1-3</t>
  </si>
  <si>
    <t>3-5</t>
  </si>
  <si>
    <t>50+</t>
  </si>
  <si>
    <t>40–49</t>
  </si>
  <si>
    <t>30–39</t>
  </si>
  <si>
    <t>&lt;30</t>
  </si>
  <si>
    <t>Total Attrition</t>
  </si>
  <si>
    <t>Attrition %</t>
  </si>
  <si>
    <t xml:space="preserve">Total Employees </t>
  </si>
  <si>
    <t>Metrics</t>
  </si>
  <si>
    <t>Values</t>
  </si>
  <si>
    <t>Average Tenure(All Employees)</t>
  </si>
  <si>
    <t>Average  Tenure(leavers)</t>
  </si>
  <si>
    <t>Early Tenure Attrition %</t>
  </si>
  <si>
    <t>Job Satisfication Band</t>
  </si>
  <si>
    <t>High</t>
  </si>
  <si>
    <t>Low</t>
  </si>
  <si>
    <t>Medium</t>
  </si>
  <si>
    <t>High Risk Employee Count</t>
  </si>
  <si>
    <t>Average of Attrition Flag</t>
  </si>
  <si>
    <t>Grand Total</t>
  </si>
  <si>
    <t>Tenure Band</t>
  </si>
  <si>
    <t>High Risk Score</t>
  </si>
  <si>
    <t>Risk Level</t>
  </si>
  <si>
    <t>JobSatisficationBand</t>
  </si>
  <si>
    <t>JobSatisfication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</si>
</sst>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2" fontId="0" fillId="0" borderId="0" xfId="0" applyNumberFormat="1"/>
    <xf numFmtId="10" fontId="0" fillId="0" borderId="0" xfId="1" applyNumberFormat="1" applyFont="1"/>
    <xf numFmtId="0" fontId="0" fillId="0" borderId="0" xfId="0" applyNumberFormat="1"/>
    <xf numFmtId="9" fontId="0" fillId="0" borderId="0" xfId="0" applyNumberFormat="1"/>
    <xf numFmtId="0" fontId="0" fillId="0" borderId="0" xfId="0" pivotButton="1"/>
    <xf numFmtId="0" fontId="0" fillId="0" borderId="0" xfId="0" applyAlignment="1">
      <alignment horizontal="left"/>
    </xf>
  </cellXfs>
  <cellStyles count="2">
    <cellStyle name="Normal" xfId="0" builtinId="0"/>
    <cellStyle name="Percent" xfId="1" builtinId="5"/>
  </cellStyles>
  <dxfs count="4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[HR_Analytics.xlsx]Pivots!PivotTable10</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900" b="1">
                <a:solidFill>
                  <a:schemeClr val="tx2"/>
                </a:solidFill>
              </a:rPr>
              <a:t>Department</a:t>
            </a:r>
            <a:r>
              <a:rPr lang="en-US" sz="900" b="1" baseline="0">
                <a:solidFill>
                  <a:schemeClr val="tx2"/>
                </a:solidFill>
              </a:rPr>
              <a:t> By Attrition</a:t>
            </a:r>
            <a:endParaRPr lang="en-US" sz="900" b="1">
              <a:solidFill>
                <a:schemeClr val="tx2"/>
              </a:solidFill>
            </a:endParaRPr>
          </a:p>
        </c:rich>
      </c:tx>
      <c:layout>
        <c:manualLayout>
          <c:xMode val="edge"/>
          <c:yMode val="edge"/>
          <c:x val="0.54903809837977902"/>
          <c:y val="9.685342589938091E-2"/>
        </c:manualLayout>
      </c:layout>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Pivots!$A$2:$A$5</c:f>
              <c:strCache>
                <c:ptCount val="3"/>
                <c:pt idx="0">
                  <c:v>Human Resources</c:v>
                </c:pt>
                <c:pt idx="1">
                  <c:v>Research &amp; Development</c:v>
                </c:pt>
                <c:pt idx="2">
                  <c:v>Sales</c:v>
                </c:pt>
              </c:strCache>
            </c:strRef>
          </c:cat>
          <c:val>
            <c:numRef>
              <c:f>Pivots!$B$2:$B$5</c:f>
              <c:numCache>
                <c:formatCode>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BBCB-449F-8A8F-28009A6A63D2}"/>
            </c:ext>
          </c:extLst>
        </c:ser>
        <c:dLbls>
          <c:dLblPos val="inEnd"/>
          <c:showLegendKey val="0"/>
          <c:showVal val="1"/>
          <c:showCatName val="0"/>
          <c:showSerName val="0"/>
          <c:showPercent val="0"/>
          <c:showBubbleSize val="0"/>
        </c:dLbls>
        <c:gapWidth val="115"/>
        <c:overlap val="-20"/>
        <c:axId val="1858987792"/>
        <c:axId val="1858988752"/>
      </c:barChart>
      <c:catAx>
        <c:axId val="18589877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858988752"/>
        <c:crosses val="autoZero"/>
        <c:auto val="1"/>
        <c:lblAlgn val="ctr"/>
        <c:lblOffset val="100"/>
        <c:noMultiLvlLbl val="0"/>
      </c:catAx>
      <c:valAx>
        <c:axId val="1858988752"/>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accent1">
                    <a:lumMod val="75000"/>
                  </a:schemeClr>
                </a:solidFill>
                <a:latin typeface="+mn-lt"/>
                <a:ea typeface="+mn-ea"/>
                <a:cs typeface="+mn-cs"/>
              </a:defRPr>
            </a:pPr>
            <a:endParaRPr lang="en-US"/>
          </a:p>
        </c:txPr>
        <c:crossAx val="1858987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[HR_Analytics.xlsx]Pivots!PivotTable11</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200"/>
              <a:t>JobRole by Attrition</a:t>
            </a:r>
          </a:p>
        </c:rich>
      </c:tx>
      <c:layout>
        <c:manualLayout>
          <c:xMode val="edge"/>
          <c:yMode val="edge"/>
          <c:x val="0.32959375203357844"/>
          <c:y val="0.8807544205000690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57923635062145"/>
          <c:y val="0.11905176891951007"/>
          <c:w val="0.86514019489815841"/>
          <c:h val="0.46794961176727912"/>
        </c:manualLayout>
      </c:layout>
      <c:barChart>
        <c:barDir val="col"/>
        <c:grouping val="clustered"/>
        <c:varyColors val="0"/>
        <c:ser>
          <c:idx val="0"/>
          <c:order val="0"/>
          <c:tx>
            <c:strRef>
              <c:f>Pivots!$B$7</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Pivots!$A$8:$A$17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Pivots!$B$8:$B$17</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2997-4D1F-9BE3-712FEF674FDC}"/>
            </c:ext>
          </c:extLst>
        </c:ser>
        <c:dLbls>
          <c:dLblPos val="outEnd"/>
          <c:showLegendKey val="0"/>
          <c:showVal val="1"/>
          <c:showCatName val="0"/>
          <c:showSerName val="0"/>
          <c:showPercent val="0"/>
          <c:showBubbleSize val="0"/>
        </c:dLbls>
        <c:gapWidth val="100"/>
        <c:overlap val="-24"/>
        <c:axId val="1905254272"/>
        <c:axId val="1905262432"/>
      </c:barChart>
      <c:catAx>
        <c:axId val="1905254272"/>
        <c:scaling>
          <c:orientation val="minMax"/>
        </c:scaling>
        <c:delete val="0"/>
        <c:axPos val="b"/>
        <c:numFmt formatCode="General" sourceLinked="1"/>
        <c:majorTickMark val="none"/>
        <c:minorTickMark val="none"/>
        <c:tickLblPos val="nextTo"/>
        <c:spPr>
          <a:solidFill>
            <a:schemeClr val="tx2">
              <a:lumMod val="10000"/>
              <a:lumOff val="90000"/>
            </a:schemeClr>
          </a:solidFill>
          <a:ln w="12700" cap="flat" cmpd="sng" algn="ctr">
            <a:solidFill>
              <a:schemeClr val="lt1">
                <a:lumMod val="95000"/>
                <a:alpha val="54000"/>
              </a:schemeClr>
            </a:solidFill>
            <a:round/>
          </a:ln>
          <a:effectLst/>
        </c:spPr>
        <c:txPr>
          <a:bodyPr rot="-2700000" spcFirstLastPara="1" vertOverflow="ellipsis" wrap="square" anchor="ctr" anchorCtr="1"/>
          <a:lstStyle/>
          <a:p>
            <a:pPr>
              <a:defRPr sz="700" b="0" i="0" u="none" strike="noStrike" kern="1200" baseline="0">
                <a:solidFill>
                  <a:schemeClr val="tx1"/>
                </a:solidFill>
                <a:latin typeface="+mn-lt"/>
                <a:ea typeface="+mn-ea"/>
                <a:cs typeface="+mn-cs"/>
              </a:defRPr>
            </a:pPr>
            <a:endParaRPr lang="en-US"/>
          </a:p>
        </c:txPr>
        <c:crossAx val="1905262432"/>
        <c:crosses val="autoZero"/>
        <c:auto val="1"/>
        <c:lblAlgn val="ctr"/>
        <c:lblOffset val="100"/>
        <c:noMultiLvlLbl val="0"/>
      </c:catAx>
      <c:valAx>
        <c:axId val="1905262432"/>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525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[HR_Analytics.xlsx]Pivots!PivotTable12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900" b="1">
                <a:solidFill>
                  <a:schemeClr val="tx2"/>
                </a:solidFill>
              </a:rPr>
              <a:t>Tenure</a:t>
            </a:r>
            <a:r>
              <a:rPr lang="en-IN" sz="900" b="1" baseline="0">
                <a:solidFill>
                  <a:schemeClr val="tx2"/>
                </a:solidFill>
              </a:rPr>
              <a:t> Band By Attrition</a:t>
            </a:r>
            <a:endParaRPr lang="en-IN" sz="900" b="1">
              <a:solidFill>
                <a:schemeClr val="tx2"/>
              </a:solidFill>
            </a:endParaRPr>
          </a:p>
        </c:rich>
      </c:tx>
      <c:layout>
        <c:manualLayout>
          <c:xMode val="edge"/>
          <c:yMode val="edge"/>
          <c:x val="0.51416008086305376"/>
          <c:y val="6.01667184694018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18203595414545"/>
          <c:y val="0.20397866590689323"/>
          <c:w val="0.55512142726184965"/>
          <c:h val="0.63759022309711288"/>
        </c:manualLayout>
      </c:layout>
      <c:barChart>
        <c:barDir val="bar"/>
        <c:grouping val="clustered"/>
        <c:varyColors val="0"/>
        <c:ser>
          <c:idx val="0"/>
          <c:order val="0"/>
          <c:tx>
            <c:strRef>
              <c:f>Pivots!$E$1</c:f>
              <c:strCache>
                <c:ptCount val="1"/>
                <c:pt idx="0">
                  <c:v>Total</c:v>
                </c:pt>
              </c:strCache>
            </c:strRef>
          </c:tx>
          <c:spPr>
            <a:solidFill>
              <a:schemeClr val="accent1">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Pivots!$D$2:$D$6</c:f>
              <c:strCache>
                <c:ptCount val="4"/>
                <c:pt idx="0">
                  <c:v>&lt;1</c:v>
                </c:pt>
                <c:pt idx="1">
                  <c:v>1-3</c:v>
                </c:pt>
                <c:pt idx="2">
                  <c:v>3-5</c:v>
                </c:pt>
                <c:pt idx="3">
                  <c:v>5+</c:v>
                </c:pt>
              </c:strCache>
            </c:strRef>
          </c:cat>
          <c:val>
            <c:numRef>
              <c:f>Pivots!$E$2:$E$6</c:f>
              <c:numCache>
                <c:formatCode>0%</c:formatCode>
                <c:ptCount val="4"/>
                <c:pt idx="0">
                  <c:v>0.36363636363636365</c:v>
                </c:pt>
                <c:pt idx="1">
                  <c:v>0.24882629107981222</c:v>
                </c:pt>
                <c:pt idx="2">
                  <c:v>0.13071895424836602</c:v>
                </c:pt>
                <c:pt idx="3">
                  <c:v>0.10806916426512968</c:v>
                </c:pt>
              </c:numCache>
            </c:numRef>
          </c:val>
          <c:extLst>
            <c:ext xmlns:c16="http://schemas.microsoft.com/office/drawing/2014/chart" uri="{C3380CC4-5D6E-409C-BE32-E72D297353CC}">
              <c16:uniqueId val="{00000000-A9BB-4920-B14A-FF96F36EA583}"/>
            </c:ext>
          </c:extLst>
        </c:ser>
        <c:dLbls>
          <c:dLblPos val="inEnd"/>
          <c:showLegendKey val="0"/>
          <c:showVal val="1"/>
          <c:showCatName val="0"/>
          <c:showSerName val="0"/>
          <c:showPercent val="0"/>
          <c:showBubbleSize val="0"/>
        </c:dLbls>
        <c:gapWidth val="115"/>
        <c:overlap val="-20"/>
        <c:axId val="1858533552"/>
        <c:axId val="1858530672"/>
      </c:barChart>
      <c:catAx>
        <c:axId val="18585335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8530672"/>
        <c:crosses val="autoZero"/>
        <c:auto val="1"/>
        <c:lblAlgn val="ctr"/>
        <c:lblOffset val="100"/>
        <c:noMultiLvlLbl val="0"/>
      </c:catAx>
      <c:valAx>
        <c:axId val="185853067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853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[HR_Analytics.xlsx]Pivots!PivotTable13</c:name>
    <c:fmtId val="5"/>
  </c:pivotSource>
  <c:chart>
    <c:title>
      <c:tx>
        <c:rich>
          <a:bodyPr rot="0" spcFirstLastPara="1" vertOverflow="ellipsis" vert="horz" wrap="square" anchor="ctr" anchorCtr="1"/>
          <a:lstStyle/>
          <a:p>
            <a:pPr>
              <a:defRPr sz="9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900">
                <a:solidFill>
                  <a:schemeClr val="tx2"/>
                </a:solidFill>
              </a:rPr>
              <a:t>Over Time By Attrition</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Pivots!$D$9:$D$11</c:f>
              <c:strCache>
                <c:ptCount val="2"/>
                <c:pt idx="0">
                  <c:v>No</c:v>
                </c:pt>
                <c:pt idx="1">
                  <c:v>Yes</c:v>
                </c:pt>
              </c:strCache>
            </c:strRef>
          </c:cat>
          <c:val>
            <c:numRef>
              <c:f>Pivots!$E$9:$E$11</c:f>
              <c:numCache>
                <c:formatCode>0%</c:formatCode>
                <c:ptCount val="2"/>
                <c:pt idx="0">
                  <c:v>0.10436432637571158</c:v>
                </c:pt>
                <c:pt idx="1">
                  <c:v>0.30528846153846156</c:v>
                </c:pt>
              </c:numCache>
            </c:numRef>
          </c:val>
          <c:extLst>
            <c:ext xmlns:c16="http://schemas.microsoft.com/office/drawing/2014/chart" uri="{C3380CC4-5D6E-409C-BE32-E72D297353CC}">
              <c16:uniqueId val="{00000000-49F3-444A-8934-E89AEFF1C283}"/>
            </c:ext>
          </c:extLst>
        </c:ser>
        <c:dLbls>
          <c:showLegendKey val="0"/>
          <c:showVal val="0"/>
          <c:showCatName val="0"/>
          <c:showSerName val="0"/>
          <c:showPercent val="0"/>
          <c:showBubbleSize val="0"/>
        </c:dLbls>
        <c:gapWidth val="100"/>
        <c:overlap val="-24"/>
        <c:axId val="1716253295"/>
        <c:axId val="1716252815"/>
      </c:barChart>
      <c:catAx>
        <c:axId val="17162532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16252815"/>
        <c:crosses val="autoZero"/>
        <c:auto val="1"/>
        <c:lblAlgn val="ctr"/>
        <c:lblOffset val="100"/>
        <c:noMultiLvlLbl val="0"/>
      </c:catAx>
      <c:valAx>
        <c:axId val="171625281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71625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[HR_Analytics.xlsx]Pivots!PivotTable14</c:name>
    <c:fmtId val="5"/>
  </c:pivotSource>
  <c:chart>
    <c:title>
      <c:tx>
        <c:rich>
          <a:bodyPr rot="0" spcFirstLastPara="1" vertOverflow="ellipsis" vert="horz" wrap="square" anchor="ctr" anchorCtr="1"/>
          <a:lstStyle/>
          <a:p>
            <a:pPr>
              <a:defRPr sz="10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1000">
                <a:solidFill>
                  <a:schemeClr val="tx2"/>
                </a:solidFill>
              </a:rPr>
              <a:t>JobSatisficationBand By Attrition</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Pivots!$D$14:$D$17</c:f>
              <c:strCache>
                <c:ptCount val="3"/>
                <c:pt idx="0">
                  <c:v>High</c:v>
                </c:pt>
                <c:pt idx="1">
                  <c:v>Low</c:v>
                </c:pt>
                <c:pt idx="2">
                  <c:v>Medium</c:v>
                </c:pt>
              </c:strCache>
            </c:strRef>
          </c:cat>
          <c:val>
            <c:numRef>
              <c:f>Pivots!$E$14:$E$17</c:f>
              <c:numCache>
                <c:formatCode>0%</c:formatCode>
                <c:ptCount val="3"/>
                <c:pt idx="0">
                  <c:v>0.11328976034858387</c:v>
                </c:pt>
                <c:pt idx="1">
                  <c:v>0.19683655536028119</c:v>
                </c:pt>
                <c:pt idx="2">
                  <c:v>0.16515837104072398</c:v>
                </c:pt>
              </c:numCache>
            </c:numRef>
          </c:val>
          <c:extLst>
            <c:ext xmlns:c16="http://schemas.microsoft.com/office/drawing/2014/chart" uri="{C3380CC4-5D6E-409C-BE32-E72D297353CC}">
              <c16:uniqueId val="{00000000-CEE1-4E74-8B2C-F278E8A72AA0}"/>
            </c:ext>
          </c:extLst>
        </c:ser>
        <c:dLbls>
          <c:dLblPos val="inEnd"/>
          <c:showLegendKey val="0"/>
          <c:showVal val="1"/>
          <c:showCatName val="0"/>
          <c:showSerName val="0"/>
          <c:showPercent val="0"/>
          <c:showBubbleSize val="0"/>
        </c:dLbls>
        <c:gapWidth val="115"/>
        <c:overlap val="-20"/>
        <c:axId val="1916941504"/>
        <c:axId val="1916955424"/>
      </c:barChart>
      <c:catAx>
        <c:axId val="1916941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6955424"/>
        <c:crosses val="autoZero"/>
        <c:auto val="1"/>
        <c:lblAlgn val="ctr"/>
        <c:lblOffset val="100"/>
        <c:noMultiLvlLbl val="0"/>
      </c:catAx>
      <c:valAx>
        <c:axId val="191695542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694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535637</xdr:colOff>
      <xdr:row>3</xdr:row>
      <xdr:rowOff>1626</xdr:rowOff>
    </xdr:from>
    <xdr:to>
      <xdr:col>7</xdr:col>
      <xdr:colOff>16256</xdr:colOff>
      <xdr:row>7</xdr:row>
      <xdr:rowOff>64211</xdr:rowOff>
    </xdr:to>
    <xdr:sp macro="" textlink="Metrics!B6">
      <xdr:nvSpPr>
        <xdr:cNvPr id="7" name="TextBox 6">
          <a:extLst>
            <a:ext uri="{FF2B5EF4-FFF2-40B4-BE49-F238E27FC236}">
              <a16:creationId xmlns:a16="http://schemas.microsoft.com/office/drawing/2014/main" id="{973E1062-08D9-4430-ABC8-1D0A740DCDAC}"/>
            </a:ext>
          </a:extLst>
        </xdr:cNvPr>
        <xdr:cNvSpPr txBox="1"/>
      </xdr:nvSpPr>
      <xdr:spPr>
        <a:xfrm>
          <a:off x="3104085" y="562458"/>
          <a:ext cx="1406955" cy="81036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85CAC5-D5F2-40AB-8882-128841290C71}" type="TxLink">
            <a:rPr lang="en-US" sz="2000" b="0" i="0" u="none" strike="noStrike">
              <a:solidFill>
                <a:srgbClr val="000000"/>
              </a:solidFill>
              <a:latin typeface="Arial Black" panose="020B0A04020102020204" pitchFamily="34" charset="0"/>
            </a:rPr>
            <a:t>16.12%</a:t>
          </a:fld>
          <a:endParaRPr lang="en-IN" sz="2000">
            <a:latin typeface="Arial Black" panose="020B0A04020102020204" pitchFamily="34" charset="0"/>
          </a:endParaRPr>
        </a:p>
      </xdr:txBody>
    </xdr:sp>
    <xdr:clientData/>
  </xdr:twoCellAnchor>
  <xdr:twoCellAnchor>
    <xdr:from>
      <xdr:col>4</xdr:col>
      <xdr:colOff>535637</xdr:colOff>
      <xdr:row>6</xdr:row>
      <xdr:rowOff>21538</xdr:rowOff>
    </xdr:from>
    <xdr:to>
      <xdr:col>7</xdr:col>
      <xdr:colOff>16256</xdr:colOff>
      <xdr:row>7</xdr:row>
      <xdr:rowOff>56897</xdr:rowOff>
    </xdr:to>
    <xdr:sp macro="" textlink="">
      <xdr:nvSpPr>
        <xdr:cNvPr id="8" name="TextBox 7">
          <a:extLst>
            <a:ext uri="{FF2B5EF4-FFF2-40B4-BE49-F238E27FC236}">
              <a16:creationId xmlns:a16="http://schemas.microsoft.com/office/drawing/2014/main" id="{1BC44809-0564-401A-AC7B-D993BBA656CA}"/>
            </a:ext>
          </a:extLst>
        </xdr:cNvPr>
        <xdr:cNvSpPr txBox="1"/>
      </xdr:nvSpPr>
      <xdr:spPr>
        <a:xfrm>
          <a:off x="3104085" y="1143202"/>
          <a:ext cx="1406955" cy="222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a:solidFill>
                <a:schemeClr val="dk1"/>
              </a:solidFill>
              <a:effectLst/>
              <a:latin typeface="Arial Black" panose="020B0A04020102020204" pitchFamily="34" charset="0"/>
              <a:ea typeface="+mn-ea"/>
              <a:cs typeface="+mn-cs"/>
            </a:rPr>
            <a:t>Attrition </a:t>
          </a:r>
          <a:endParaRPr lang="en-IN" sz="900">
            <a:effectLst/>
            <a:latin typeface="Arial Black" panose="020B0A04020102020204" pitchFamily="34" charset="0"/>
          </a:endParaRPr>
        </a:p>
      </xdr:txBody>
    </xdr:sp>
    <xdr:clientData/>
  </xdr:twoCellAnchor>
  <xdr:twoCellAnchor>
    <xdr:from>
      <xdr:col>2</xdr:col>
      <xdr:colOff>306834</xdr:colOff>
      <xdr:row>3</xdr:row>
      <xdr:rowOff>6097</xdr:rowOff>
    </xdr:from>
    <xdr:to>
      <xdr:col>4</xdr:col>
      <xdr:colOff>431191</xdr:colOff>
      <xdr:row>7</xdr:row>
      <xdr:rowOff>64618</xdr:rowOff>
    </xdr:to>
    <xdr:sp macro="" textlink="Metrics!B8">
      <xdr:nvSpPr>
        <xdr:cNvPr id="9" name="TextBox 8">
          <a:extLst>
            <a:ext uri="{FF2B5EF4-FFF2-40B4-BE49-F238E27FC236}">
              <a16:creationId xmlns:a16="http://schemas.microsoft.com/office/drawing/2014/main" id="{CCA2A4C5-3A2A-4C36-8127-81D3A59AE9D5}"/>
            </a:ext>
          </a:extLst>
        </xdr:cNvPr>
        <xdr:cNvSpPr txBox="1"/>
      </xdr:nvSpPr>
      <xdr:spPr>
        <a:xfrm>
          <a:off x="1591058" y="566929"/>
          <a:ext cx="1408581" cy="806297"/>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8CCCB5-BCCB-441C-BAB1-A9501C42E193}" type="TxLink">
            <a:rPr lang="en-US" sz="2000" b="0" i="0" u="none" strike="noStrike">
              <a:solidFill>
                <a:srgbClr val="000000"/>
              </a:solidFill>
              <a:latin typeface="Arial Black" panose="020B0A04020102020204" pitchFamily="34" charset="0"/>
            </a:rPr>
            <a:t>56</a:t>
          </a:fld>
          <a:endParaRPr lang="en-IN" sz="2000">
            <a:latin typeface="Arial Black" panose="020B0A04020102020204" pitchFamily="34" charset="0"/>
          </a:endParaRPr>
        </a:p>
      </xdr:txBody>
    </xdr:sp>
    <xdr:clientData/>
  </xdr:twoCellAnchor>
  <xdr:twoCellAnchor>
    <xdr:from>
      <xdr:col>2</xdr:col>
      <xdr:colOff>306834</xdr:colOff>
      <xdr:row>6</xdr:row>
      <xdr:rowOff>21945</xdr:rowOff>
    </xdr:from>
    <xdr:to>
      <xdr:col>4</xdr:col>
      <xdr:colOff>431191</xdr:colOff>
      <xdr:row>7</xdr:row>
      <xdr:rowOff>57304</xdr:rowOff>
    </xdr:to>
    <xdr:sp macro="" textlink="">
      <xdr:nvSpPr>
        <xdr:cNvPr id="10" name="TextBox 9">
          <a:extLst>
            <a:ext uri="{FF2B5EF4-FFF2-40B4-BE49-F238E27FC236}">
              <a16:creationId xmlns:a16="http://schemas.microsoft.com/office/drawing/2014/main" id="{A14D3F9D-9435-71DA-699B-4F6E333E862D}"/>
            </a:ext>
          </a:extLst>
        </xdr:cNvPr>
        <xdr:cNvSpPr txBox="1"/>
      </xdr:nvSpPr>
      <xdr:spPr>
        <a:xfrm>
          <a:off x="1591058" y="1143609"/>
          <a:ext cx="1408581" cy="222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00" b="0" i="0" u="none" strike="noStrike">
              <a:solidFill>
                <a:schemeClr val="dk1"/>
              </a:solidFill>
              <a:effectLst/>
              <a:latin typeface="Amasis MT Pro Black" panose="02040A04050005020304" pitchFamily="18" charset="0"/>
              <a:ea typeface="+mn-ea"/>
              <a:cs typeface="+mn-cs"/>
            </a:rPr>
            <a:t>High Risk Employee Count</a:t>
          </a:r>
          <a:r>
            <a:rPr lang="en-IN" sz="700">
              <a:effectLst/>
              <a:latin typeface="Amasis MT Pro Black" panose="02040A04050005020304" pitchFamily="18" charset="0"/>
            </a:rPr>
            <a:t> </a:t>
          </a:r>
        </a:p>
      </xdr:txBody>
    </xdr:sp>
    <xdr:clientData/>
  </xdr:twoCellAnchor>
  <xdr:twoCellAnchor>
    <xdr:from>
      <xdr:col>7</xdr:col>
      <xdr:colOff>111355</xdr:colOff>
      <xdr:row>3</xdr:row>
      <xdr:rowOff>8128</xdr:rowOff>
    </xdr:from>
    <xdr:to>
      <xdr:col>9</xdr:col>
      <xdr:colOff>235712</xdr:colOff>
      <xdr:row>7</xdr:row>
      <xdr:rowOff>73152</xdr:rowOff>
    </xdr:to>
    <xdr:sp macro="" textlink="Metrics!B5">
      <xdr:nvSpPr>
        <xdr:cNvPr id="11" name="TextBox 10">
          <a:extLst>
            <a:ext uri="{FF2B5EF4-FFF2-40B4-BE49-F238E27FC236}">
              <a16:creationId xmlns:a16="http://schemas.microsoft.com/office/drawing/2014/main" id="{CE4F8206-15F0-8506-2A9A-4E05D29329E8}"/>
            </a:ext>
          </a:extLst>
        </xdr:cNvPr>
        <xdr:cNvSpPr txBox="1"/>
      </xdr:nvSpPr>
      <xdr:spPr>
        <a:xfrm>
          <a:off x="4606139" y="568960"/>
          <a:ext cx="1408581" cy="8128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BED0FF-978E-4974-9203-5409D308EE3F}" type="TxLink">
            <a:rPr lang="en-US" sz="2000" b="0" i="0" u="none" strike="noStrike">
              <a:solidFill>
                <a:srgbClr val="000000"/>
              </a:solidFill>
              <a:latin typeface="Arial Black" panose="020B0A04020102020204" pitchFamily="34" charset="0"/>
            </a:rPr>
            <a:t>5.13</a:t>
          </a:fld>
          <a:endParaRPr lang="en-IN" sz="2000">
            <a:latin typeface="Arial Black" panose="020B0A04020102020204" pitchFamily="34" charset="0"/>
          </a:endParaRPr>
        </a:p>
      </xdr:txBody>
    </xdr:sp>
    <xdr:clientData/>
  </xdr:twoCellAnchor>
  <xdr:twoCellAnchor>
    <xdr:from>
      <xdr:col>7</xdr:col>
      <xdr:colOff>111355</xdr:colOff>
      <xdr:row>6</xdr:row>
      <xdr:rowOff>36981</xdr:rowOff>
    </xdr:from>
    <xdr:to>
      <xdr:col>9</xdr:col>
      <xdr:colOff>235712</xdr:colOff>
      <xdr:row>7</xdr:row>
      <xdr:rowOff>72340</xdr:rowOff>
    </xdr:to>
    <xdr:sp macro="" textlink="">
      <xdr:nvSpPr>
        <xdr:cNvPr id="12" name="TextBox 11">
          <a:extLst>
            <a:ext uri="{FF2B5EF4-FFF2-40B4-BE49-F238E27FC236}">
              <a16:creationId xmlns:a16="http://schemas.microsoft.com/office/drawing/2014/main" id="{860FFB7B-B27A-BCAE-A4C5-23D9AFD9720C}"/>
            </a:ext>
          </a:extLst>
        </xdr:cNvPr>
        <xdr:cNvSpPr txBox="1"/>
      </xdr:nvSpPr>
      <xdr:spPr>
        <a:xfrm>
          <a:off x="4606139" y="1158645"/>
          <a:ext cx="1408581" cy="2223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b="1" i="0" u="none" strike="noStrike">
              <a:solidFill>
                <a:schemeClr val="tx2"/>
              </a:solidFill>
              <a:effectLst/>
              <a:latin typeface="Arial Black" panose="020B0A04020102020204" pitchFamily="34" charset="0"/>
              <a:ea typeface="+mn-ea"/>
              <a:cs typeface="+mn-cs"/>
            </a:rPr>
            <a:t>Avg Tenure Leavers</a:t>
          </a:r>
          <a:endParaRPr lang="en-IN" sz="800" b="1">
            <a:solidFill>
              <a:schemeClr val="tx2"/>
            </a:solidFill>
            <a:effectLst/>
            <a:latin typeface="Arial Black" panose="020B0A04020102020204" pitchFamily="34" charset="0"/>
          </a:endParaRPr>
        </a:p>
      </xdr:txBody>
    </xdr:sp>
    <xdr:clientData/>
  </xdr:twoCellAnchor>
  <xdr:twoCellAnchor>
    <xdr:from>
      <xdr:col>0</xdr:col>
      <xdr:colOff>138176</xdr:colOff>
      <xdr:row>8</xdr:row>
      <xdr:rowOff>0</xdr:rowOff>
    </xdr:from>
    <xdr:to>
      <xdr:col>5</xdr:col>
      <xdr:colOff>274320</xdr:colOff>
      <xdr:row>17</xdr:row>
      <xdr:rowOff>124358</xdr:rowOff>
    </xdr:to>
    <xdr:graphicFrame macro="">
      <xdr:nvGraphicFramePr>
        <xdr:cNvPr id="14" name="Chart 13">
          <a:extLst>
            <a:ext uri="{FF2B5EF4-FFF2-40B4-BE49-F238E27FC236}">
              <a16:creationId xmlns:a16="http://schemas.microsoft.com/office/drawing/2014/main" id="{F4DDD483-6FF3-4E1D-965A-5F6DCC5E8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170688</xdr:colOff>
      <xdr:row>7</xdr:row>
      <xdr:rowOff>154432</xdr:rowOff>
    </xdr:from>
    <xdr:to>
      <xdr:col>18</xdr:col>
      <xdr:colOff>503936</xdr:colOff>
      <xdr:row>29</xdr:row>
      <xdr:rowOff>8128</xdr:rowOff>
    </xdr:to>
    <xdr:graphicFrame macro="">
      <xdr:nvGraphicFramePr>
        <xdr:cNvPr id="15" name="Chart 14">
          <a:extLst>
            <a:ext uri="{FF2B5EF4-FFF2-40B4-BE49-F238E27FC236}">
              <a16:creationId xmlns:a16="http://schemas.microsoft.com/office/drawing/2014/main" id="{E8BADAB9-4EC7-4DF3-A213-5E518552D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373888</xdr:colOff>
      <xdr:row>8</xdr:row>
      <xdr:rowOff>1</xdr:rowOff>
    </xdr:from>
    <xdr:to>
      <xdr:col>11</xdr:col>
      <xdr:colOff>89408</xdr:colOff>
      <xdr:row>17</xdr:row>
      <xdr:rowOff>170689</xdr:rowOff>
    </xdr:to>
    <xdr:graphicFrame macro="">
      <xdr:nvGraphicFramePr>
        <xdr:cNvPr id="16" name="Chart 15">
          <a:extLst>
            <a:ext uri="{FF2B5EF4-FFF2-40B4-BE49-F238E27FC236}">
              <a16:creationId xmlns:a16="http://schemas.microsoft.com/office/drawing/2014/main" id="{9AC96E56-260A-4755-AF0A-B65272454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17</xdr:row>
      <xdr:rowOff>170688</xdr:rowOff>
    </xdr:from>
    <xdr:to>
      <xdr:col>5</xdr:col>
      <xdr:colOff>268224</xdr:colOff>
      <xdr:row>28</xdr:row>
      <xdr:rowOff>162559</xdr:rowOff>
    </xdr:to>
    <xdr:graphicFrame macro="">
      <xdr:nvGraphicFramePr>
        <xdr:cNvPr id="17" name="Chart 16">
          <a:extLst>
            <a:ext uri="{FF2B5EF4-FFF2-40B4-BE49-F238E27FC236}">
              <a16:creationId xmlns:a16="http://schemas.microsoft.com/office/drawing/2014/main" id="{2E30D1C1-4F37-4B18-98CA-AB1024546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373888</xdr:colOff>
      <xdr:row>18</xdr:row>
      <xdr:rowOff>40640</xdr:rowOff>
    </xdr:from>
    <xdr:to>
      <xdr:col>11</xdr:col>
      <xdr:colOff>105665</xdr:colOff>
      <xdr:row>29</xdr:row>
      <xdr:rowOff>32513</xdr:rowOff>
    </xdr:to>
    <xdr:graphicFrame macro="">
      <xdr:nvGraphicFramePr>
        <xdr:cNvPr id="18" name="Chart 17">
          <a:extLst>
            <a:ext uri="{FF2B5EF4-FFF2-40B4-BE49-F238E27FC236}">
              <a16:creationId xmlns:a16="http://schemas.microsoft.com/office/drawing/2014/main" id="{0D2206E2-4ADA-48F1-B749-37487D14B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333248</xdr:colOff>
      <xdr:row>0</xdr:row>
      <xdr:rowOff>130049</xdr:rowOff>
    </xdr:from>
    <xdr:to>
      <xdr:col>12</xdr:col>
      <xdr:colOff>154432</xdr:colOff>
      <xdr:row>7</xdr:row>
      <xdr:rowOff>24385</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B2900A6E-BF5A-4BB4-B1BC-023AB60FE9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164508" y="130049"/>
              <a:ext cx="1764937" cy="121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203200</xdr:colOff>
      <xdr:row>0</xdr:row>
      <xdr:rowOff>138177</xdr:rowOff>
    </xdr:from>
    <xdr:to>
      <xdr:col>14</xdr:col>
      <xdr:colOff>455168</xdr:colOff>
      <xdr:row>7</xdr:row>
      <xdr:rowOff>16257</xdr:rowOff>
    </xdr:to>
    <mc:AlternateContent xmlns:mc="http://schemas.openxmlformats.org/markup-compatibility/2006">
      <mc:Choice xmlns:a14="http://schemas.microsoft.com/office/drawing/2010/main" Requires="a14">
        <xdr:graphicFrame macro="">
          <xdr:nvGraphicFramePr>
            <xdr:cNvPr id="21" name="JobRole">
              <a:extLst>
                <a:ext uri="{FF2B5EF4-FFF2-40B4-BE49-F238E27FC236}">
                  <a16:creationId xmlns:a16="http://schemas.microsoft.com/office/drawing/2014/main" id="{97DEC7B5-66E7-402A-911E-2792910FEE50}"/>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7978213" y="138177"/>
              <a:ext cx="1547804" cy="1194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99976</xdr:colOff>
      <xdr:row>2</xdr:row>
      <xdr:rowOff>167437</xdr:rowOff>
    </xdr:from>
    <xdr:to>
      <xdr:col>2</xdr:col>
      <xdr:colOff>222707</xdr:colOff>
      <xdr:row>7</xdr:row>
      <xdr:rowOff>43078</xdr:rowOff>
    </xdr:to>
    <xdr:sp macro="" textlink="Metrics!B2">
      <xdr:nvSpPr>
        <xdr:cNvPr id="22" name="TextBox 21">
          <a:extLst>
            <a:ext uri="{FF2B5EF4-FFF2-40B4-BE49-F238E27FC236}">
              <a16:creationId xmlns:a16="http://schemas.microsoft.com/office/drawing/2014/main" id="{9F210AF9-ABF3-F1F1-1AF2-6E489AE7CD41}"/>
            </a:ext>
          </a:extLst>
        </xdr:cNvPr>
        <xdr:cNvSpPr txBox="1"/>
      </xdr:nvSpPr>
      <xdr:spPr>
        <a:xfrm>
          <a:off x="99976" y="541325"/>
          <a:ext cx="1406955" cy="81036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67EC6-332F-41F6-92A6-17A081B4850B}" type="TxLink">
            <a:rPr lang="en-US" sz="2000" b="0" i="0" u="none" strike="noStrike">
              <a:solidFill>
                <a:srgbClr val="000000"/>
              </a:solidFill>
              <a:latin typeface="Arial Black" panose="020B0A04020102020204" pitchFamily="34" charset="0"/>
            </a:rPr>
            <a:pPr algn="ctr"/>
            <a:t>1470</a:t>
          </a:fld>
          <a:endParaRPr lang="en-IN" sz="2000">
            <a:latin typeface="Arial Black" panose="020B0A04020102020204" pitchFamily="34" charset="0"/>
          </a:endParaRPr>
        </a:p>
      </xdr:txBody>
    </xdr:sp>
    <xdr:clientData/>
  </xdr:twoCellAnchor>
  <xdr:twoCellAnchor>
    <xdr:from>
      <xdr:col>0</xdr:col>
      <xdr:colOff>99976</xdr:colOff>
      <xdr:row>6</xdr:row>
      <xdr:rowOff>21135</xdr:rowOff>
    </xdr:from>
    <xdr:to>
      <xdr:col>2</xdr:col>
      <xdr:colOff>222707</xdr:colOff>
      <xdr:row>7</xdr:row>
      <xdr:rowOff>35764</xdr:rowOff>
    </xdr:to>
    <xdr:sp macro="" textlink="">
      <xdr:nvSpPr>
        <xdr:cNvPr id="23" name="TextBox 22">
          <a:extLst>
            <a:ext uri="{FF2B5EF4-FFF2-40B4-BE49-F238E27FC236}">
              <a16:creationId xmlns:a16="http://schemas.microsoft.com/office/drawing/2014/main" id="{B3943E63-1989-7E5E-D36A-DBE597D19570}"/>
            </a:ext>
          </a:extLst>
        </xdr:cNvPr>
        <xdr:cNvSpPr txBox="1"/>
      </xdr:nvSpPr>
      <xdr:spPr>
        <a:xfrm>
          <a:off x="99976" y="1142799"/>
          <a:ext cx="1406955" cy="2015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i="0">
              <a:solidFill>
                <a:schemeClr val="dk1"/>
              </a:solidFill>
              <a:effectLst/>
              <a:latin typeface="Arial Black" panose="020B0A04020102020204" pitchFamily="34" charset="0"/>
              <a:ea typeface="+mn-ea"/>
              <a:cs typeface="+mn-cs"/>
            </a:rPr>
            <a:t>Total Employees</a:t>
          </a:r>
          <a:endParaRPr lang="en-IN" sz="800">
            <a:effectLst/>
            <a:latin typeface="Arial Black" panose="020B0A04020102020204" pitchFamily="34" charset="0"/>
          </a:endParaRPr>
        </a:p>
      </xdr:txBody>
    </xdr:sp>
    <xdr:clientData/>
  </xdr:twoCellAnchor>
  <xdr:twoCellAnchor editAs="oneCell">
    <xdr:from>
      <xdr:col>14</xdr:col>
      <xdr:colOff>520193</xdr:colOff>
      <xdr:row>0</xdr:row>
      <xdr:rowOff>138176</xdr:rowOff>
    </xdr:from>
    <xdr:to>
      <xdr:col>16</xdr:col>
      <xdr:colOff>382016</xdr:colOff>
      <xdr:row>5</xdr:row>
      <xdr:rowOff>170688</xdr:rowOff>
    </xdr:to>
    <mc:AlternateContent xmlns:mc="http://schemas.openxmlformats.org/markup-compatibility/2006">
      <mc:Choice xmlns:a14="http://schemas.microsoft.com/office/drawing/2010/main" Requires="a14">
        <xdr:graphicFrame macro="">
          <xdr:nvGraphicFramePr>
            <xdr:cNvPr id="24" name="Gender">
              <a:extLst>
                <a:ext uri="{FF2B5EF4-FFF2-40B4-BE49-F238E27FC236}">
                  <a16:creationId xmlns:a16="http://schemas.microsoft.com/office/drawing/2014/main" id="{49C78447-73FD-4A04-8E56-86F9C63279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91042" y="138176"/>
              <a:ext cx="1157657" cy="973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479552</xdr:colOff>
      <xdr:row>0</xdr:row>
      <xdr:rowOff>146305</xdr:rowOff>
    </xdr:from>
    <xdr:to>
      <xdr:col>18</xdr:col>
      <xdr:colOff>512063</xdr:colOff>
      <xdr:row>5</xdr:row>
      <xdr:rowOff>170689</xdr:rowOff>
    </xdr:to>
    <mc:AlternateContent xmlns:mc="http://schemas.openxmlformats.org/markup-compatibility/2006">
      <mc:Choice xmlns:a14="http://schemas.microsoft.com/office/drawing/2010/main" Requires="a14">
        <xdr:graphicFrame macro="">
          <xdr:nvGraphicFramePr>
            <xdr:cNvPr id="25" name="OverTime">
              <a:extLst>
                <a:ext uri="{FF2B5EF4-FFF2-40B4-BE49-F238E27FC236}">
                  <a16:creationId xmlns:a16="http://schemas.microsoft.com/office/drawing/2014/main" id="{FE0026F4-515F-4B06-9CE9-BA08EF3449F9}"/>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0846235" y="146305"/>
              <a:ext cx="1328347" cy="96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235712</xdr:colOff>
      <xdr:row>0</xdr:row>
      <xdr:rowOff>48768</xdr:rowOff>
    </xdr:from>
    <xdr:to>
      <xdr:col>9</xdr:col>
      <xdr:colOff>16256</xdr:colOff>
      <xdr:row>2</xdr:row>
      <xdr:rowOff>89408</xdr:rowOff>
    </xdr:to>
    <xdr:sp macro="" textlink="">
      <xdr:nvSpPr>
        <xdr:cNvPr id="26" name="TextBox 25">
          <a:extLst>
            <a:ext uri="{FF2B5EF4-FFF2-40B4-BE49-F238E27FC236}">
              <a16:creationId xmlns:a16="http://schemas.microsoft.com/office/drawing/2014/main" id="{F9DAB945-978A-7F6B-750E-859EE023578C}"/>
            </a:ext>
          </a:extLst>
        </xdr:cNvPr>
        <xdr:cNvSpPr txBox="1"/>
      </xdr:nvSpPr>
      <xdr:spPr>
        <a:xfrm>
          <a:off x="235712" y="48768"/>
          <a:ext cx="5559552" cy="414528"/>
        </a:xfrm>
        <a:prstGeom prst="rect">
          <a:avLst/>
        </a:prstGeom>
        <a:solidFill>
          <a:schemeClr val="tx2">
            <a:lumMod val="90000"/>
            <a:lumOff val="1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1">
                  <a:lumMod val="60000"/>
                  <a:lumOff val="40000"/>
                </a:schemeClr>
              </a:solidFill>
              <a:latin typeface="Amasis MT Pro Black" panose="02040A04050005020304" pitchFamily="18" charset="0"/>
            </a:rPr>
            <a:t>Employee Attrition &amp; Workforce Risk Analysis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KALLA" refreshedDate="46004.622001620373" createdVersion="8" refreshedVersion="8" minRefreshableVersion="3" recordCount="1470" xr:uid="{130BEF57-38EE-477B-8DB7-3876C96CB84A}">
  <cacheSource type="worksheet">
    <worksheetSource name="DataTable"/>
  </cacheSource>
  <cacheFields count="38">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TenureBand" numFmtId="0">
      <sharedItems count="4">
        <s v="5+"/>
        <s v="&lt;1"/>
        <s v="1-3"/>
        <s v="3-5"/>
      </sharedItems>
    </cacheField>
    <cacheField name="Attrition Flag" numFmtId="0">
      <sharedItems containsSemiMixedTypes="0" containsString="0" containsNumber="1" containsInteger="1" minValue="0" maxValue="1"/>
    </cacheField>
    <cacheField name="Age Band" numFmtId="0">
      <sharedItems/>
    </cacheField>
    <cacheField name="Job Satisfication Band" numFmtId="0">
      <sharedItems count="3">
        <s v="High"/>
        <s v="Low"/>
        <s v="Medium"/>
      </sharedItems>
    </cacheField>
    <cacheField name="High Risk Score" numFmtId="0">
      <sharedItems containsSemiMixedTypes="0" containsString="0" containsNumber="1" containsInteger="1" minValue="0" maxValue="3"/>
    </cacheField>
    <cacheField name="Risk Level" numFmtId="0">
      <sharedItems/>
    </cacheField>
  </cacheFields>
  <extLst>
    <ext xmlns:x14="http://schemas.microsoft.com/office/spreadsheetml/2009/9/main" uri="{725AE2AE-9491-48be-B2B4-4EB974FC3084}">
      <x14:pivotCacheDefinition pivotCacheId="2042966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2"/>
    <x v="0"/>
    <n v="94"/>
    <n v="3"/>
    <n v="2"/>
    <x v="0"/>
    <x v="0"/>
    <s v="Single"/>
    <n v="5993"/>
    <n v="19479"/>
    <n v="8"/>
    <x v="0"/>
    <n v="11"/>
    <n v="3"/>
    <n v="1"/>
    <n v="0"/>
    <n v="8"/>
    <n v="0"/>
    <n v="1"/>
    <n v="6"/>
    <n v="4"/>
    <n v="0"/>
    <n v="5"/>
    <x v="0"/>
    <n v="1"/>
    <s v="50+"/>
    <x v="0"/>
    <n v="1"/>
    <s v="Low"/>
  </r>
  <r>
    <n v="49"/>
    <s v="No"/>
    <s v="Travel_Frequently"/>
    <n v="279"/>
    <x v="1"/>
    <n v="8"/>
    <n v="1"/>
    <s v="Life Sciences"/>
    <n v="2"/>
    <n v="3"/>
    <x v="1"/>
    <n v="61"/>
    <n v="2"/>
    <n v="2"/>
    <x v="1"/>
    <x v="1"/>
    <s v="Married"/>
    <n v="5130"/>
    <n v="24907"/>
    <n v="1"/>
    <x v="1"/>
    <n v="23"/>
    <n v="4"/>
    <n v="4"/>
    <n v="1"/>
    <n v="10"/>
    <n v="3"/>
    <n v="3"/>
    <n v="10"/>
    <n v="7"/>
    <n v="1"/>
    <n v="7"/>
    <x v="0"/>
    <n v="0"/>
    <s v="40–49"/>
    <x v="1"/>
    <n v="1"/>
    <s v="Low"/>
  </r>
  <r>
    <n v="37"/>
    <s v="Yes"/>
    <s v="Travel_Rarely"/>
    <n v="1373"/>
    <x v="1"/>
    <n v="2"/>
    <n v="2"/>
    <s v="Other"/>
    <n v="4"/>
    <n v="4"/>
    <x v="1"/>
    <n v="92"/>
    <n v="2"/>
    <n v="1"/>
    <x v="2"/>
    <x v="2"/>
    <s v="Single"/>
    <n v="2090"/>
    <n v="2396"/>
    <n v="6"/>
    <x v="0"/>
    <n v="15"/>
    <n v="3"/>
    <n v="2"/>
    <n v="0"/>
    <n v="7"/>
    <n v="3"/>
    <n v="3"/>
    <n v="0"/>
    <n v="0"/>
    <n v="0"/>
    <n v="0"/>
    <x v="1"/>
    <n v="1"/>
    <s v="40–49"/>
    <x v="2"/>
    <n v="2"/>
    <s v="Medium"/>
  </r>
  <r>
    <n v="33"/>
    <s v="No"/>
    <s v="Travel_Frequently"/>
    <n v="1392"/>
    <x v="1"/>
    <n v="3"/>
    <n v="4"/>
    <s v="Life Sciences"/>
    <n v="5"/>
    <n v="4"/>
    <x v="0"/>
    <n v="56"/>
    <n v="3"/>
    <n v="1"/>
    <x v="1"/>
    <x v="2"/>
    <s v="Married"/>
    <n v="2909"/>
    <n v="23159"/>
    <n v="1"/>
    <x v="0"/>
    <n v="11"/>
    <n v="3"/>
    <n v="3"/>
    <n v="0"/>
    <n v="8"/>
    <n v="3"/>
    <n v="3"/>
    <n v="8"/>
    <n v="7"/>
    <n v="3"/>
    <n v="0"/>
    <x v="0"/>
    <n v="0"/>
    <s v="30–39"/>
    <x v="2"/>
    <n v="1"/>
    <s v="Low"/>
  </r>
  <r>
    <n v="27"/>
    <s v="No"/>
    <s v="Travel_Rarely"/>
    <n v="591"/>
    <x v="1"/>
    <n v="2"/>
    <n v="1"/>
    <s v="Medical"/>
    <n v="7"/>
    <n v="1"/>
    <x v="1"/>
    <n v="40"/>
    <n v="3"/>
    <n v="1"/>
    <x v="2"/>
    <x v="1"/>
    <s v="Married"/>
    <n v="3468"/>
    <n v="16632"/>
    <n v="9"/>
    <x v="1"/>
    <n v="12"/>
    <n v="3"/>
    <n v="4"/>
    <n v="1"/>
    <n v="6"/>
    <n v="3"/>
    <n v="3"/>
    <n v="2"/>
    <n v="2"/>
    <n v="2"/>
    <n v="2"/>
    <x v="2"/>
    <n v="0"/>
    <s v="30–39"/>
    <x v="1"/>
    <n v="2"/>
    <s v="Medium"/>
  </r>
  <r>
    <n v="32"/>
    <s v="No"/>
    <s v="Travel_Frequently"/>
    <n v="1005"/>
    <x v="1"/>
    <n v="2"/>
    <n v="2"/>
    <s v="Life Sciences"/>
    <n v="8"/>
    <n v="4"/>
    <x v="1"/>
    <n v="79"/>
    <n v="3"/>
    <n v="1"/>
    <x v="2"/>
    <x v="0"/>
    <s v="Single"/>
    <n v="3068"/>
    <n v="11864"/>
    <n v="0"/>
    <x v="1"/>
    <n v="13"/>
    <n v="3"/>
    <n v="3"/>
    <n v="0"/>
    <n v="8"/>
    <n v="2"/>
    <n v="2"/>
    <n v="7"/>
    <n v="7"/>
    <n v="3"/>
    <n v="6"/>
    <x v="0"/>
    <n v="0"/>
    <s v="&lt;30"/>
    <x v="0"/>
    <n v="0"/>
    <s v="Low"/>
  </r>
  <r>
    <n v="59"/>
    <s v="No"/>
    <s v="Travel_Rarely"/>
    <n v="1324"/>
    <x v="1"/>
    <n v="3"/>
    <n v="3"/>
    <s v="Medical"/>
    <n v="10"/>
    <n v="3"/>
    <x v="0"/>
    <n v="81"/>
    <n v="4"/>
    <n v="1"/>
    <x v="2"/>
    <x v="3"/>
    <s v="Married"/>
    <n v="2670"/>
    <n v="9964"/>
    <n v="4"/>
    <x v="0"/>
    <n v="20"/>
    <n v="4"/>
    <n v="1"/>
    <n v="3"/>
    <n v="12"/>
    <n v="3"/>
    <n v="2"/>
    <n v="1"/>
    <n v="0"/>
    <n v="0"/>
    <n v="0"/>
    <x v="2"/>
    <n v="0"/>
    <s v="30–39"/>
    <x v="1"/>
    <n v="3"/>
    <s v="High"/>
  </r>
  <r>
    <n v="30"/>
    <s v="No"/>
    <s v="Travel_Rarely"/>
    <n v="1358"/>
    <x v="1"/>
    <n v="24"/>
    <n v="1"/>
    <s v="Life Sciences"/>
    <n v="11"/>
    <n v="4"/>
    <x v="1"/>
    <n v="67"/>
    <n v="3"/>
    <n v="1"/>
    <x v="2"/>
    <x v="2"/>
    <s v="Divorced"/>
    <n v="2693"/>
    <n v="13335"/>
    <n v="1"/>
    <x v="1"/>
    <n v="22"/>
    <n v="4"/>
    <n v="2"/>
    <n v="1"/>
    <n v="1"/>
    <n v="2"/>
    <n v="3"/>
    <n v="1"/>
    <n v="0"/>
    <n v="0"/>
    <n v="0"/>
    <x v="2"/>
    <n v="0"/>
    <s v="50+"/>
    <x v="2"/>
    <n v="1"/>
    <s v="Low"/>
  </r>
  <r>
    <n v="38"/>
    <s v="No"/>
    <s v="Travel_Frequently"/>
    <n v="216"/>
    <x v="1"/>
    <n v="23"/>
    <n v="3"/>
    <s v="Life Sciences"/>
    <n v="12"/>
    <n v="4"/>
    <x v="1"/>
    <n v="44"/>
    <n v="2"/>
    <n v="3"/>
    <x v="3"/>
    <x v="2"/>
    <s v="Single"/>
    <n v="9526"/>
    <n v="8787"/>
    <n v="0"/>
    <x v="1"/>
    <n v="21"/>
    <n v="4"/>
    <n v="2"/>
    <n v="0"/>
    <n v="10"/>
    <n v="2"/>
    <n v="3"/>
    <n v="9"/>
    <n v="7"/>
    <n v="1"/>
    <n v="8"/>
    <x v="0"/>
    <n v="0"/>
    <s v="30–39"/>
    <x v="2"/>
    <n v="0"/>
    <s v="Low"/>
  </r>
  <r>
    <n v="36"/>
    <s v="No"/>
    <s v="Travel_Rarely"/>
    <n v="1299"/>
    <x v="1"/>
    <n v="27"/>
    <n v="3"/>
    <s v="Medical"/>
    <n v="13"/>
    <n v="3"/>
    <x v="1"/>
    <n v="94"/>
    <n v="3"/>
    <n v="2"/>
    <x v="4"/>
    <x v="2"/>
    <s v="Married"/>
    <n v="5237"/>
    <n v="16577"/>
    <n v="6"/>
    <x v="1"/>
    <n v="13"/>
    <n v="3"/>
    <n v="2"/>
    <n v="2"/>
    <n v="17"/>
    <n v="3"/>
    <n v="2"/>
    <n v="7"/>
    <n v="7"/>
    <n v="7"/>
    <n v="7"/>
    <x v="0"/>
    <n v="0"/>
    <s v="30–39"/>
    <x v="2"/>
    <n v="0"/>
    <s v="Low"/>
  </r>
  <r>
    <n v="35"/>
    <s v="No"/>
    <s v="Travel_Rarely"/>
    <n v="809"/>
    <x v="1"/>
    <n v="16"/>
    <n v="3"/>
    <s v="Medical"/>
    <n v="14"/>
    <n v="1"/>
    <x v="1"/>
    <n v="84"/>
    <n v="4"/>
    <n v="1"/>
    <x v="2"/>
    <x v="1"/>
    <s v="Married"/>
    <n v="2426"/>
    <n v="16479"/>
    <n v="0"/>
    <x v="1"/>
    <n v="13"/>
    <n v="3"/>
    <n v="3"/>
    <n v="1"/>
    <n v="6"/>
    <n v="5"/>
    <n v="3"/>
    <n v="5"/>
    <n v="4"/>
    <n v="0"/>
    <n v="3"/>
    <x v="3"/>
    <n v="0"/>
    <s v="30–39"/>
    <x v="1"/>
    <n v="1"/>
    <s v="Low"/>
  </r>
  <r>
    <n v="29"/>
    <s v="No"/>
    <s v="Travel_Rarely"/>
    <n v="153"/>
    <x v="1"/>
    <n v="15"/>
    <n v="2"/>
    <s v="Life Sciences"/>
    <n v="15"/>
    <n v="4"/>
    <x v="0"/>
    <n v="49"/>
    <n v="2"/>
    <n v="2"/>
    <x v="2"/>
    <x v="2"/>
    <s v="Single"/>
    <n v="4193"/>
    <n v="12682"/>
    <n v="0"/>
    <x v="0"/>
    <n v="12"/>
    <n v="3"/>
    <n v="4"/>
    <n v="0"/>
    <n v="10"/>
    <n v="3"/>
    <n v="3"/>
    <n v="9"/>
    <n v="5"/>
    <n v="0"/>
    <n v="8"/>
    <x v="0"/>
    <n v="0"/>
    <s v="30–39"/>
    <x v="2"/>
    <n v="1"/>
    <s v="Low"/>
  </r>
  <r>
    <n v="31"/>
    <s v="No"/>
    <s v="Travel_Rarely"/>
    <n v="670"/>
    <x v="1"/>
    <n v="26"/>
    <n v="1"/>
    <s v="Life Sciences"/>
    <n v="16"/>
    <n v="1"/>
    <x v="1"/>
    <n v="31"/>
    <n v="3"/>
    <n v="1"/>
    <x v="1"/>
    <x v="2"/>
    <s v="Divorced"/>
    <n v="2911"/>
    <n v="15170"/>
    <n v="1"/>
    <x v="1"/>
    <n v="17"/>
    <n v="3"/>
    <n v="4"/>
    <n v="1"/>
    <n v="5"/>
    <n v="1"/>
    <n v="2"/>
    <n v="5"/>
    <n v="2"/>
    <n v="4"/>
    <n v="3"/>
    <x v="3"/>
    <n v="0"/>
    <s v="&lt;30"/>
    <x v="2"/>
    <n v="0"/>
    <s v="Low"/>
  </r>
  <r>
    <n v="34"/>
    <s v="No"/>
    <s v="Travel_Rarely"/>
    <n v="1346"/>
    <x v="1"/>
    <n v="19"/>
    <n v="2"/>
    <s v="Medical"/>
    <n v="18"/>
    <n v="2"/>
    <x v="1"/>
    <n v="93"/>
    <n v="3"/>
    <n v="1"/>
    <x v="2"/>
    <x v="0"/>
    <s v="Divorced"/>
    <n v="2661"/>
    <n v="8758"/>
    <n v="0"/>
    <x v="1"/>
    <n v="11"/>
    <n v="3"/>
    <n v="3"/>
    <n v="1"/>
    <n v="3"/>
    <n v="2"/>
    <n v="3"/>
    <n v="2"/>
    <n v="2"/>
    <n v="1"/>
    <n v="2"/>
    <x v="2"/>
    <n v="0"/>
    <s v="30–39"/>
    <x v="0"/>
    <n v="1"/>
    <s v="Low"/>
  </r>
  <r>
    <n v="28"/>
    <s v="Yes"/>
    <s v="Travel_Rarely"/>
    <n v="103"/>
    <x v="1"/>
    <n v="24"/>
    <n v="3"/>
    <s v="Life Sciences"/>
    <n v="19"/>
    <n v="3"/>
    <x v="1"/>
    <n v="50"/>
    <n v="2"/>
    <n v="1"/>
    <x v="2"/>
    <x v="2"/>
    <s v="Single"/>
    <n v="2028"/>
    <n v="12947"/>
    <n v="5"/>
    <x v="0"/>
    <n v="14"/>
    <n v="3"/>
    <n v="2"/>
    <n v="0"/>
    <n v="6"/>
    <n v="4"/>
    <n v="3"/>
    <n v="4"/>
    <n v="2"/>
    <n v="0"/>
    <n v="3"/>
    <x v="3"/>
    <n v="1"/>
    <s v="30–39"/>
    <x v="2"/>
    <n v="1"/>
    <s v="Low"/>
  </r>
  <r>
    <n v="29"/>
    <s v="No"/>
    <s v="Travel_Rarely"/>
    <n v="1389"/>
    <x v="1"/>
    <n v="21"/>
    <n v="4"/>
    <s v="Life Sciences"/>
    <n v="20"/>
    <n v="2"/>
    <x v="0"/>
    <n v="51"/>
    <n v="4"/>
    <n v="3"/>
    <x v="3"/>
    <x v="3"/>
    <s v="Divorced"/>
    <n v="9980"/>
    <n v="10195"/>
    <n v="1"/>
    <x v="1"/>
    <n v="11"/>
    <n v="3"/>
    <n v="3"/>
    <n v="1"/>
    <n v="10"/>
    <n v="1"/>
    <n v="3"/>
    <n v="10"/>
    <n v="9"/>
    <n v="8"/>
    <n v="8"/>
    <x v="0"/>
    <n v="0"/>
    <s v="&lt;30"/>
    <x v="1"/>
    <n v="1"/>
    <s v="Low"/>
  </r>
  <r>
    <n v="32"/>
    <s v="No"/>
    <s v="Travel_Rarely"/>
    <n v="334"/>
    <x v="1"/>
    <n v="5"/>
    <n v="2"/>
    <s v="Life Sciences"/>
    <n v="21"/>
    <n v="1"/>
    <x v="1"/>
    <n v="80"/>
    <n v="4"/>
    <n v="1"/>
    <x v="1"/>
    <x v="1"/>
    <s v="Divorced"/>
    <n v="3298"/>
    <n v="15053"/>
    <n v="0"/>
    <x v="0"/>
    <n v="12"/>
    <n v="3"/>
    <n v="4"/>
    <n v="2"/>
    <n v="7"/>
    <n v="5"/>
    <n v="2"/>
    <n v="6"/>
    <n v="2"/>
    <n v="0"/>
    <n v="5"/>
    <x v="0"/>
    <n v="0"/>
    <s v="&lt;30"/>
    <x v="1"/>
    <n v="2"/>
    <s v="Medium"/>
  </r>
  <r>
    <n v="22"/>
    <s v="No"/>
    <s v="Non-Travel"/>
    <n v="1123"/>
    <x v="1"/>
    <n v="16"/>
    <n v="2"/>
    <s v="Medical"/>
    <n v="22"/>
    <n v="4"/>
    <x v="1"/>
    <n v="96"/>
    <n v="4"/>
    <n v="1"/>
    <x v="2"/>
    <x v="0"/>
    <s v="Divorced"/>
    <n v="2935"/>
    <n v="7324"/>
    <n v="1"/>
    <x v="0"/>
    <n v="13"/>
    <n v="3"/>
    <n v="2"/>
    <n v="2"/>
    <n v="1"/>
    <n v="2"/>
    <n v="2"/>
    <n v="1"/>
    <n v="0"/>
    <n v="0"/>
    <n v="0"/>
    <x v="2"/>
    <n v="0"/>
    <s v="30–39"/>
    <x v="0"/>
    <n v="2"/>
    <s v="Medium"/>
  </r>
  <r>
    <n v="53"/>
    <s v="No"/>
    <s v="Travel_Rarely"/>
    <n v="1219"/>
    <x v="0"/>
    <n v="2"/>
    <n v="4"/>
    <s v="Life Sciences"/>
    <n v="23"/>
    <n v="1"/>
    <x v="0"/>
    <n v="78"/>
    <n v="2"/>
    <n v="4"/>
    <x v="5"/>
    <x v="0"/>
    <s v="Married"/>
    <n v="15427"/>
    <n v="22021"/>
    <n v="2"/>
    <x v="1"/>
    <n v="16"/>
    <n v="3"/>
    <n v="3"/>
    <n v="0"/>
    <n v="31"/>
    <n v="3"/>
    <n v="3"/>
    <n v="25"/>
    <n v="8"/>
    <n v="3"/>
    <n v="7"/>
    <x v="0"/>
    <n v="0"/>
    <s v="&lt;30"/>
    <x v="0"/>
    <n v="0"/>
    <s v="Low"/>
  </r>
  <r>
    <n v="38"/>
    <s v="No"/>
    <s v="Travel_Rarely"/>
    <n v="371"/>
    <x v="1"/>
    <n v="2"/>
    <n v="3"/>
    <s v="Life Sciences"/>
    <n v="24"/>
    <n v="4"/>
    <x v="1"/>
    <n v="45"/>
    <n v="3"/>
    <n v="1"/>
    <x v="1"/>
    <x v="0"/>
    <s v="Single"/>
    <n v="3944"/>
    <n v="4306"/>
    <n v="5"/>
    <x v="0"/>
    <n v="11"/>
    <n v="3"/>
    <n v="3"/>
    <n v="0"/>
    <n v="6"/>
    <n v="3"/>
    <n v="3"/>
    <n v="3"/>
    <n v="2"/>
    <n v="1"/>
    <n v="2"/>
    <x v="2"/>
    <n v="0"/>
    <s v="50+"/>
    <x v="0"/>
    <n v="2"/>
    <s v="Medium"/>
  </r>
  <r>
    <n v="24"/>
    <s v="No"/>
    <s v="Non-Travel"/>
    <n v="673"/>
    <x v="1"/>
    <n v="11"/>
    <n v="2"/>
    <s v="Other"/>
    <n v="26"/>
    <n v="1"/>
    <x v="0"/>
    <n v="96"/>
    <n v="4"/>
    <n v="2"/>
    <x v="3"/>
    <x v="2"/>
    <s v="Divorced"/>
    <n v="4011"/>
    <n v="8232"/>
    <n v="0"/>
    <x v="1"/>
    <n v="18"/>
    <n v="3"/>
    <n v="4"/>
    <n v="1"/>
    <n v="5"/>
    <n v="5"/>
    <n v="2"/>
    <n v="4"/>
    <n v="2"/>
    <n v="1"/>
    <n v="3"/>
    <x v="3"/>
    <n v="0"/>
    <s v="30–39"/>
    <x v="2"/>
    <n v="0"/>
    <s v="Low"/>
  </r>
  <r>
    <n v="36"/>
    <s v="Yes"/>
    <s v="Travel_Rarely"/>
    <n v="1218"/>
    <x v="0"/>
    <n v="9"/>
    <n v="4"/>
    <s v="Life Sciences"/>
    <n v="27"/>
    <n v="3"/>
    <x v="1"/>
    <n v="82"/>
    <n v="2"/>
    <n v="1"/>
    <x v="6"/>
    <x v="3"/>
    <s v="Single"/>
    <n v="3407"/>
    <n v="6986"/>
    <n v="7"/>
    <x v="1"/>
    <n v="23"/>
    <n v="4"/>
    <n v="2"/>
    <n v="0"/>
    <n v="10"/>
    <n v="4"/>
    <n v="3"/>
    <n v="5"/>
    <n v="3"/>
    <n v="0"/>
    <n v="3"/>
    <x v="3"/>
    <n v="1"/>
    <s v="&lt;30"/>
    <x v="1"/>
    <n v="1"/>
    <s v="Low"/>
  </r>
  <r>
    <n v="34"/>
    <s v="No"/>
    <s v="Travel_Rarely"/>
    <n v="419"/>
    <x v="1"/>
    <n v="7"/>
    <n v="4"/>
    <s v="Life Sciences"/>
    <n v="28"/>
    <n v="1"/>
    <x v="0"/>
    <n v="53"/>
    <n v="3"/>
    <n v="3"/>
    <x v="7"/>
    <x v="1"/>
    <s v="Single"/>
    <n v="11994"/>
    <n v="21293"/>
    <n v="0"/>
    <x v="1"/>
    <n v="11"/>
    <n v="3"/>
    <n v="3"/>
    <n v="0"/>
    <n v="13"/>
    <n v="4"/>
    <n v="3"/>
    <n v="12"/>
    <n v="6"/>
    <n v="2"/>
    <n v="11"/>
    <x v="0"/>
    <n v="0"/>
    <s v="30–39"/>
    <x v="1"/>
    <n v="1"/>
    <s v="Low"/>
  </r>
  <r>
    <n v="21"/>
    <s v="No"/>
    <s v="Travel_Rarely"/>
    <n v="391"/>
    <x v="1"/>
    <n v="15"/>
    <n v="2"/>
    <s v="Life Sciences"/>
    <n v="30"/>
    <n v="3"/>
    <x v="1"/>
    <n v="96"/>
    <n v="3"/>
    <n v="1"/>
    <x v="1"/>
    <x v="0"/>
    <s v="Single"/>
    <n v="1232"/>
    <n v="19281"/>
    <n v="1"/>
    <x v="1"/>
    <n v="14"/>
    <n v="3"/>
    <n v="4"/>
    <n v="0"/>
    <n v="0"/>
    <n v="6"/>
    <n v="3"/>
    <n v="0"/>
    <n v="0"/>
    <n v="0"/>
    <n v="0"/>
    <x v="1"/>
    <n v="0"/>
    <s v="30–39"/>
    <x v="0"/>
    <n v="1"/>
    <s v="Low"/>
  </r>
  <r>
    <n v="34"/>
    <s v="Yes"/>
    <s v="Travel_Rarely"/>
    <n v="699"/>
    <x v="1"/>
    <n v="6"/>
    <n v="1"/>
    <s v="Medical"/>
    <n v="31"/>
    <n v="2"/>
    <x v="1"/>
    <n v="83"/>
    <n v="3"/>
    <n v="1"/>
    <x v="1"/>
    <x v="3"/>
    <s v="Single"/>
    <n v="2960"/>
    <n v="17102"/>
    <n v="2"/>
    <x v="1"/>
    <n v="11"/>
    <n v="3"/>
    <n v="3"/>
    <n v="0"/>
    <n v="8"/>
    <n v="2"/>
    <n v="3"/>
    <n v="4"/>
    <n v="2"/>
    <n v="1"/>
    <n v="3"/>
    <x v="3"/>
    <n v="1"/>
    <s v="&lt;30"/>
    <x v="1"/>
    <n v="1"/>
    <s v="Low"/>
  </r>
  <r>
    <n v="53"/>
    <s v="No"/>
    <s v="Travel_Rarely"/>
    <n v="1282"/>
    <x v="1"/>
    <n v="5"/>
    <n v="3"/>
    <s v="Other"/>
    <n v="32"/>
    <n v="3"/>
    <x v="0"/>
    <n v="58"/>
    <n v="3"/>
    <n v="5"/>
    <x v="5"/>
    <x v="2"/>
    <s v="Divorced"/>
    <n v="19094"/>
    <n v="10735"/>
    <n v="4"/>
    <x v="1"/>
    <n v="11"/>
    <n v="3"/>
    <n v="4"/>
    <n v="1"/>
    <n v="26"/>
    <n v="3"/>
    <n v="2"/>
    <n v="14"/>
    <n v="13"/>
    <n v="4"/>
    <n v="8"/>
    <x v="0"/>
    <n v="0"/>
    <s v="30–39"/>
    <x v="2"/>
    <n v="0"/>
    <s v="Low"/>
  </r>
  <r>
    <n v="32"/>
    <s v="Yes"/>
    <s v="Travel_Frequently"/>
    <n v="1125"/>
    <x v="1"/>
    <n v="16"/>
    <n v="1"/>
    <s v="Life Sciences"/>
    <n v="33"/>
    <n v="2"/>
    <x v="0"/>
    <n v="72"/>
    <n v="1"/>
    <n v="1"/>
    <x v="1"/>
    <x v="3"/>
    <s v="Single"/>
    <n v="3919"/>
    <n v="4681"/>
    <n v="1"/>
    <x v="0"/>
    <n v="22"/>
    <n v="4"/>
    <n v="2"/>
    <n v="0"/>
    <n v="10"/>
    <n v="5"/>
    <n v="3"/>
    <n v="10"/>
    <n v="2"/>
    <n v="6"/>
    <n v="7"/>
    <x v="0"/>
    <n v="1"/>
    <s v="50+"/>
    <x v="1"/>
    <n v="2"/>
    <s v="Medium"/>
  </r>
  <r>
    <n v="42"/>
    <s v="No"/>
    <s v="Travel_Rarely"/>
    <n v="691"/>
    <x v="0"/>
    <n v="8"/>
    <n v="4"/>
    <s v="Marketing"/>
    <n v="35"/>
    <n v="3"/>
    <x v="1"/>
    <n v="48"/>
    <n v="3"/>
    <n v="2"/>
    <x v="0"/>
    <x v="1"/>
    <s v="Married"/>
    <n v="6825"/>
    <n v="21173"/>
    <n v="0"/>
    <x v="1"/>
    <n v="11"/>
    <n v="3"/>
    <n v="4"/>
    <n v="1"/>
    <n v="10"/>
    <n v="2"/>
    <n v="3"/>
    <n v="9"/>
    <n v="7"/>
    <n v="4"/>
    <n v="2"/>
    <x v="0"/>
    <n v="0"/>
    <s v="30–39"/>
    <x v="1"/>
    <n v="1"/>
    <s v="Low"/>
  </r>
  <r>
    <n v="44"/>
    <s v="No"/>
    <s v="Travel_Rarely"/>
    <n v="477"/>
    <x v="1"/>
    <n v="7"/>
    <n v="4"/>
    <s v="Medical"/>
    <n v="36"/>
    <n v="1"/>
    <x v="0"/>
    <n v="42"/>
    <n v="2"/>
    <n v="3"/>
    <x v="4"/>
    <x v="0"/>
    <s v="Married"/>
    <n v="10248"/>
    <n v="2094"/>
    <n v="3"/>
    <x v="1"/>
    <n v="14"/>
    <n v="3"/>
    <n v="4"/>
    <n v="1"/>
    <n v="24"/>
    <n v="4"/>
    <n v="3"/>
    <n v="22"/>
    <n v="6"/>
    <n v="5"/>
    <n v="17"/>
    <x v="0"/>
    <n v="0"/>
    <s v="40–49"/>
    <x v="0"/>
    <n v="0"/>
    <s v="Low"/>
  </r>
  <r>
    <n v="46"/>
    <s v="No"/>
    <s v="Travel_Rarely"/>
    <n v="705"/>
    <x v="0"/>
    <n v="2"/>
    <n v="4"/>
    <s v="Marketing"/>
    <n v="38"/>
    <n v="2"/>
    <x v="0"/>
    <n v="83"/>
    <n v="3"/>
    <n v="5"/>
    <x v="5"/>
    <x v="3"/>
    <s v="Single"/>
    <n v="18947"/>
    <n v="22822"/>
    <n v="3"/>
    <x v="1"/>
    <n v="12"/>
    <n v="3"/>
    <n v="4"/>
    <n v="0"/>
    <n v="22"/>
    <n v="2"/>
    <n v="2"/>
    <n v="2"/>
    <n v="2"/>
    <n v="2"/>
    <n v="1"/>
    <x v="2"/>
    <n v="0"/>
    <s v="40–49"/>
    <x v="1"/>
    <n v="2"/>
    <s v="Medium"/>
  </r>
  <r>
    <n v="33"/>
    <s v="No"/>
    <s v="Travel_Rarely"/>
    <n v="924"/>
    <x v="1"/>
    <n v="2"/>
    <n v="3"/>
    <s v="Medical"/>
    <n v="39"/>
    <n v="3"/>
    <x v="1"/>
    <n v="78"/>
    <n v="3"/>
    <n v="1"/>
    <x v="2"/>
    <x v="0"/>
    <s v="Single"/>
    <n v="2496"/>
    <n v="6670"/>
    <n v="4"/>
    <x v="1"/>
    <n v="11"/>
    <n v="3"/>
    <n v="4"/>
    <n v="0"/>
    <n v="7"/>
    <n v="3"/>
    <n v="3"/>
    <n v="1"/>
    <n v="1"/>
    <n v="0"/>
    <n v="0"/>
    <x v="2"/>
    <n v="0"/>
    <s v="40–49"/>
    <x v="0"/>
    <n v="1"/>
    <s v="Low"/>
  </r>
  <r>
    <n v="44"/>
    <s v="No"/>
    <s v="Travel_Rarely"/>
    <n v="1459"/>
    <x v="1"/>
    <n v="10"/>
    <n v="4"/>
    <s v="Other"/>
    <n v="40"/>
    <n v="4"/>
    <x v="1"/>
    <n v="41"/>
    <n v="3"/>
    <n v="2"/>
    <x v="4"/>
    <x v="0"/>
    <s v="Married"/>
    <n v="6465"/>
    <n v="19121"/>
    <n v="2"/>
    <x v="0"/>
    <n v="13"/>
    <n v="3"/>
    <n v="4"/>
    <n v="0"/>
    <n v="9"/>
    <n v="5"/>
    <n v="4"/>
    <n v="4"/>
    <n v="2"/>
    <n v="1"/>
    <n v="3"/>
    <x v="3"/>
    <n v="0"/>
    <s v="30–39"/>
    <x v="0"/>
    <n v="1"/>
    <s v="Low"/>
  </r>
  <r>
    <n v="30"/>
    <s v="No"/>
    <s v="Travel_Rarely"/>
    <n v="125"/>
    <x v="1"/>
    <n v="9"/>
    <n v="2"/>
    <s v="Medical"/>
    <n v="41"/>
    <n v="4"/>
    <x v="1"/>
    <n v="83"/>
    <n v="2"/>
    <n v="1"/>
    <x v="2"/>
    <x v="2"/>
    <s v="Single"/>
    <n v="2206"/>
    <n v="16117"/>
    <n v="1"/>
    <x v="1"/>
    <n v="13"/>
    <n v="3"/>
    <n v="1"/>
    <n v="0"/>
    <n v="10"/>
    <n v="5"/>
    <n v="3"/>
    <n v="10"/>
    <n v="0"/>
    <n v="1"/>
    <n v="8"/>
    <x v="0"/>
    <n v="0"/>
    <s v="40–49"/>
    <x v="2"/>
    <n v="0"/>
    <s v="Low"/>
  </r>
  <r>
    <n v="39"/>
    <s v="Yes"/>
    <s v="Travel_Rarely"/>
    <n v="895"/>
    <x v="0"/>
    <n v="5"/>
    <n v="3"/>
    <s v="Technical Degree"/>
    <n v="42"/>
    <n v="4"/>
    <x v="1"/>
    <n v="56"/>
    <n v="3"/>
    <n v="2"/>
    <x v="6"/>
    <x v="0"/>
    <s v="Married"/>
    <n v="2086"/>
    <n v="3335"/>
    <n v="3"/>
    <x v="1"/>
    <n v="14"/>
    <n v="3"/>
    <n v="3"/>
    <n v="1"/>
    <n v="19"/>
    <n v="6"/>
    <n v="4"/>
    <n v="1"/>
    <n v="0"/>
    <n v="0"/>
    <n v="0"/>
    <x v="2"/>
    <n v="1"/>
    <s v="30–39"/>
    <x v="0"/>
    <n v="1"/>
    <s v="Low"/>
  </r>
  <r>
    <n v="24"/>
    <s v="Yes"/>
    <s v="Travel_Rarely"/>
    <n v="813"/>
    <x v="1"/>
    <n v="1"/>
    <n v="3"/>
    <s v="Medical"/>
    <n v="45"/>
    <n v="2"/>
    <x v="1"/>
    <n v="61"/>
    <n v="3"/>
    <n v="1"/>
    <x v="1"/>
    <x v="0"/>
    <s v="Married"/>
    <n v="2293"/>
    <n v="3020"/>
    <n v="2"/>
    <x v="0"/>
    <n v="16"/>
    <n v="3"/>
    <n v="1"/>
    <n v="1"/>
    <n v="6"/>
    <n v="2"/>
    <n v="2"/>
    <n v="2"/>
    <n v="0"/>
    <n v="2"/>
    <n v="0"/>
    <x v="2"/>
    <n v="1"/>
    <s v="30–39"/>
    <x v="0"/>
    <n v="2"/>
    <s v="Medium"/>
  </r>
  <r>
    <n v="43"/>
    <s v="No"/>
    <s v="Travel_Rarely"/>
    <n v="1273"/>
    <x v="1"/>
    <n v="2"/>
    <n v="2"/>
    <s v="Medical"/>
    <n v="46"/>
    <n v="4"/>
    <x v="0"/>
    <n v="72"/>
    <n v="4"/>
    <n v="1"/>
    <x v="1"/>
    <x v="2"/>
    <s v="Divorced"/>
    <n v="2645"/>
    <n v="21923"/>
    <n v="1"/>
    <x v="1"/>
    <n v="12"/>
    <n v="3"/>
    <n v="4"/>
    <n v="2"/>
    <n v="6"/>
    <n v="3"/>
    <n v="2"/>
    <n v="5"/>
    <n v="3"/>
    <n v="1"/>
    <n v="4"/>
    <x v="3"/>
    <n v="0"/>
    <s v="&lt;30"/>
    <x v="2"/>
    <n v="0"/>
    <s v="Low"/>
  </r>
  <r>
    <n v="50"/>
    <s v="Yes"/>
    <s v="Travel_Rarely"/>
    <n v="869"/>
    <x v="0"/>
    <n v="3"/>
    <n v="2"/>
    <s v="Marketing"/>
    <n v="47"/>
    <n v="1"/>
    <x v="1"/>
    <n v="86"/>
    <n v="2"/>
    <n v="1"/>
    <x v="6"/>
    <x v="2"/>
    <s v="Married"/>
    <n v="2683"/>
    <n v="3810"/>
    <n v="1"/>
    <x v="0"/>
    <n v="14"/>
    <n v="3"/>
    <n v="3"/>
    <n v="0"/>
    <n v="3"/>
    <n v="2"/>
    <n v="3"/>
    <n v="3"/>
    <n v="2"/>
    <n v="0"/>
    <n v="2"/>
    <x v="2"/>
    <n v="1"/>
    <s v="40–49"/>
    <x v="2"/>
    <n v="2"/>
    <s v="Medium"/>
  </r>
  <r>
    <n v="35"/>
    <s v="No"/>
    <s v="Travel_Rarely"/>
    <n v="890"/>
    <x v="0"/>
    <n v="2"/>
    <n v="3"/>
    <s v="Marketing"/>
    <n v="49"/>
    <n v="4"/>
    <x v="0"/>
    <n v="97"/>
    <n v="3"/>
    <n v="1"/>
    <x v="6"/>
    <x v="0"/>
    <s v="Married"/>
    <n v="2014"/>
    <n v="9687"/>
    <n v="1"/>
    <x v="1"/>
    <n v="13"/>
    <n v="3"/>
    <n v="1"/>
    <n v="0"/>
    <n v="2"/>
    <n v="3"/>
    <n v="3"/>
    <n v="2"/>
    <n v="2"/>
    <n v="2"/>
    <n v="2"/>
    <x v="2"/>
    <n v="0"/>
    <s v="50+"/>
    <x v="0"/>
    <n v="1"/>
    <s v="Low"/>
  </r>
  <r>
    <n v="36"/>
    <s v="No"/>
    <s v="Travel_Rarely"/>
    <n v="852"/>
    <x v="1"/>
    <n v="5"/>
    <n v="4"/>
    <s v="Life Sciences"/>
    <n v="51"/>
    <n v="2"/>
    <x v="0"/>
    <n v="82"/>
    <n v="2"/>
    <n v="1"/>
    <x v="1"/>
    <x v="3"/>
    <s v="Married"/>
    <n v="3419"/>
    <n v="13072"/>
    <n v="9"/>
    <x v="0"/>
    <n v="14"/>
    <n v="3"/>
    <n v="4"/>
    <n v="1"/>
    <n v="6"/>
    <n v="3"/>
    <n v="4"/>
    <n v="1"/>
    <n v="1"/>
    <n v="0"/>
    <n v="0"/>
    <x v="2"/>
    <n v="0"/>
    <s v="30–39"/>
    <x v="1"/>
    <n v="3"/>
    <s v="High"/>
  </r>
  <r>
    <n v="33"/>
    <s v="No"/>
    <s v="Travel_Frequently"/>
    <n v="1141"/>
    <x v="0"/>
    <n v="1"/>
    <n v="3"/>
    <s v="Life Sciences"/>
    <n v="52"/>
    <n v="3"/>
    <x v="0"/>
    <n v="42"/>
    <n v="4"/>
    <n v="2"/>
    <x v="0"/>
    <x v="3"/>
    <s v="Married"/>
    <n v="5376"/>
    <n v="3193"/>
    <n v="2"/>
    <x v="1"/>
    <n v="19"/>
    <n v="3"/>
    <n v="1"/>
    <n v="2"/>
    <n v="10"/>
    <n v="3"/>
    <n v="3"/>
    <n v="5"/>
    <n v="3"/>
    <n v="1"/>
    <n v="3"/>
    <x v="3"/>
    <n v="0"/>
    <s v="30–39"/>
    <x v="1"/>
    <n v="1"/>
    <s v="Low"/>
  </r>
  <r>
    <n v="35"/>
    <s v="No"/>
    <s v="Travel_Rarely"/>
    <n v="464"/>
    <x v="1"/>
    <n v="4"/>
    <n v="2"/>
    <s v="Other"/>
    <n v="53"/>
    <n v="3"/>
    <x v="1"/>
    <n v="75"/>
    <n v="3"/>
    <n v="1"/>
    <x v="2"/>
    <x v="0"/>
    <s v="Divorced"/>
    <n v="1951"/>
    <n v="10910"/>
    <n v="1"/>
    <x v="1"/>
    <n v="12"/>
    <n v="3"/>
    <n v="3"/>
    <n v="1"/>
    <n v="1"/>
    <n v="3"/>
    <n v="3"/>
    <n v="1"/>
    <n v="0"/>
    <n v="0"/>
    <n v="0"/>
    <x v="2"/>
    <n v="0"/>
    <s v="30–39"/>
    <x v="0"/>
    <n v="1"/>
    <s v="Low"/>
  </r>
  <r>
    <n v="27"/>
    <s v="No"/>
    <s v="Travel_Rarely"/>
    <n v="1240"/>
    <x v="1"/>
    <n v="2"/>
    <n v="4"/>
    <s v="Life Sciences"/>
    <n v="54"/>
    <n v="4"/>
    <x v="0"/>
    <n v="33"/>
    <n v="3"/>
    <n v="1"/>
    <x v="2"/>
    <x v="3"/>
    <s v="Divorced"/>
    <n v="2341"/>
    <n v="19715"/>
    <n v="1"/>
    <x v="1"/>
    <n v="13"/>
    <n v="3"/>
    <n v="4"/>
    <n v="1"/>
    <n v="1"/>
    <n v="6"/>
    <n v="3"/>
    <n v="1"/>
    <n v="0"/>
    <n v="0"/>
    <n v="0"/>
    <x v="2"/>
    <n v="0"/>
    <s v="30–39"/>
    <x v="1"/>
    <n v="2"/>
    <s v="Medium"/>
  </r>
  <r>
    <n v="26"/>
    <s v="Yes"/>
    <s v="Travel_Rarely"/>
    <n v="1357"/>
    <x v="1"/>
    <n v="25"/>
    <n v="3"/>
    <s v="Life Sciences"/>
    <n v="55"/>
    <n v="1"/>
    <x v="1"/>
    <n v="48"/>
    <n v="1"/>
    <n v="1"/>
    <x v="2"/>
    <x v="2"/>
    <s v="Single"/>
    <n v="2293"/>
    <n v="10558"/>
    <n v="1"/>
    <x v="1"/>
    <n v="12"/>
    <n v="3"/>
    <n v="3"/>
    <n v="0"/>
    <n v="1"/>
    <n v="2"/>
    <n v="2"/>
    <n v="1"/>
    <n v="0"/>
    <n v="0"/>
    <n v="1"/>
    <x v="2"/>
    <n v="1"/>
    <s v="&lt;30"/>
    <x v="2"/>
    <n v="1"/>
    <s v="Low"/>
  </r>
  <r>
    <n v="27"/>
    <s v="No"/>
    <s v="Travel_Frequently"/>
    <n v="994"/>
    <x v="0"/>
    <n v="8"/>
    <n v="3"/>
    <s v="Life Sciences"/>
    <n v="56"/>
    <n v="4"/>
    <x v="1"/>
    <n v="37"/>
    <n v="3"/>
    <n v="3"/>
    <x v="0"/>
    <x v="2"/>
    <s v="Single"/>
    <n v="8726"/>
    <n v="2975"/>
    <n v="1"/>
    <x v="1"/>
    <n v="15"/>
    <n v="3"/>
    <n v="4"/>
    <n v="0"/>
    <n v="9"/>
    <n v="0"/>
    <n v="3"/>
    <n v="9"/>
    <n v="8"/>
    <n v="1"/>
    <n v="7"/>
    <x v="0"/>
    <n v="0"/>
    <s v="&lt;30"/>
    <x v="2"/>
    <n v="0"/>
    <s v="Low"/>
  </r>
  <r>
    <n v="30"/>
    <s v="No"/>
    <s v="Travel_Frequently"/>
    <n v="721"/>
    <x v="1"/>
    <n v="1"/>
    <n v="2"/>
    <s v="Medical"/>
    <n v="57"/>
    <n v="3"/>
    <x v="0"/>
    <n v="58"/>
    <n v="3"/>
    <n v="2"/>
    <x v="2"/>
    <x v="0"/>
    <s v="Single"/>
    <n v="4011"/>
    <n v="10781"/>
    <n v="1"/>
    <x v="1"/>
    <n v="23"/>
    <n v="4"/>
    <n v="4"/>
    <n v="0"/>
    <n v="12"/>
    <n v="2"/>
    <n v="3"/>
    <n v="12"/>
    <n v="8"/>
    <n v="3"/>
    <n v="7"/>
    <x v="0"/>
    <n v="0"/>
    <s v="&lt;30"/>
    <x v="0"/>
    <n v="0"/>
    <s v="Low"/>
  </r>
  <r>
    <n v="41"/>
    <s v="Yes"/>
    <s v="Travel_Rarely"/>
    <n v="1360"/>
    <x v="1"/>
    <n v="12"/>
    <n v="3"/>
    <s v="Technical Degree"/>
    <n v="58"/>
    <n v="2"/>
    <x v="0"/>
    <n v="49"/>
    <n v="3"/>
    <n v="5"/>
    <x v="7"/>
    <x v="2"/>
    <s v="Married"/>
    <n v="19545"/>
    <n v="16280"/>
    <n v="1"/>
    <x v="1"/>
    <n v="12"/>
    <n v="3"/>
    <n v="4"/>
    <n v="0"/>
    <n v="23"/>
    <n v="0"/>
    <n v="3"/>
    <n v="22"/>
    <n v="15"/>
    <n v="15"/>
    <n v="8"/>
    <x v="0"/>
    <n v="1"/>
    <s v="30–39"/>
    <x v="2"/>
    <n v="0"/>
    <s v="Low"/>
  </r>
  <r>
    <n v="34"/>
    <s v="No"/>
    <s v="Non-Travel"/>
    <n v="1065"/>
    <x v="0"/>
    <n v="23"/>
    <n v="4"/>
    <s v="Marketing"/>
    <n v="60"/>
    <n v="2"/>
    <x v="1"/>
    <n v="72"/>
    <n v="3"/>
    <n v="2"/>
    <x v="0"/>
    <x v="2"/>
    <s v="Single"/>
    <n v="4568"/>
    <n v="10034"/>
    <n v="0"/>
    <x v="1"/>
    <n v="20"/>
    <n v="4"/>
    <n v="3"/>
    <n v="0"/>
    <n v="10"/>
    <n v="2"/>
    <n v="3"/>
    <n v="9"/>
    <n v="5"/>
    <n v="8"/>
    <n v="7"/>
    <x v="0"/>
    <n v="0"/>
    <s v="40–49"/>
    <x v="2"/>
    <n v="0"/>
    <s v="Low"/>
  </r>
  <r>
    <n v="37"/>
    <s v="No"/>
    <s v="Travel_Rarely"/>
    <n v="408"/>
    <x v="1"/>
    <n v="19"/>
    <n v="2"/>
    <s v="Life Sciences"/>
    <n v="61"/>
    <n v="2"/>
    <x v="1"/>
    <n v="73"/>
    <n v="3"/>
    <n v="1"/>
    <x v="1"/>
    <x v="1"/>
    <s v="Married"/>
    <n v="3022"/>
    <n v="10227"/>
    <n v="4"/>
    <x v="1"/>
    <n v="21"/>
    <n v="4"/>
    <n v="1"/>
    <n v="0"/>
    <n v="8"/>
    <n v="1"/>
    <n v="3"/>
    <n v="1"/>
    <n v="0"/>
    <n v="0"/>
    <n v="0"/>
    <x v="2"/>
    <n v="0"/>
    <s v="30–39"/>
    <x v="1"/>
    <n v="2"/>
    <s v="Medium"/>
  </r>
  <r>
    <n v="46"/>
    <s v="No"/>
    <s v="Travel_Frequently"/>
    <n v="1211"/>
    <x v="0"/>
    <n v="5"/>
    <n v="4"/>
    <s v="Marketing"/>
    <n v="62"/>
    <n v="1"/>
    <x v="1"/>
    <n v="98"/>
    <n v="3"/>
    <n v="2"/>
    <x v="0"/>
    <x v="0"/>
    <s v="Single"/>
    <n v="5772"/>
    <n v="20445"/>
    <n v="4"/>
    <x v="0"/>
    <n v="21"/>
    <n v="4"/>
    <n v="3"/>
    <n v="0"/>
    <n v="14"/>
    <n v="4"/>
    <n v="3"/>
    <n v="9"/>
    <n v="6"/>
    <n v="0"/>
    <n v="8"/>
    <x v="0"/>
    <n v="0"/>
    <s v="30–39"/>
    <x v="0"/>
    <n v="1"/>
    <s v="Low"/>
  </r>
  <r>
    <n v="35"/>
    <s v="No"/>
    <s v="Travel_Rarely"/>
    <n v="1229"/>
    <x v="1"/>
    <n v="8"/>
    <n v="1"/>
    <s v="Life Sciences"/>
    <n v="63"/>
    <n v="4"/>
    <x v="1"/>
    <n v="36"/>
    <n v="4"/>
    <n v="1"/>
    <x v="2"/>
    <x v="0"/>
    <s v="Married"/>
    <n v="2269"/>
    <n v="4892"/>
    <n v="1"/>
    <x v="1"/>
    <n v="19"/>
    <n v="3"/>
    <n v="4"/>
    <n v="0"/>
    <n v="1"/>
    <n v="2"/>
    <n v="3"/>
    <n v="1"/>
    <n v="0"/>
    <n v="0"/>
    <n v="1"/>
    <x v="2"/>
    <n v="0"/>
    <s v="40–49"/>
    <x v="0"/>
    <n v="1"/>
    <s v="Low"/>
  </r>
  <r>
    <n v="48"/>
    <s v="Yes"/>
    <s v="Travel_Rarely"/>
    <n v="626"/>
    <x v="1"/>
    <n v="1"/>
    <n v="2"/>
    <s v="Life Sciences"/>
    <n v="64"/>
    <n v="1"/>
    <x v="1"/>
    <n v="98"/>
    <n v="2"/>
    <n v="3"/>
    <x v="2"/>
    <x v="2"/>
    <s v="Single"/>
    <n v="5381"/>
    <n v="19294"/>
    <n v="9"/>
    <x v="0"/>
    <n v="13"/>
    <n v="3"/>
    <n v="4"/>
    <n v="0"/>
    <n v="23"/>
    <n v="2"/>
    <n v="3"/>
    <n v="1"/>
    <n v="0"/>
    <n v="0"/>
    <n v="0"/>
    <x v="2"/>
    <n v="1"/>
    <s v="30–39"/>
    <x v="2"/>
    <n v="2"/>
    <s v="Medium"/>
  </r>
  <r>
    <n v="28"/>
    <s v="Yes"/>
    <s v="Travel_Rarely"/>
    <n v="1434"/>
    <x v="1"/>
    <n v="5"/>
    <n v="4"/>
    <s v="Technical Degree"/>
    <n v="65"/>
    <n v="3"/>
    <x v="1"/>
    <n v="50"/>
    <n v="3"/>
    <n v="1"/>
    <x v="2"/>
    <x v="2"/>
    <s v="Single"/>
    <n v="3441"/>
    <n v="11179"/>
    <n v="1"/>
    <x v="0"/>
    <n v="13"/>
    <n v="3"/>
    <n v="3"/>
    <n v="0"/>
    <n v="2"/>
    <n v="3"/>
    <n v="2"/>
    <n v="2"/>
    <n v="2"/>
    <n v="2"/>
    <n v="2"/>
    <x v="2"/>
    <n v="1"/>
    <s v="40–49"/>
    <x v="2"/>
    <n v="2"/>
    <s v="Medium"/>
  </r>
  <r>
    <n v="44"/>
    <s v="No"/>
    <s v="Travel_Rarely"/>
    <n v="1488"/>
    <x v="0"/>
    <n v="1"/>
    <n v="5"/>
    <s v="Marketing"/>
    <n v="68"/>
    <n v="2"/>
    <x v="0"/>
    <n v="75"/>
    <n v="3"/>
    <n v="2"/>
    <x v="0"/>
    <x v="3"/>
    <s v="Divorced"/>
    <n v="5454"/>
    <n v="4009"/>
    <n v="5"/>
    <x v="0"/>
    <n v="21"/>
    <n v="4"/>
    <n v="3"/>
    <n v="1"/>
    <n v="9"/>
    <n v="2"/>
    <n v="2"/>
    <n v="4"/>
    <n v="3"/>
    <n v="1"/>
    <n v="3"/>
    <x v="3"/>
    <n v="0"/>
    <s v="&lt;30"/>
    <x v="1"/>
    <n v="2"/>
    <s v="Medium"/>
  </r>
  <r>
    <n v="35"/>
    <s v="No"/>
    <s v="Non-Travel"/>
    <n v="1097"/>
    <x v="1"/>
    <n v="11"/>
    <n v="2"/>
    <s v="Medical"/>
    <n v="70"/>
    <n v="3"/>
    <x v="1"/>
    <n v="79"/>
    <n v="2"/>
    <n v="3"/>
    <x v="4"/>
    <x v="3"/>
    <s v="Married"/>
    <n v="9884"/>
    <n v="8302"/>
    <n v="2"/>
    <x v="0"/>
    <n v="13"/>
    <n v="3"/>
    <n v="3"/>
    <n v="1"/>
    <n v="10"/>
    <n v="3"/>
    <n v="3"/>
    <n v="4"/>
    <n v="0"/>
    <n v="2"/>
    <n v="3"/>
    <x v="3"/>
    <n v="0"/>
    <s v="40–49"/>
    <x v="1"/>
    <n v="2"/>
    <s v="Medium"/>
  </r>
  <r>
    <n v="26"/>
    <s v="No"/>
    <s v="Travel_Rarely"/>
    <n v="1443"/>
    <x v="0"/>
    <n v="23"/>
    <n v="3"/>
    <s v="Marketing"/>
    <n v="72"/>
    <n v="3"/>
    <x v="0"/>
    <n v="47"/>
    <n v="2"/>
    <n v="2"/>
    <x v="0"/>
    <x v="0"/>
    <s v="Married"/>
    <n v="4157"/>
    <n v="21436"/>
    <n v="7"/>
    <x v="0"/>
    <n v="19"/>
    <n v="3"/>
    <n v="3"/>
    <n v="1"/>
    <n v="5"/>
    <n v="2"/>
    <n v="2"/>
    <n v="2"/>
    <n v="2"/>
    <n v="0"/>
    <n v="0"/>
    <x v="2"/>
    <n v="0"/>
    <s v="30–39"/>
    <x v="0"/>
    <n v="2"/>
    <s v="Medium"/>
  </r>
  <r>
    <n v="33"/>
    <s v="No"/>
    <s v="Travel_Frequently"/>
    <n v="515"/>
    <x v="1"/>
    <n v="1"/>
    <n v="2"/>
    <s v="Life Sciences"/>
    <n v="73"/>
    <n v="1"/>
    <x v="0"/>
    <n v="98"/>
    <n v="3"/>
    <n v="3"/>
    <x v="7"/>
    <x v="0"/>
    <s v="Single"/>
    <n v="13458"/>
    <n v="15146"/>
    <n v="1"/>
    <x v="0"/>
    <n v="12"/>
    <n v="3"/>
    <n v="3"/>
    <n v="0"/>
    <n v="15"/>
    <n v="1"/>
    <n v="3"/>
    <n v="15"/>
    <n v="14"/>
    <n v="8"/>
    <n v="12"/>
    <x v="0"/>
    <n v="0"/>
    <s v="&lt;30"/>
    <x v="0"/>
    <n v="1"/>
    <s v="Low"/>
  </r>
  <r>
    <n v="35"/>
    <s v="No"/>
    <s v="Travel_Frequently"/>
    <n v="853"/>
    <x v="0"/>
    <n v="18"/>
    <n v="5"/>
    <s v="Life Sciences"/>
    <n v="74"/>
    <n v="2"/>
    <x v="1"/>
    <n v="71"/>
    <n v="3"/>
    <n v="3"/>
    <x v="0"/>
    <x v="3"/>
    <s v="Married"/>
    <n v="9069"/>
    <n v="11031"/>
    <n v="1"/>
    <x v="1"/>
    <n v="22"/>
    <n v="4"/>
    <n v="4"/>
    <n v="1"/>
    <n v="9"/>
    <n v="3"/>
    <n v="2"/>
    <n v="9"/>
    <n v="8"/>
    <n v="1"/>
    <n v="8"/>
    <x v="0"/>
    <n v="0"/>
    <s v="30–39"/>
    <x v="1"/>
    <n v="1"/>
    <s v="Low"/>
  </r>
  <r>
    <n v="35"/>
    <s v="No"/>
    <s v="Travel_Rarely"/>
    <n v="1142"/>
    <x v="1"/>
    <n v="23"/>
    <n v="4"/>
    <s v="Medical"/>
    <n v="75"/>
    <n v="3"/>
    <x v="0"/>
    <n v="30"/>
    <n v="3"/>
    <n v="1"/>
    <x v="2"/>
    <x v="3"/>
    <s v="Married"/>
    <n v="4014"/>
    <n v="16002"/>
    <n v="3"/>
    <x v="0"/>
    <n v="15"/>
    <n v="3"/>
    <n v="3"/>
    <n v="1"/>
    <n v="4"/>
    <n v="3"/>
    <n v="3"/>
    <n v="2"/>
    <n v="2"/>
    <n v="2"/>
    <n v="2"/>
    <x v="2"/>
    <n v="0"/>
    <s v="30–39"/>
    <x v="1"/>
    <n v="3"/>
    <s v="High"/>
  </r>
  <r>
    <n v="31"/>
    <s v="No"/>
    <s v="Travel_Rarely"/>
    <n v="655"/>
    <x v="1"/>
    <n v="7"/>
    <n v="4"/>
    <s v="Life Sciences"/>
    <n v="76"/>
    <n v="4"/>
    <x v="1"/>
    <n v="48"/>
    <n v="3"/>
    <n v="2"/>
    <x v="2"/>
    <x v="0"/>
    <s v="Divorced"/>
    <n v="5915"/>
    <n v="9528"/>
    <n v="3"/>
    <x v="1"/>
    <n v="22"/>
    <n v="4"/>
    <n v="4"/>
    <n v="1"/>
    <n v="10"/>
    <n v="3"/>
    <n v="2"/>
    <n v="7"/>
    <n v="7"/>
    <n v="1"/>
    <n v="7"/>
    <x v="0"/>
    <n v="0"/>
    <s v="30–39"/>
    <x v="0"/>
    <n v="0"/>
    <s v="Low"/>
  </r>
  <r>
    <n v="37"/>
    <s v="No"/>
    <s v="Travel_Rarely"/>
    <n v="1115"/>
    <x v="1"/>
    <n v="1"/>
    <n v="4"/>
    <s v="Life Sciences"/>
    <n v="77"/>
    <n v="1"/>
    <x v="1"/>
    <n v="51"/>
    <n v="2"/>
    <n v="2"/>
    <x v="3"/>
    <x v="2"/>
    <s v="Divorced"/>
    <n v="5993"/>
    <n v="2689"/>
    <n v="1"/>
    <x v="1"/>
    <n v="18"/>
    <n v="3"/>
    <n v="3"/>
    <n v="1"/>
    <n v="7"/>
    <n v="2"/>
    <n v="4"/>
    <n v="7"/>
    <n v="5"/>
    <n v="0"/>
    <n v="7"/>
    <x v="0"/>
    <n v="0"/>
    <s v="30–39"/>
    <x v="2"/>
    <n v="0"/>
    <s v="Low"/>
  </r>
  <r>
    <n v="32"/>
    <s v="No"/>
    <s v="Travel_Rarely"/>
    <n v="427"/>
    <x v="1"/>
    <n v="1"/>
    <n v="3"/>
    <s v="Medical"/>
    <n v="78"/>
    <n v="1"/>
    <x v="1"/>
    <n v="33"/>
    <n v="3"/>
    <n v="2"/>
    <x v="3"/>
    <x v="0"/>
    <s v="Married"/>
    <n v="6162"/>
    <n v="10877"/>
    <n v="1"/>
    <x v="0"/>
    <n v="22"/>
    <n v="4"/>
    <n v="2"/>
    <n v="1"/>
    <n v="9"/>
    <n v="3"/>
    <n v="3"/>
    <n v="9"/>
    <n v="8"/>
    <n v="7"/>
    <n v="8"/>
    <x v="0"/>
    <n v="0"/>
    <s v="30–39"/>
    <x v="0"/>
    <n v="1"/>
    <s v="Low"/>
  </r>
  <r>
    <n v="38"/>
    <s v="No"/>
    <s v="Travel_Frequently"/>
    <n v="653"/>
    <x v="1"/>
    <n v="29"/>
    <n v="5"/>
    <s v="Life Sciences"/>
    <n v="79"/>
    <n v="4"/>
    <x v="0"/>
    <n v="50"/>
    <n v="3"/>
    <n v="2"/>
    <x v="2"/>
    <x v="0"/>
    <s v="Single"/>
    <n v="2406"/>
    <n v="5456"/>
    <n v="1"/>
    <x v="1"/>
    <n v="11"/>
    <n v="3"/>
    <n v="4"/>
    <n v="0"/>
    <n v="10"/>
    <n v="2"/>
    <n v="3"/>
    <n v="10"/>
    <n v="3"/>
    <n v="9"/>
    <n v="9"/>
    <x v="0"/>
    <n v="0"/>
    <s v="30–39"/>
    <x v="0"/>
    <n v="0"/>
    <s v="Low"/>
  </r>
  <r>
    <n v="50"/>
    <s v="No"/>
    <s v="Travel_Rarely"/>
    <n v="989"/>
    <x v="1"/>
    <n v="7"/>
    <n v="2"/>
    <s v="Medical"/>
    <n v="80"/>
    <n v="2"/>
    <x v="0"/>
    <n v="43"/>
    <n v="2"/>
    <n v="5"/>
    <x v="7"/>
    <x v="2"/>
    <s v="Divorced"/>
    <n v="18740"/>
    <n v="16701"/>
    <n v="5"/>
    <x v="0"/>
    <n v="12"/>
    <n v="3"/>
    <n v="4"/>
    <n v="1"/>
    <n v="29"/>
    <n v="2"/>
    <n v="2"/>
    <n v="27"/>
    <n v="3"/>
    <n v="13"/>
    <n v="8"/>
    <x v="0"/>
    <n v="0"/>
    <s v="30–39"/>
    <x v="2"/>
    <n v="1"/>
    <s v="Low"/>
  </r>
  <r>
    <n v="59"/>
    <s v="No"/>
    <s v="Travel_Rarely"/>
    <n v="1435"/>
    <x v="0"/>
    <n v="25"/>
    <n v="3"/>
    <s v="Life Sciences"/>
    <n v="81"/>
    <n v="1"/>
    <x v="0"/>
    <n v="99"/>
    <n v="3"/>
    <n v="3"/>
    <x v="0"/>
    <x v="3"/>
    <s v="Single"/>
    <n v="7637"/>
    <n v="2354"/>
    <n v="7"/>
    <x v="1"/>
    <n v="11"/>
    <n v="3"/>
    <n v="4"/>
    <n v="0"/>
    <n v="28"/>
    <n v="3"/>
    <n v="2"/>
    <n v="21"/>
    <n v="16"/>
    <n v="7"/>
    <n v="9"/>
    <x v="0"/>
    <n v="0"/>
    <s v="50+"/>
    <x v="1"/>
    <n v="1"/>
    <s v="Low"/>
  </r>
  <r>
    <n v="36"/>
    <s v="No"/>
    <s v="Travel_Rarely"/>
    <n v="1223"/>
    <x v="1"/>
    <n v="8"/>
    <n v="3"/>
    <s v="Technical Degree"/>
    <n v="83"/>
    <n v="3"/>
    <x v="0"/>
    <n v="59"/>
    <n v="3"/>
    <n v="3"/>
    <x v="4"/>
    <x v="2"/>
    <s v="Divorced"/>
    <n v="10096"/>
    <n v="8202"/>
    <n v="1"/>
    <x v="1"/>
    <n v="13"/>
    <n v="3"/>
    <n v="2"/>
    <n v="3"/>
    <n v="17"/>
    <n v="2"/>
    <n v="3"/>
    <n v="17"/>
    <n v="14"/>
    <n v="12"/>
    <n v="8"/>
    <x v="0"/>
    <n v="0"/>
    <s v="50+"/>
    <x v="2"/>
    <n v="0"/>
    <s v="Low"/>
  </r>
  <r>
    <n v="55"/>
    <s v="No"/>
    <s v="Travel_Rarely"/>
    <n v="836"/>
    <x v="1"/>
    <n v="8"/>
    <n v="3"/>
    <s v="Medical"/>
    <n v="84"/>
    <n v="4"/>
    <x v="0"/>
    <n v="33"/>
    <n v="3"/>
    <n v="4"/>
    <x v="5"/>
    <x v="2"/>
    <s v="Divorced"/>
    <n v="14756"/>
    <n v="19730"/>
    <n v="2"/>
    <x v="0"/>
    <n v="14"/>
    <n v="3"/>
    <n v="3"/>
    <n v="3"/>
    <n v="21"/>
    <n v="2"/>
    <n v="3"/>
    <n v="5"/>
    <n v="0"/>
    <n v="0"/>
    <n v="2"/>
    <x v="3"/>
    <n v="0"/>
    <s v="30–39"/>
    <x v="2"/>
    <n v="1"/>
    <s v="Low"/>
  </r>
  <r>
    <n v="36"/>
    <s v="No"/>
    <s v="Travel_Frequently"/>
    <n v="1195"/>
    <x v="1"/>
    <n v="11"/>
    <n v="3"/>
    <s v="Life Sciences"/>
    <n v="85"/>
    <n v="2"/>
    <x v="1"/>
    <n v="95"/>
    <n v="2"/>
    <n v="2"/>
    <x v="3"/>
    <x v="1"/>
    <s v="Single"/>
    <n v="6499"/>
    <n v="22656"/>
    <n v="1"/>
    <x v="1"/>
    <n v="13"/>
    <n v="3"/>
    <n v="3"/>
    <n v="0"/>
    <n v="6"/>
    <n v="3"/>
    <n v="3"/>
    <n v="6"/>
    <n v="5"/>
    <n v="0"/>
    <n v="3"/>
    <x v="0"/>
    <n v="0"/>
    <s v="50+"/>
    <x v="1"/>
    <n v="1"/>
    <s v="Low"/>
  </r>
  <r>
    <n v="45"/>
    <s v="No"/>
    <s v="Travel_Rarely"/>
    <n v="1339"/>
    <x v="1"/>
    <n v="7"/>
    <n v="3"/>
    <s v="Life Sciences"/>
    <n v="86"/>
    <n v="2"/>
    <x v="1"/>
    <n v="59"/>
    <n v="3"/>
    <n v="3"/>
    <x v="1"/>
    <x v="3"/>
    <s v="Divorced"/>
    <n v="9724"/>
    <n v="18787"/>
    <n v="2"/>
    <x v="1"/>
    <n v="17"/>
    <n v="3"/>
    <n v="3"/>
    <n v="1"/>
    <n v="25"/>
    <n v="2"/>
    <n v="3"/>
    <n v="1"/>
    <n v="0"/>
    <n v="0"/>
    <n v="0"/>
    <x v="2"/>
    <n v="0"/>
    <s v="30–39"/>
    <x v="1"/>
    <n v="2"/>
    <s v="Medium"/>
  </r>
  <r>
    <n v="35"/>
    <s v="No"/>
    <s v="Travel_Frequently"/>
    <n v="664"/>
    <x v="1"/>
    <n v="1"/>
    <n v="3"/>
    <s v="Medical"/>
    <n v="88"/>
    <n v="2"/>
    <x v="1"/>
    <n v="79"/>
    <n v="3"/>
    <n v="1"/>
    <x v="1"/>
    <x v="3"/>
    <s v="Married"/>
    <n v="2194"/>
    <n v="5868"/>
    <n v="4"/>
    <x v="1"/>
    <n v="13"/>
    <n v="3"/>
    <n v="4"/>
    <n v="1"/>
    <n v="5"/>
    <n v="2"/>
    <n v="2"/>
    <n v="3"/>
    <n v="2"/>
    <n v="1"/>
    <n v="2"/>
    <x v="2"/>
    <n v="0"/>
    <s v="40–49"/>
    <x v="1"/>
    <n v="2"/>
    <s v="Medium"/>
  </r>
  <r>
    <n v="36"/>
    <s v="Yes"/>
    <s v="Travel_Rarely"/>
    <n v="318"/>
    <x v="1"/>
    <n v="9"/>
    <n v="3"/>
    <s v="Medical"/>
    <n v="90"/>
    <n v="4"/>
    <x v="1"/>
    <n v="79"/>
    <n v="2"/>
    <n v="1"/>
    <x v="1"/>
    <x v="2"/>
    <s v="Married"/>
    <n v="3388"/>
    <n v="21777"/>
    <n v="0"/>
    <x v="0"/>
    <n v="17"/>
    <n v="3"/>
    <n v="1"/>
    <n v="1"/>
    <n v="2"/>
    <n v="0"/>
    <n v="2"/>
    <n v="1"/>
    <n v="0"/>
    <n v="0"/>
    <n v="0"/>
    <x v="2"/>
    <n v="1"/>
    <s v="30–39"/>
    <x v="2"/>
    <n v="2"/>
    <s v="Medium"/>
  </r>
  <r>
    <n v="59"/>
    <s v="No"/>
    <s v="Travel_Frequently"/>
    <n v="1225"/>
    <x v="0"/>
    <n v="1"/>
    <n v="1"/>
    <s v="Life Sciences"/>
    <n v="91"/>
    <n v="1"/>
    <x v="0"/>
    <n v="57"/>
    <n v="2"/>
    <n v="2"/>
    <x v="0"/>
    <x v="2"/>
    <s v="Single"/>
    <n v="5473"/>
    <n v="24668"/>
    <n v="7"/>
    <x v="1"/>
    <n v="11"/>
    <n v="3"/>
    <n v="4"/>
    <n v="0"/>
    <n v="20"/>
    <n v="2"/>
    <n v="2"/>
    <n v="4"/>
    <n v="3"/>
    <n v="1"/>
    <n v="3"/>
    <x v="3"/>
    <n v="0"/>
    <s v="30–39"/>
    <x v="2"/>
    <n v="0"/>
    <s v="Low"/>
  </r>
  <r>
    <n v="29"/>
    <s v="No"/>
    <s v="Travel_Rarely"/>
    <n v="1328"/>
    <x v="1"/>
    <n v="2"/>
    <n v="3"/>
    <s v="Life Sciences"/>
    <n v="94"/>
    <n v="3"/>
    <x v="1"/>
    <n v="76"/>
    <n v="3"/>
    <n v="1"/>
    <x v="1"/>
    <x v="1"/>
    <s v="Married"/>
    <n v="2703"/>
    <n v="4956"/>
    <n v="0"/>
    <x v="1"/>
    <n v="23"/>
    <n v="4"/>
    <n v="4"/>
    <n v="1"/>
    <n v="6"/>
    <n v="3"/>
    <n v="3"/>
    <n v="5"/>
    <n v="4"/>
    <n v="0"/>
    <n v="4"/>
    <x v="3"/>
    <n v="0"/>
    <s v="50+"/>
    <x v="1"/>
    <n v="1"/>
    <s v="Low"/>
  </r>
  <r>
    <n v="31"/>
    <s v="No"/>
    <s v="Travel_Rarely"/>
    <n v="1082"/>
    <x v="1"/>
    <n v="1"/>
    <n v="4"/>
    <s v="Medical"/>
    <n v="95"/>
    <n v="3"/>
    <x v="1"/>
    <n v="87"/>
    <n v="3"/>
    <n v="1"/>
    <x v="1"/>
    <x v="1"/>
    <s v="Single"/>
    <n v="2501"/>
    <n v="18775"/>
    <n v="1"/>
    <x v="1"/>
    <n v="17"/>
    <n v="3"/>
    <n v="2"/>
    <n v="0"/>
    <n v="1"/>
    <n v="4"/>
    <n v="3"/>
    <n v="1"/>
    <n v="1"/>
    <n v="1"/>
    <n v="0"/>
    <x v="2"/>
    <n v="0"/>
    <s v="&lt;30"/>
    <x v="1"/>
    <n v="2"/>
    <s v="Medium"/>
  </r>
  <r>
    <n v="32"/>
    <s v="No"/>
    <s v="Travel_Rarely"/>
    <n v="548"/>
    <x v="1"/>
    <n v="1"/>
    <n v="3"/>
    <s v="Life Sciences"/>
    <n v="96"/>
    <n v="2"/>
    <x v="1"/>
    <n v="66"/>
    <n v="3"/>
    <n v="2"/>
    <x v="1"/>
    <x v="1"/>
    <s v="Married"/>
    <n v="6220"/>
    <n v="7346"/>
    <n v="1"/>
    <x v="1"/>
    <n v="17"/>
    <n v="3"/>
    <n v="2"/>
    <n v="2"/>
    <n v="10"/>
    <n v="3"/>
    <n v="3"/>
    <n v="10"/>
    <n v="4"/>
    <n v="0"/>
    <n v="9"/>
    <x v="0"/>
    <n v="0"/>
    <s v="30–39"/>
    <x v="1"/>
    <n v="1"/>
    <s v="Low"/>
  </r>
  <r>
    <n v="36"/>
    <s v="No"/>
    <s v="Travel_Rarely"/>
    <n v="132"/>
    <x v="1"/>
    <n v="6"/>
    <n v="3"/>
    <s v="Life Sciences"/>
    <n v="97"/>
    <n v="2"/>
    <x v="0"/>
    <n v="55"/>
    <n v="4"/>
    <n v="1"/>
    <x v="2"/>
    <x v="0"/>
    <s v="Married"/>
    <n v="3038"/>
    <n v="22002"/>
    <n v="3"/>
    <x v="1"/>
    <n v="12"/>
    <n v="3"/>
    <n v="2"/>
    <n v="0"/>
    <n v="5"/>
    <n v="3"/>
    <n v="3"/>
    <n v="1"/>
    <n v="0"/>
    <n v="0"/>
    <n v="0"/>
    <x v="2"/>
    <n v="0"/>
    <s v="30–39"/>
    <x v="0"/>
    <n v="1"/>
    <s v="Low"/>
  </r>
  <r>
    <n v="31"/>
    <s v="No"/>
    <s v="Travel_Rarely"/>
    <n v="746"/>
    <x v="1"/>
    <n v="8"/>
    <n v="4"/>
    <s v="Life Sciences"/>
    <n v="98"/>
    <n v="3"/>
    <x v="0"/>
    <n v="61"/>
    <n v="3"/>
    <n v="2"/>
    <x v="3"/>
    <x v="0"/>
    <s v="Single"/>
    <n v="4424"/>
    <n v="20682"/>
    <n v="1"/>
    <x v="1"/>
    <n v="23"/>
    <n v="4"/>
    <n v="4"/>
    <n v="0"/>
    <n v="11"/>
    <n v="2"/>
    <n v="3"/>
    <n v="11"/>
    <n v="7"/>
    <n v="1"/>
    <n v="8"/>
    <x v="0"/>
    <n v="0"/>
    <s v="30–39"/>
    <x v="0"/>
    <n v="0"/>
    <s v="Low"/>
  </r>
  <r>
    <n v="35"/>
    <s v="No"/>
    <s v="Travel_Rarely"/>
    <n v="776"/>
    <x v="0"/>
    <n v="1"/>
    <n v="4"/>
    <s v="Marketing"/>
    <n v="100"/>
    <n v="3"/>
    <x v="1"/>
    <n v="32"/>
    <n v="2"/>
    <n v="2"/>
    <x v="0"/>
    <x v="3"/>
    <s v="Single"/>
    <n v="4312"/>
    <n v="23016"/>
    <n v="0"/>
    <x v="1"/>
    <n v="14"/>
    <n v="3"/>
    <n v="2"/>
    <n v="0"/>
    <n v="16"/>
    <n v="2"/>
    <n v="3"/>
    <n v="15"/>
    <n v="13"/>
    <n v="2"/>
    <n v="8"/>
    <x v="0"/>
    <n v="0"/>
    <s v="30–39"/>
    <x v="1"/>
    <n v="1"/>
    <s v="Low"/>
  </r>
  <r>
    <n v="45"/>
    <s v="No"/>
    <s v="Travel_Rarely"/>
    <n v="193"/>
    <x v="1"/>
    <n v="6"/>
    <n v="4"/>
    <s v="Other"/>
    <n v="101"/>
    <n v="4"/>
    <x v="1"/>
    <n v="52"/>
    <n v="3"/>
    <n v="3"/>
    <x v="7"/>
    <x v="3"/>
    <s v="Married"/>
    <n v="13245"/>
    <n v="15067"/>
    <n v="4"/>
    <x v="0"/>
    <n v="14"/>
    <n v="3"/>
    <n v="2"/>
    <n v="0"/>
    <n v="17"/>
    <n v="3"/>
    <n v="4"/>
    <n v="0"/>
    <n v="0"/>
    <n v="0"/>
    <n v="0"/>
    <x v="1"/>
    <n v="0"/>
    <s v="30–39"/>
    <x v="1"/>
    <n v="3"/>
    <s v="High"/>
  </r>
  <r>
    <n v="37"/>
    <s v="No"/>
    <s v="Travel_Rarely"/>
    <n v="397"/>
    <x v="1"/>
    <n v="7"/>
    <n v="4"/>
    <s v="Medical"/>
    <n v="102"/>
    <n v="1"/>
    <x v="1"/>
    <n v="30"/>
    <n v="3"/>
    <n v="3"/>
    <x v="7"/>
    <x v="2"/>
    <s v="Single"/>
    <n v="13664"/>
    <n v="25258"/>
    <n v="4"/>
    <x v="1"/>
    <n v="13"/>
    <n v="3"/>
    <n v="1"/>
    <n v="0"/>
    <n v="16"/>
    <n v="3"/>
    <n v="4"/>
    <n v="5"/>
    <n v="2"/>
    <n v="0"/>
    <n v="2"/>
    <x v="3"/>
    <n v="0"/>
    <s v="40–49"/>
    <x v="2"/>
    <n v="0"/>
    <s v="Low"/>
  </r>
  <r>
    <n v="46"/>
    <s v="No"/>
    <s v="Travel_Rarely"/>
    <n v="945"/>
    <x v="2"/>
    <n v="5"/>
    <n v="2"/>
    <s v="Medical"/>
    <n v="103"/>
    <n v="2"/>
    <x v="1"/>
    <n v="80"/>
    <n v="3"/>
    <n v="2"/>
    <x v="8"/>
    <x v="1"/>
    <s v="Divorced"/>
    <n v="5021"/>
    <n v="10425"/>
    <n v="8"/>
    <x v="0"/>
    <n v="22"/>
    <n v="4"/>
    <n v="4"/>
    <n v="1"/>
    <n v="16"/>
    <n v="2"/>
    <n v="3"/>
    <n v="4"/>
    <n v="2"/>
    <n v="0"/>
    <n v="2"/>
    <x v="3"/>
    <n v="0"/>
    <s v="30–39"/>
    <x v="1"/>
    <n v="2"/>
    <s v="Medium"/>
  </r>
  <r>
    <n v="30"/>
    <s v="No"/>
    <s v="Travel_Rarely"/>
    <n v="852"/>
    <x v="1"/>
    <n v="1"/>
    <n v="1"/>
    <s v="Life Sciences"/>
    <n v="104"/>
    <n v="4"/>
    <x v="1"/>
    <n v="55"/>
    <n v="2"/>
    <n v="2"/>
    <x v="2"/>
    <x v="0"/>
    <s v="Married"/>
    <n v="5126"/>
    <n v="15998"/>
    <n v="1"/>
    <x v="0"/>
    <n v="12"/>
    <n v="3"/>
    <n v="3"/>
    <n v="2"/>
    <n v="10"/>
    <n v="1"/>
    <n v="2"/>
    <n v="10"/>
    <n v="8"/>
    <n v="3"/>
    <n v="0"/>
    <x v="0"/>
    <n v="0"/>
    <s v="40–49"/>
    <x v="0"/>
    <n v="1"/>
    <s v="Low"/>
  </r>
  <r>
    <n v="35"/>
    <s v="No"/>
    <s v="Travel_Rarely"/>
    <n v="1214"/>
    <x v="1"/>
    <n v="1"/>
    <n v="3"/>
    <s v="Medical"/>
    <n v="105"/>
    <n v="2"/>
    <x v="1"/>
    <n v="30"/>
    <n v="2"/>
    <n v="1"/>
    <x v="1"/>
    <x v="2"/>
    <s v="Single"/>
    <n v="2859"/>
    <n v="26278"/>
    <n v="1"/>
    <x v="1"/>
    <n v="18"/>
    <n v="3"/>
    <n v="1"/>
    <n v="0"/>
    <n v="6"/>
    <n v="3"/>
    <n v="3"/>
    <n v="6"/>
    <n v="4"/>
    <n v="0"/>
    <n v="4"/>
    <x v="0"/>
    <n v="0"/>
    <s v="30–39"/>
    <x v="2"/>
    <n v="0"/>
    <s v="Low"/>
  </r>
  <r>
    <n v="55"/>
    <s v="No"/>
    <s v="Travel_Rarely"/>
    <n v="111"/>
    <x v="0"/>
    <n v="1"/>
    <n v="2"/>
    <s v="Life Sciences"/>
    <n v="106"/>
    <n v="1"/>
    <x v="1"/>
    <n v="70"/>
    <n v="3"/>
    <n v="3"/>
    <x v="0"/>
    <x v="0"/>
    <s v="Married"/>
    <n v="10239"/>
    <n v="18092"/>
    <n v="3"/>
    <x v="1"/>
    <n v="14"/>
    <n v="3"/>
    <n v="4"/>
    <n v="1"/>
    <n v="24"/>
    <n v="4"/>
    <n v="3"/>
    <n v="1"/>
    <n v="0"/>
    <n v="1"/>
    <n v="0"/>
    <x v="2"/>
    <n v="0"/>
    <s v="30–39"/>
    <x v="0"/>
    <n v="1"/>
    <s v="Low"/>
  </r>
  <r>
    <n v="38"/>
    <s v="No"/>
    <s v="Non-Travel"/>
    <n v="573"/>
    <x v="1"/>
    <n v="6"/>
    <n v="3"/>
    <s v="Medical"/>
    <n v="107"/>
    <n v="2"/>
    <x v="0"/>
    <n v="79"/>
    <n v="1"/>
    <n v="2"/>
    <x v="1"/>
    <x v="0"/>
    <s v="Divorced"/>
    <n v="5329"/>
    <n v="15717"/>
    <n v="7"/>
    <x v="0"/>
    <n v="12"/>
    <n v="3"/>
    <n v="4"/>
    <n v="3"/>
    <n v="17"/>
    <n v="3"/>
    <n v="3"/>
    <n v="13"/>
    <n v="11"/>
    <n v="1"/>
    <n v="9"/>
    <x v="0"/>
    <n v="0"/>
    <s v="50+"/>
    <x v="0"/>
    <n v="1"/>
    <s v="Low"/>
  </r>
  <r>
    <n v="34"/>
    <s v="No"/>
    <s v="Travel_Rarely"/>
    <n v="1153"/>
    <x v="1"/>
    <n v="1"/>
    <n v="2"/>
    <s v="Medical"/>
    <n v="110"/>
    <n v="1"/>
    <x v="1"/>
    <n v="94"/>
    <n v="3"/>
    <n v="2"/>
    <x v="3"/>
    <x v="1"/>
    <s v="Married"/>
    <n v="4325"/>
    <n v="17736"/>
    <n v="1"/>
    <x v="1"/>
    <n v="15"/>
    <n v="3"/>
    <n v="3"/>
    <n v="0"/>
    <n v="5"/>
    <n v="2"/>
    <n v="3"/>
    <n v="5"/>
    <n v="2"/>
    <n v="1"/>
    <n v="3"/>
    <x v="3"/>
    <n v="0"/>
    <s v="30–39"/>
    <x v="1"/>
    <n v="1"/>
    <s v="Low"/>
  </r>
  <r>
    <n v="56"/>
    <s v="No"/>
    <s v="Travel_Rarely"/>
    <n v="1400"/>
    <x v="1"/>
    <n v="7"/>
    <n v="3"/>
    <s v="Life Sciences"/>
    <n v="112"/>
    <n v="4"/>
    <x v="1"/>
    <n v="49"/>
    <n v="1"/>
    <n v="3"/>
    <x v="3"/>
    <x v="0"/>
    <s v="Single"/>
    <n v="7260"/>
    <n v="21698"/>
    <n v="4"/>
    <x v="1"/>
    <n v="11"/>
    <n v="3"/>
    <n v="1"/>
    <n v="0"/>
    <n v="37"/>
    <n v="3"/>
    <n v="2"/>
    <n v="6"/>
    <n v="4"/>
    <n v="0"/>
    <n v="2"/>
    <x v="0"/>
    <n v="0"/>
    <s v="30–39"/>
    <x v="0"/>
    <n v="0"/>
    <s v="Low"/>
  </r>
  <r>
    <n v="23"/>
    <s v="No"/>
    <s v="Travel_Rarely"/>
    <n v="541"/>
    <x v="0"/>
    <n v="2"/>
    <n v="1"/>
    <s v="Technical Degree"/>
    <n v="113"/>
    <n v="3"/>
    <x v="1"/>
    <n v="62"/>
    <n v="3"/>
    <n v="1"/>
    <x v="6"/>
    <x v="3"/>
    <s v="Divorced"/>
    <n v="2322"/>
    <n v="9518"/>
    <n v="3"/>
    <x v="1"/>
    <n v="13"/>
    <n v="3"/>
    <n v="3"/>
    <n v="1"/>
    <n v="3"/>
    <n v="3"/>
    <n v="3"/>
    <n v="0"/>
    <n v="0"/>
    <n v="0"/>
    <n v="0"/>
    <x v="1"/>
    <n v="0"/>
    <s v="50+"/>
    <x v="1"/>
    <n v="2"/>
    <s v="Medium"/>
  </r>
  <r>
    <n v="51"/>
    <s v="No"/>
    <s v="Travel_Rarely"/>
    <n v="432"/>
    <x v="1"/>
    <n v="9"/>
    <n v="4"/>
    <s v="Life Sciences"/>
    <n v="116"/>
    <n v="4"/>
    <x v="1"/>
    <n v="96"/>
    <n v="3"/>
    <n v="1"/>
    <x v="2"/>
    <x v="0"/>
    <s v="Married"/>
    <n v="2075"/>
    <n v="18725"/>
    <n v="3"/>
    <x v="1"/>
    <n v="23"/>
    <n v="4"/>
    <n v="2"/>
    <n v="2"/>
    <n v="10"/>
    <n v="4"/>
    <n v="3"/>
    <n v="4"/>
    <n v="2"/>
    <n v="0"/>
    <n v="3"/>
    <x v="3"/>
    <n v="0"/>
    <s v="&lt;30"/>
    <x v="0"/>
    <n v="0"/>
    <s v="Low"/>
  </r>
  <r>
    <n v="30"/>
    <s v="No"/>
    <s v="Travel_Rarely"/>
    <n v="288"/>
    <x v="1"/>
    <n v="2"/>
    <n v="3"/>
    <s v="Life Sciences"/>
    <n v="117"/>
    <n v="3"/>
    <x v="1"/>
    <n v="99"/>
    <n v="2"/>
    <n v="2"/>
    <x v="4"/>
    <x v="0"/>
    <s v="Married"/>
    <n v="4152"/>
    <n v="15830"/>
    <n v="1"/>
    <x v="1"/>
    <n v="19"/>
    <n v="3"/>
    <n v="1"/>
    <n v="3"/>
    <n v="11"/>
    <n v="3"/>
    <n v="3"/>
    <n v="11"/>
    <n v="10"/>
    <n v="10"/>
    <n v="8"/>
    <x v="0"/>
    <n v="0"/>
    <s v="50+"/>
    <x v="0"/>
    <n v="0"/>
    <s v="Low"/>
  </r>
  <r>
    <n v="46"/>
    <s v="Yes"/>
    <s v="Travel_Rarely"/>
    <n v="669"/>
    <x v="0"/>
    <n v="9"/>
    <n v="2"/>
    <s v="Medical"/>
    <n v="118"/>
    <n v="3"/>
    <x v="1"/>
    <n v="64"/>
    <n v="2"/>
    <n v="3"/>
    <x v="0"/>
    <x v="0"/>
    <s v="Single"/>
    <n v="9619"/>
    <n v="13596"/>
    <n v="1"/>
    <x v="1"/>
    <n v="16"/>
    <n v="3"/>
    <n v="4"/>
    <n v="0"/>
    <n v="9"/>
    <n v="3"/>
    <n v="3"/>
    <n v="9"/>
    <n v="8"/>
    <n v="4"/>
    <n v="7"/>
    <x v="0"/>
    <n v="1"/>
    <s v="30–39"/>
    <x v="0"/>
    <n v="0"/>
    <s v="Low"/>
  </r>
  <r>
    <n v="40"/>
    <s v="No"/>
    <s v="Travel_Frequently"/>
    <n v="530"/>
    <x v="1"/>
    <n v="1"/>
    <n v="4"/>
    <s v="Life Sciences"/>
    <n v="119"/>
    <n v="3"/>
    <x v="1"/>
    <n v="78"/>
    <n v="2"/>
    <n v="4"/>
    <x v="4"/>
    <x v="1"/>
    <s v="Married"/>
    <n v="13503"/>
    <n v="14115"/>
    <n v="1"/>
    <x v="1"/>
    <n v="22"/>
    <n v="4"/>
    <n v="4"/>
    <n v="1"/>
    <n v="22"/>
    <n v="3"/>
    <n v="2"/>
    <n v="22"/>
    <n v="3"/>
    <n v="11"/>
    <n v="11"/>
    <x v="0"/>
    <n v="0"/>
    <s v="40–49"/>
    <x v="1"/>
    <n v="1"/>
    <s v="Low"/>
  </r>
  <r>
    <n v="51"/>
    <s v="No"/>
    <s v="Travel_Rarely"/>
    <n v="632"/>
    <x v="0"/>
    <n v="21"/>
    <n v="4"/>
    <s v="Marketing"/>
    <n v="120"/>
    <n v="3"/>
    <x v="1"/>
    <n v="71"/>
    <n v="3"/>
    <n v="2"/>
    <x v="0"/>
    <x v="0"/>
    <s v="Single"/>
    <n v="5441"/>
    <n v="8423"/>
    <n v="0"/>
    <x v="0"/>
    <n v="22"/>
    <n v="4"/>
    <n v="4"/>
    <n v="0"/>
    <n v="11"/>
    <n v="2"/>
    <n v="1"/>
    <n v="10"/>
    <n v="7"/>
    <n v="1"/>
    <n v="0"/>
    <x v="0"/>
    <n v="0"/>
    <s v="40–49"/>
    <x v="0"/>
    <n v="1"/>
    <s v="Low"/>
  </r>
  <r>
    <n v="30"/>
    <s v="No"/>
    <s v="Travel_Rarely"/>
    <n v="1334"/>
    <x v="0"/>
    <n v="4"/>
    <n v="2"/>
    <s v="Medical"/>
    <n v="121"/>
    <n v="3"/>
    <x v="0"/>
    <n v="63"/>
    <n v="2"/>
    <n v="2"/>
    <x v="0"/>
    <x v="1"/>
    <s v="Divorced"/>
    <n v="5209"/>
    <n v="19760"/>
    <n v="1"/>
    <x v="0"/>
    <n v="12"/>
    <n v="3"/>
    <n v="2"/>
    <n v="3"/>
    <n v="11"/>
    <n v="4"/>
    <n v="2"/>
    <n v="11"/>
    <n v="8"/>
    <n v="2"/>
    <n v="7"/>
    <x v="0"/>
    <n v="0"/>
    <s v="50+"/>
    <x v="1"/>
    <n v="2"/>
    <s v="Medium"/>
  </r>
  <r>
    <n v="46"/>
    <s v="No"/>
    <s v="Travel_Frequently"/>
    <n v="638"/>
    <x v="1"/>
    <n v="1"/>
    <n v="3"/>
    <s v="Medical"/>
    <n v="124"/>
    <n v="3"/>
    <x v="1"/>
    <n v="40"/>
    <n v="2"/>
    <n v="3"/>
    <x v="4"/>
    <x v="3"/>
    <s v="Married"/>
    <n v="10673"/>
    <n v="3142"/>
    <n v="2"/>
    <x v="0"/>
    <n v="13"/>
    <n v="3"/>
    <n v="3"/>
    <n v="1"/>
    <n v="21"/>
    <n v="5"/>
    <n v="2"/>
    <n v="10"/>
    <n v="9"/>
    <n v="9"/>
    <n v="5"/>
    <x v="0"/>
    <n v="0"/>
    <s v="30–39"/>
    <x v="1"/>
    <n v="2"/>
    <s v="Medium"/>
  </r>
  <r>
    <n v="32"/>
    <s v="No"/>
    <s v="Travel_Rarely"/>
    <n v="1093"/>
    <x v="0"/>
    <n v="6"/>
    <n v="4"/>
    <s v="Medical"/>
    <n v="125"/>
    <n v="2"/>
    <x v="1"/>
    <n v="87"/>
    <n v="3"/>
    <n v="2"/>
    <x v="0"/>
    <x v="2"/>
    <s v="Single"/>
    <n v="5010"/>
    <n v="24301"/>
    <n v="1"/>
    <x v="1"/>
    <n v="16"/>
    <n v="3"/>
    <n v="1"/>
    <n v="0"/>
    <n v="12"/>
    <n v="0"/>
    <n v="3"/>
    <n v="11"/>
    <n v="8"/>
    <n v="5"/>
    <n v="7"/>
    <x v="0"/>
    <n v="0"/>
    <s v="40–49"/>
    <x v="2"/>
    <n v="0"/>
    <s v="Low"/>
  </r>
  <r>
    <n v="54"/>
    <s v="No"/>
    <s v="Travel_Rarely"/>
    <n v="1217"/>
    <x v="1"/>
    <n v="2"/>
    <n v="4"/>
    <s v="Technical Degree"/>
    <n v="126"/>
    <n v="1"/>
    <x v="0"/>
    <n v="60"/>
    <n v="3"/>
    <n v="3"/>
    <x v="7"/>
    <x v="2"/>
    <s v="Married"/>
    <n v="13549"/>
    <n v="24001"/>
    <n v="9"/>
    <x v="1"/>
    <n v="12"/>
    <n v="3"/>
    <n v="1"/>
    <n v="1"/>
    <n v="16"/>
    <n v="5"/>
    <n v="1"/>
    <n v="4"/>
    <n v="3"/>
    <n v="0"/>
    <n v="3"/>
    <x v="3"/>
    <n v="0"/>
    <s v="30–39"/>
    <x v="2"/>
    <n v="0"/>
    <s v="Low"/>
  </r>
  <r>
    <n v="24"/>
    <s v="No"/>
    <s v="Travel_Rarely"/>
    <n v="1353"/>
    <x v="0"/>
    <n v="3"/>
    <n v="2"/>
    <s v="Other"/>
    <n v="128"/>
    <n v="1"/>
    <x v="0"/>
    <n v="33"/>
    <n v="3"/>
    <n v="2"/>
    <x v="0"/>
    <x v="2"/>
    <s v="Married"/>
    <n v="4999"/>
    <n v="17519"/>
    <n v="0"/>
    <x v="1"/>
    <n v="21"/>
    <n v="4"/>
    <n v="1"/>
    <n v="1"/>
    <n v="4"/>
    <n v="2"/>
    <n v="2"/>
    <n v="3"/>
    <n v="2"/>
    <n v="0"/>
    <n v="2"/>
    <x v="2"/>
    <n v="0"/>
    <s v="50+"/>
    <x v="2"/>
    <n v="1"/>
    <s v="Low"/>
  </r>
  <r>
    <n v="28"/>
    <s v="No"/>
    <s v="Non-Travel"/>
    <n v="120"/>
    <x v="0"/>
    <n v="4"/>
    <n v="3"/>
    <s v="Medical"/>
    <n v="129"/>
    <n v="2"/>
    <x v="1"/>
    <n v="43"/>
    <n v="3"/>
    <n v="2"/>
    <x v="0"/>
    <x v="2"/>
    <s v="Married"/>
    <n v="4221"/>
    <n v="8863"/>
    <n v="1"/>
    <x v="1"/>
    <n v="15"/>
    <n v="3"/>
    <n v="2"/>
    <n v="0"/>
    <n v="5"/>
    <n v="3"/>
    <n v="4"/>
    <n v="5"/>
    <n v="4"/>
    <n v="0"/>
    <n v="4"/>
    <x v="3"/>
    <n v="0"/>
    <s v="&lt;30"/>
    <x v="2"/>
    <n v="0"/>
    <s v="Low"/>
  </r>
  <r>
    <n v="58"/>
    <s v="No"/>
    <s v="Travel_Rarely"/>
    <n v="682"/>
    <x v="0"/>
    <n v="10"/>
    <n v="4"/>
    <s v="Medical"/>
    <n v="131"/>
    <n v="4"/>
    <x v="1"/>
    <n v="37"/>
    <n v="3"/>
    <n v="4"/>
    <x v="0"/>
    <x v="2"/>
    <s v="Single"/>
    <n v="13872"/>
    <n v="24409"/>
    <n v="0"/>
    <x v="1"/>
    <n v="13"/>
    <n v="3"/>
    <n v="3"/>
    <n v="0"/>
    <n v="38"/>
    <n v="1"/>
    <n v="2"/>
    <n v="37"/>
    <n v="10"/>
    <n v="1"/>
    <n v="8"/>
    <x v="0"/>
    <n v="0"/>
    <s v="&lt;30"/>
    <x v="2"/>
    <n v="0"/>
    <s v="Low"/>
  </r>
  <r>
    <n v="44"/>
    <s v="No"/>
    <s v="Non-Travel"/>
    <n v="489"/>
    <x v="1"/>
    <n v="23"/>
    <n v="3"/>
    <s v="Medical"/>
    <n v="132"/>
    <n v="2"/>
    <x v="1"/>
    <n v="67"/>
    <n v="3"/>
    <n v="2"/>
    <x v="2"/>
    <x v="1"/>
    <s v="Married"/>
    <n v="2042"/>
    <n v="25043"/>
    <n v="4"/>
    <x v="1"/>
    <n v="12"/>
    <n v="3"/>
    <n v="3"/>
    <n v="1"/>
    <n v="17"/>
    <n v="3"/>
    <n v="4"/>
    <n v="3"/>
    <n v="2"/>
    <n v="1"/>
    <n v="2"/>
    <x v="2"/>
    <n v="0"/>
    <s v="50+"/>
    <x v="1"/>
    <n v="2"/>
    <s v="Medium"/>
  </r>
  <r>
    <n v="37"/>
    <s v="Yes"/>
    <s v="Travel_Rarely"/>
    <n v="807"/>
    <x v="2"/>
    <n v="6"/>
    <n v="4"/>
    <s v="Human Resources"/>
    <n v="133"/>
    <n v="3"/>
    <x v="1"/>
    <n v="63"/>
    <n v="3"/>
    <n v="1"/>
    <x v="8"/>
    <x v="3"/>
    <s v="Divorced"/>
    <n v="2073"/>
    <n v="23648"/>
    <n v="4"/>
    <x v="0"/>
    <n v="22"/>
    <n v="4"/>
    <n v="4"/>
    <n v="0"/>
    <n v="7"/>
    <n v="3"/>
    <n v="3"/>
    <n v="3"/>
    <n v="2"/>
    <n v="0"/>
    <n v="2"/>
    <x v="2"/>
    <n v="1"/>
    <s v="40–49"/>
    <x v="1"/>
    <n v="3"/>
    <s v="High"/>
  </r>
  <r>
    <n v="32"/>
    <s v="No"/>
    <s v="Travel_Rarely"/>
    <n v="827"/>
    <x v="1"/>
    <n v="1"/>
    <n v="1"/>
    <s v="Life Sciences"/>
    <n v="134"/>
    <n v="4"/>
    <x v="1"/>
    <n v="71"/>
    <n v="3"/>
    <n v="1"/>
    <x v="1"/>
    <x v="3"/>
    <s v="Single"/>
    <n v="2956"/>
    <n v="15178"/>
    <n v="1"/>
    <x v="1"/>
    <n v="13"/>
    <n v="3"/>
    <n v="4"/>
    <n v="0"/>
    <n v="1"/>
    <n v="2"/>
    <n v="3"/>
    <n v="1"/>
    <n v="0"/>
    <n v="0"/>
    <n v="0"/>
    <x v="2"/>
    <n v="0"/>
    <s v="30–39"/>
    <x v="1"/>
    <n v="2"/>
    <s v="Medium"/>
  </r>
  <r>
    <n v="20"/>
    <s v="Yes"/>
    <s v="Travel_Frequently"/>
    <n v="871"/>
    <x v="1"/>
    <n v="6"/>
    <n v="3"/>
    <s v="Life Sciences"/>
    <n v="137"/>
    <n v="4"/>
    <x v="0"/>
    <n v="66"/>
    <n v="2"/>
    <n v="1"/>
    <x v="2"/>
    <x v="0"/>
    <s v="Single"/>
    <n v="2926"/>
    <n v="19783"/>
    <n v="1"/>
    <x v="0"/>
    <n v="18"/>
    <n v="3"/>
    <n v="2"/>
    <n v="0"/>
    <n v="1"/>
    <n v="5"/>
    <n v="3"/>
    <n v="1"/>
    <n v="0"/>
    <n v="1"/>
    <n v="0"/>
    <x v="2"/>
    <n v="1"/>
    <s v="30–39"/>
    <x v="0"/>
    <n v="2"/>
    <s v="Medium"/>
  </r>
  <r>
    <n v="34"/>
    <s v="No"/>
    <s v="Travel_Rarely"/>
    <n v="665"/>
    <x v="1"/>
    <n v="6"/>
    <n v="4"/>
    <s v="Other"/>
    <n v="138"/>
    <n v="1"/>
    <x v="0"/>
    <n v="41"/>
    <n v="3"/>
    <n v="2"/>
    <x v="1"/>
    <x v="2"/>
    <s v="Single"/>
    <n v="4809"/>
    <n v="12482"/>
    <n v="1"/>
    <x v="1"/>
    <n v="14"/>
    <n v="3"/>
    <n v="3"/>
    <n v="0"/>
    <n v="16"/>
    <n v="3"/>
    <n v="3"/>
    <n v="16"/>
    <n v="13"/>
    <n v="2"/>
    <n v="10"/>
    <x v="0"/>
    <n v="0"/>
    <s v="&lt;30"/>
    <x v="2"/>
    <n v="0"/>
    <s v="Low"/>
  </r>
  <r>
    <n v="37"/>
    <s v="No"/>
    <s v="Non-Travel"/>
    <n v="1040"/>
    <x v="1"/>
    <n v="2"/>
    <n v="2"/>
    <s v="Life Sciences"/>
    <n v="139"/>
    <n v="3"/>
    <x v="1"/>
    <n v="100"/>
    <n v="2"/>
    <n v="2"/>
    <x v="4"/>
    <x v="0"/>
    <s v="Divorced"/>
    <n v="5163"/>
    <n v="15850"/>
    <n v="5"/>
    <x v="1"/>
    <n v="14"/>
    <n v="3"/>
    <n v="4"/>
    <n v="1"/>
    <n v="17"/>
    <n v="2"/>
    <n v="4"/>
    <n v="1"/>
    <n v="0"/>
    <n v="0"/>
    <n v="0"/>
    <x v="2"/>
    <n v="0"/>
    <s v="30–39"/>
    <x v="0"/>
    <n v="1"/>
    <s v="Low"/>
  </r>
  <r>
    <n v="59"/>
    <s v="No"/>
    <s v="Non-Travel"/>
    <n v="1420"/>
    <x v="2"/>
    <n v="2"/>
    <n v="4"/>
    <s v="Human Resources"/>
    <n v="140"/>
    <n v="3"/>
    <x v="0"/>
    <n v="32"/>
    <n v="2"/>
    <n v="5"/>
    <x v="5"/>
    <x v="0"/>
    <s v="Married"/>
    <n v="18844"/>
    <n v="21922"/>
    <n v="9"/>
    <x v="1"/>
    <n v="21"/>
    <n v="4"/>
    <n v="4"/>
    <n v="1"/>
    <n v="30"/>
    <n v="3"/>
    <n v="3"/>
    <n v="3"/>
    <n v="2"/>
    <n v="2"/>
    <n v="2"/>
    <x v="2"/>
    <n v="0"/>
    <s v="30–39"/>
    <x v="0"/>
    <n v="1"/>
    <s v="Low"/>
  </r>
  <r>
    <n v="50"/>
    <s v="No"/>
    <s v="Travel_Frequently"/>
    <n v="1115"/>
    <x v="1"/>
    <n v="1"/>
    <n v="3"/>
    <s v="Life Sciences"/>
    <n v="141"/>
    <n v="1"/>
    <x v="0"/>
    <n v="73"/>
    <n v="3"/>
    <n v="5"/>
    <x v="7"/>
    <x v="1"/>
    <s v="Married"/>
    <n v="18172"/>
    <n v="9755"/>
    <n v="3"/>
    <x v="0"/>
    <n v="19"/>
    <n v="3"/>
    <n v="1"/>
    <n v="0"/>
    <n v="28"/>
    <n v="1"/>
    <n v="2"/>
    <n v="8"/>
    <n v="3"/>
    <n v="0"/>
    <n v="7"/>
    <x v="0"/>
    <n v="0"/>
    <s v="50+"/>
    <x v="1"/>
    <n v="2"/>
    <s v="Medium"/>
  </r>
  <r>
    <n v="25"/>
    <s v="Yes"/>
    <s v="Travel_Rarely"/>
    <n v="240"/>
    <x v="0"/>
    <n v="5"/>
    <n v="3"/>
    <s v="Marketing"/>
    <n v="142"/>
    <n v="3"/>
    <x v="1"/>
    <n v="46"/>
    <n v="2"/>
    <n v="2"/>
    <x v="0"/>
    <x v="2"/>
    <s v="Single"/>
    <n v="5744"/>
    <n v="26959"/>
    <n v="1"/>
    <x v="0"/>
    <n v="11"/>
    <n v="3"/>
    <n v="4"/>
    <n v="0"/>
    <n v="6"/>
    <n v="1"/>
    <n v="3"/>
    <n v="6"/>
    <n v="4"/>
    <n v="0"/>
    <n v="3"/>
    <x v="0"/>
    <n v="1"/>
    <s v="50+"/>
    <x v="2"/>
    <n v="1"/>
    <s v="Low"/>
  </r>
  <r>
    <n v="25"/>
    <s v="No"/>
    <s v="Travel_Rarely"/>
    <n v="1280"/>
    <x v="1"/>
    <n v="7"/>
    <n v="1"/>
    <s v="Medical"/>
    <n v="143"/>
    <n v="4"/>
    <x v="1"/>
    <n v="64"/>
    <n v="2"/>
    <n v="1"/>
    <x v="1"/>
    <x v="0"/>
    <s v="Married"/>
    <n v="2889"/>
    <n v="26897"/>
    <n v="1"/>
    <x v="1"/>
    <n v="11"/>
    <n v="3"/>
    <n v="3"/>
    <n v="2"/>
    <n v="2"/>
    <n v="2"/>
    <n v="3"/>
    <n v="2"/>
    <n v="2"/>
    <n v="2"/>
    <n v="1"/>
    <x v="2"/>
    <n v="0"/>
    <s v="&lt;30"/>
    <x v="0"/>
    <n v="1"/>
    <s v="Low"/>
  </r>
  <r>
    <n v="22"/>
    <s v="No"/>
    <s v="Travel_Rarely"/>
    <n v="534"/>
    <x v="1"/>
    <n v="15"/>
    <n v="3"/>
    <s v="Medical"/>
    <n v="144"/>
    <n v="2"/>
    <x v="0"/>
    <n v="59"/>
    <n v="3"/>
    <n v="1"/>
    <x v="2"/>
    <x v="0"/>
    <s v="Single"/>
    <n v="2871"/>
    <n v="23785"/>
    <n v="1"/>
    <x v="1"/>
    <n v="15"/>
    <n v="3"/>
    <n v="3"/>
    <n v="0"/>
    <n v="1"/>
    <n v="5"/>
    <n v="3"/>
    <n v="0"/>
    <n v="0"/>
    <n v="0"/>
    <n v="0"/>
    <x v="1"/>
    <n v="0"/>
    <s v="&lt;30"/>
    <x v="0"/>
    <n v="1"/>
    <s v="Low"/>
  </r>
  <r>
    <n v="51"/>
    <s v="No"/>
    <s v="Travel_Frequently"/>
    <n v="1456"/>
    <x v="1"/>
    <n v="1"/>
    <n v="4"/>
    <s v="Medical"/>
    <n v="145"/>
    <n v="1"/>
    <x v="0"/>
    <n v="30"/>
    <n v="2"/>
    <n v="3"/>
    <x v="4"/>
    <x v="3"/>
    <s v="Single"/>
    <n v="7484"/>
    <n v="25796"/>
    <n v="3"/>
    <x v="1"/>
    <n v="20"/>
    <n v="4"/>
    <n v="3"/>
    <n v="0"/>
    <n v="23"/>
    <n v="1"/>
    <n v="2"/>
    <n v="13"/>
    <n v="12"/>
    <n v="12"/>
    <n v="8"/>
    <x v="0"/>
    <n v="0"/>
    <s v="&lt;30"/>
    <x v="1"/>
    <n v="1"/>
    <s v="Low"/>
  </r>
  <r>
    <n v="34"/>
    <s v="Yes"/>
    <s v="Travel_Frequently"/>
    <n v="658"/>
    <x v="1"/>
    <n v="7"/>
    <n v="3"/>
    <s v="Life Sciences"/>
    <n v="147"/>
    <n v="1"/>
    <x v="1"/>
    <n v="66"/>
    <n v="1"/>
    <n v="2"/>
    <x v="2"/>
    <x v="2"/>
    <s v="Single"/>
    <n v="6074"/>
    <n v="22887"/>
    <n v="1"/>
    <x v="0"/>
    <n v="24"/>
    <n v="4"/>
    <n v="4"/>
    <n v="0"/>
    <n v="9"/>
    <n v="3"/>
    <n v="3"/>
    <n v="9"/>
    <n v="7"/>
    <n v="0"/>
    <n v="6"/>
    <x v="0"/>
    <n v="1"/>
    <s v="50+"/>
    <x v="2"/>
    <n v="1"/>
    <s v="Low"/>
  </r>
  <r>
    <n v="54"/>
    <s v="No"/>
    <s v="Non-Travel"/>
    <n v="142"/>
    <x v="2"/>
    <n v="26"/>
    <n v="3"/>
    <s v="Human Resources"/>
    <n v="148"/>
    <n v="4"/>
    <x v="0"/>
    <n v="30"/>
    <n v="4"/>
    <n v="4"/>
    <x v="5"/>
    <x v="0"/>
    <s v="Single"/>
    <n v="17328"/>
    <n v="13871"/>
    <n v="2"/>
    <x v="0"/>
    <n v="12"/>
    <n v="3"/>
    <n v="3"/>
    <n v="0"/>
    <n v="23"/>
    <n v="3"/>
    <n v="3"/>
    <n v="5"/>
    <n v="3"/>
    <n v="4"/>
    <n v="4"/>
    <x v="3"/>
    <n v="0"/>
    <s v="30–39"/>
    <x v="0"/>
    <n v="1"/>
    <s v="Low"/>
  </r>
  <r>
    <n v="24"/>
    <s v="No"/>
    <s v="Travel_Rarely"/>
    <n v="1127"/>
    <x v="1"/>
    <n v="18"/>
    <n v="1"/>
    <s v="Life Sciences"/>
    <n v="150"/>
    <n v="2"/>
    <x v="1"/>
    <n v="52"/>
    <n v="3"/>
    <n v="1"/>
    <x v="2"/>
    <x v="2"/>
    <s v="Married"/>
    <n v="2774"/>
    <n v="13257"/>
    <n v="0"/>
    <x v="1"/>
    <n v="12"/>
    <n v="3"/>
    <n v="3"/>
    <n v="1"/>
    <n v="6"/>
    <n v="2"/>
    <n v="3"/>
    <n v="5"/>
    <n v="3"/>
    <n v="1"/>
    <n v="2"/>
    <x v="3"/>
    <n v="0"/>
    <s v="50+"/>
    <x v="2"/>
    <n v="0"/>
    <s v="Low"/>
  </r>
  <r>
    <n v="34"/>
    <s v="No"/>
    <s v="Travel_Rarely"/>
    <n v="1031"/>
    <x v="1"/>
    <n v="6"/>
    <n v="4"/>
    <s v="Life Sciences"/>
    <n v="151"/>
    <n v="3"/>
    <x v="0"/>
    <n v="45"/>
    <n v="2"/>
    <n v="2"/>
    <x v="1"/>
    <x v="1"/>
    <s v="Divorced"/>
    <n v="4505"/>
    <n v="15000"/>
    <n v="6"/>
    <x v="1"/>
    <n v="15"/>
    <n v="3"/>
    <n v="3"/>
    <n v="1"/>
    <n v="12"/>
    <n v="3"/>
    <n v="3"/>
    <n v="1"/>
    <n v="0"/>
    <n v="0"/>
    <n v="0"/>
    <x v="2"/>
    <n v="0"/>
    <s v="&lt;30"/>
    <x v="1"/>
    <n v="2"/>
    <s v="Medium"/>
  </r>
  <r>
    <n v="37"/>
    <s v="No"/>
    <s v="Travel_Rarely"/>
    <n v="1189"/>
    <x v="0"/>
    <n v="3"/>
    <n v="3"/>
    <s v="Life Sciences"/>
    <n v="152"/>
    <n v="3"/>
    <x v="1"/>
    <n v="87"/>
    <n v="3"/>
    <n v="3"/>
    <x v="0"/>
    <x v="0"/>
    <s v="Single"/>
    <n v="7428"/>
    <n v="14506"/>
    <n v="2"/>
    <x v="1"/>
    <n v="12"/>
    <n v="3"/>
    <n v="1"/>
    <n v="0"/>
    <n v="12"/>
    <n v="3"/>
    <n v="3"/>
    <n v="5"/>
    <n v="3"/>
    <n v="1"/>
    <n v="3"/>
    <x v="3"/>
    <n v="0"/>
    <s v="30–39"/>
    <x v="0"/>
    <n v="0"/>
    <s v="Low"/>
  </r>
  <r>
    <n v="34"/>
    <s v="No"/>
    <s v="Travel_Rarely"/>
    <n v="1354"/>
    <x v="1"/>
    <n v="5"/>
    <n v="3"/>
    <s v="Medical"/>
    <n v="153"/>
    <n v="3"/>
    <x v="0"/>
    <n v="45"/>
    <n v="2"/>
    <n v="3"/>
    <x v="5"/>
    <x v="3"/>
    <s v="Single"/>
    <n v="11631"/>
    <n v="5615"/>
    <n v="2"/>
    <x v="1"/>
    <n v="12"/>
    <n v="3"/>
    <n v="4"/>
    <n v="0"/>
    <n v="14"/>
    <n v="6"/>
    <n v="3"/>
    <n v="11"/>
    <n v="10"/>
    <n v="5"/>
    <n v="8"/>
    <x v="0"/>
    <n v="0"/>
    <s v="30–39"/>
    <x v="1"/>
    <n v="1"/>
    <s v="Low"/>
  </r>
  <r>
    <n v="36"/>
    <s v="No"/>
    <s v="Travel_Frequently"/>
    <n v="1467"/>
    <x v="0"/>
    <n v="11"/>
    <n v="2"/>
    <s v="Technical Degree"/>
    <n v="154"/>
    <n v="2"/>
    <x v="0"/>
    <n v="92"/>
    <n v="3"/>
    <n v="3"/>
    <x v="0"/>
    <x v="0"/>
    <s v="Married"/>
    <n v="9738"/>
    <n v="22952"/>
    <n v="0"/>
    <x v="1"/>
    <n v="14"/>
    <n v="3"/>
    <n v="3"/>
    <n v="1"/>
    <n v="10"/>
    <n v="6"/>
    <n v="3"/>
    <n v="9"/>
    <n v="7"/>
    <n v="2"/>
    <n v="8"/>
    <x v="0"/>
    <n v="0"/>
    <s v="30–39"/>
    <x v="0"/>
    <n v="0"/>
    <s v="Low"/>
  </r>
  <r>
    <n v="36"/>
    <s v="No"/>
    <s v="Travel_Rarely"/>
    <n v="922"/>
    <x v="1"/>
    <n v="3"/>
    <n v="2"/>
    <s v="Life Sciences"/>
    <n v="155"/>
    <n v="1"/>
    <x v="0"/>
    <n v="39"/>
    <n v="3"/>
    <n v="1"/>
    <x v="2"/>
    <x v="0"/>
    <s v="Divorced"/>
    <n v="2835"/>
    <n v="2561"/>
    <n v="5"/>
    <x v="1"/>
    <n v="22"/>
    <n v="4"/>
    <n v="1"/>
    <n v="1"/>
    <n v="7"/>
    <n v="2"/>
    <n v="3"/>
    <n v="1"/>
    <n v="0"/>
    <n v="0"/>
    <n v="0"/>
    <x v="2"/>
    <n v="0"/>
    <s v="30–39"/>
    <x v="0"/>
    <n v="1"/>
    <s v="Low"/>
  </r>
  <r>
    <n v="43"/>
    <s v="No"/>
    <s v="Travel_Frequently"/>
    <n v="394"/>
    <x v="0"/>
    <n v="26"/>
    <n v="2"/>
    <s v="Life Sciences"/>
    <n v="158"/>
    <n v="3"/>
    <x v="1"/>
    <n v="92"/>
    <n v="3"/>
    <n v="4"/>
    <x v="5"/>
    <x v="0"/>
    <s v="Married"/>
    <n v="16959"/>
    <n v="19494"/>
    <n v="1"/>
    <x v="0"/>
    <n v="12"/>
    <n v="3"/>
    <n v="4"/>
    <n v="2"/>
    <n v="25"/>
    <n v="3"/>
    <n v="4"/>
    <n v="25"/>
    <n v="12"/>
    <n v="4"/>
    <n v="12"/>
    <x v="0"/>
    <n v="0"/>
    <s v="30–39"/>
    <x v="0"/>
    <n v="1"/>
    <s v="Low"/>
  </r>
  <r>
    <n v="30"/>
    <s v="No"/>
    <s v="Travel_Frequently"/>
    <n v="1312"/>
    <x v="1"/>
    <n v="23"/>
    <n v="3"/>
    <s v="Life Sciences"/>
    <n v="159"/>
    <n v="1"/>
    <x v="1"/>
    <n v="96"/>
    <n v="1"/>
    <n v="1"/>
    <x v="1"/>
    <x v="2"/>
    <s v="Divorced"/>
    <n v="2613"/>
    <n v="22310"/>
    <n v="1"/>
    <x v="1"/>
    <n v="25"/>
    <n v="4"/>
    <n v="3"/>
    <n v="3"/>
    <n v="10"/>
    <n v="2"/>
    <n v="2"/>
    <n v="10"/>
    <n v="7"/>
    <n v="0"/>
    <n v="9"/>
    <x v="0"/>
    <n v="0"/>
    <s v="40–49"/>
    <x v="2"/>
    <n v="0"/>
    <s v="Low"/>
  </r>
  <r>
    <n v="33"/>
    <s v="No"/>
    <s v="Non-Travel"/>
    <n v="750"/>
    <x v="0"/>
    <n v="22"/>
    <n v="2"/>
    <s v="Marketing"/>
    <n v="160"/>
    <n v="3"/>
    <x v="1"/>
    <n v="95"/>
    <n v="3"/>
    <n v="2"/>
    <x v="0"/>
    <x v="1"/>
    <s v="Married"/>
    <n v="6146"/>
    <n v="15480"/>
    <n v="0"/>
    <x v="1"/>
    <n v="13"/>
    <n v="3"/>
    <n v="1"/>
    <n v="1"/>
    <n v="8"/>
    <n v="2"/>
    <n v="4"/>
    <n v="7"/>
    <n v="7"/>
    <n v="0"/>
    <n v="7"/>
    <x v="0"/>
    <n v="0"/>
    <s v="30–39"/>
    <x v="1"/>
    <n v="1"/>
    <s v="Low"/>
  </r>
  <r>
    <n v="56"/>
    <s v="Yes"/>
    <s v="Travel_Rarely"/>
    <n v="441"/>
    <x v="1"/>
    <n v="14"/>
    <n v="4"/>
    <s v="Life Sciences"/>
    <n v="161"/>
    <n v="2"/>
    <x v="0"/>
    <n v="72"/>
    <n v="3"/>
    <n v="1"/>
    <x v="1"/>
    <x v="1"/>
    <s v="Married"/>
    <n v="4963"/>
    <n v="4510"/>
    <n v="9"/>
    <x v="0"/>
    <n v="18"/>
    <n v="3"/>
    <n v="1"/>
    <n v="3"/>
    <n v="7"/>
    <n v="2"/>
    <n v="3"/>
    <n v="5"/>
    <n v="4"/>
    <n v="4"/>
    <n v="3"/>
    <x v="3"/>
    <n v="1"/>
    <s v="30–39"/>
    <x v="1"/>
    <n v="2"/>
    <s v="Medium"/>
  </r>
  <r>
    <n v="51"/>
    <s v="No"/>
    <s v="Travel_Rarely"/>
    <n v="684"/>
    <x v="1"/>
    <n v="6"/>
    <n v="3"/>
    <s v="Life Sciences"/>
    <n v="162"/>
    <n v="1"/>
    <x v="1"/>
    <n v="51"/>
    <n v="3"/>
    <n v="5"/>
    <x v="7"/>
    <x v="2"/>
    <s v="Single"/>
    <n v="19537"/>
    <n v="6462"/>
    <n v="7"/>
    <x v="1"/>
    <n v="13"/>
    <n v="3"/>
    <n v="3"/>
    <n v="0"/>
    <n v="23"/>
    <n v="5"/>
    <n v="3"/>
    <n v="20"/>
    <n v="18"/>
    <n v="15"/>
    <n v="15"/>
    <x v="0"/>
    <n v="0"/>
    <s v="50+"/>
    <x v="2"/>
    <n v="0"/>
    <s v="Low"/>
  </r>
  <r>
    <n v="31"/>
    <s v="Yes"/>
    <s v="Travel_Rarely"/>
    <n v="249"/>
    <x v="0"/>
    <n v="6"/>
    <n v="4"/>
    <s v="Life Sciences"/>
    <n v="163"/>
    <n v="2"/>
    <x v="1"/>
    <n v="76"/>
    <n v="1"/>
    <n v="2"/>
    <x v="0"/>
    <x v="2"/>
    <s v="Married"/>
    <n v="6172"/>
    <n v="20739"/>
    <n v="4"/>
    <x v="0"/>
    <n v="18"/>
    <n v="3"/>
    <n v="2"/>
    <n v="0"/>
    <n v="12"/>
    <n v="3"/>
    <n v="2"/>
    <n v="7"/>
    <n v="7"/>
    <n v="7"/>
    <n v="7"/>
    <x v="0"/>
    <n v="1"/>
    <s v="50+"/>
    <x v="2"/>
    <n v="1"/>
    <s v="Low"/>
  </r>
  <r>
    <n v="26"/>
    <s v="No"/>
    <s v="Travel_Rarely"/>
    <n v="841"/>
    <x v="1"/>
    <n v="6"/>
    <n v="3"/>
    <s v="Other"/>
    <n v="164"/>
    <n v="3"/>
    <x v="0"/>
    <n v="46"/>
    <n v="2"/>
    <n v="1"/>
    <x v="1"/>
    <x v="1"/>
    <s v="Married"/>
    <n v="2368"/>
    <n v="23300"/>
    <n v="1"/>
    <x v="1"/>
    <n v="19"/>
    <n v="3"/>
    <n v="3"/>
    <n v="0"/>
    <n v="5"/>
    <n v="3"/>
    <n v="2"/>
    <n v="5"/>
    <n v="4"/>
    <n v="4"/>
    <n v="3"/>
    <x v="3"/>
    <n v="0"/>
    <s v="30–39"/>
    <x v="1"/>
    <n v="1"/>
    <s v="Low"/>
  </r>
  <r>
    <n v="58"/>
    <s v="Yes"/>
    <s v="Travel_Rarely"/>
    <n v="147"/>
    <x v="1"/>
    <n v="23"/>
    <n v="4"/>
    <s v="Medical"/>
    <n v="165"/>
    <n v="4"/>
    <x v="0"/>
    <n v="94"/>
    <n v="3"/>
    <n v="3"/>
    <x v="4"/>
    <x v="0"/>
    <s v="Married"/>
    <n v="10312"/>
    <n v="3465"/>
    <n v="1"/>
    <x v="1"/>
    <n v="12"/>
    <n v="3"/>
    <n v="4"/>
    <n v="1"/>
    <n v="40"/>
    <n v="3"/>
    <n v="2"/>
    <n v="40"/>
    <n v="10"/>
    <n v="15"/>
    <n v="6"/>
    <x v="0"/>
    <n v="1"/>
    <s v="&lt;30"/>
    <x v="0"/>
    <n v="0"/>
    <s v="Low"/>
  </r>
  <r>
    <n v="19"/>
    <s v="Yes"/>
    <s v="Travel_Rarely"/>
    <n v="528"/>
    <x v="0"/>
    <n v="22"/>
    <n v="1"/>
    <s v="Marketing"/>
    <n v="167"/>
    <n v="4"/>
    <x v="1"/>
    <n v="50"/>
    <n v="3"/>
    <n v="1"/>
    <x v="6"/>
    <x v="2"/>
    <s v="Single"/>
    <n v="1675"/>
    <n v="26820"/>
    <n v="1"/>
    <x v="0"/>
    <n v="19"/>
    <n v="3"/>
    <n v="4"/>
    <n v="0"/>
    <n v="0"/>
    <n v="2"/>
    <n v="2"/>
    <n v="0"/>
    <n v="0"/>
    <n v="0"/>
    <n v="0"/>
    <x v="1"/>
    <n v="1"/>
    <s v="50+"/>
    <x v="2"/>
    <n v="2"/>
    <s v="Medium"/>
  </r>
  <r>
    <n v="22"/>
    <s v="No"/>
    <s v="Travel_Rarely"/>
    <n v="594"/>
    <x v="1"/>
    <n v="2"/>
    <n v="1"/>
    <s v="Technical Degree"/>
    <n v="169"/>
    <n v="3"/>
    <x v="1"/>
    <n v="100"/>
    <n v="3"/>
    <n v="1"/>
    <x v="2"/>
    <x v="0"/>
    <s v="Married"/>
    <n v="2523"/>
    <n v="19299"/>
    <n v="0"/>
    <x v="1"/>
    <n v="14"/>
    <n v="3"/>
    <n v="3"/>
    <n v="1"/>
    <n v="3"/>
    <n v="2"/>
    <n v="3"/>
    <n v="2"/>
    <n v="1"/>
    <n v="2"/>
    <n v="1"/>
    <x v="2"/>
    <n v="0"/>
    <s v="&lt;30"/>
    <x v="0"/>
    <n v="1"/>
    <s v="Low"/>
  </r>
  <r>
    <n v="49"/>
    <s v="No"/>
    <s v="Travel_Rarely"/>
    <n v="470"/>
    <x v="1"/>
    <n v="20"/>
    <n v="4"/>
    <s v="Medical"/>
    <n v="170"/>
    <n v="3"/>
    <x v="0"/>
    <n v="96"/>
    <n v="3"/>
    <n v="2"/>
    <x v="3"/>
    <x v="3"/>
    <s v="Married"/>
    <n v="6567"/>
    <n v="5549"/>
    <n v="1"/>
    <x v="1"/>
    <n v="14"/>
    <n v="3"/>
    <n v="3"/>
    <n v="0"/>
    <n v="16"/>
    <n v="2"/>
    <n v="2"/>
    <n v="15"/>
    <n v="11"/>
    <n v="5"/>
    <n v="11"/>
    <x v="0"/>
    <n v="0"/>
    <s v="&lt;30"/>
    <x v="1"/>
    <n v="1"/>
    <s v="Low"/>
  </r>
  <r>
    <n v="43"/>
    <s v="No"/>
    <s v="Travel_Frequently"/>
    <n v="957"/>
    <x v="1"/>
    <n v="28"/>
    <n v="3"/>
    <s v="Medical"/>
    <n v="171"/>
    <n v="2"/>
    <x v="0"/>
    <n v="72"/>
    <n v="4"/>
    <n v="1"/>
    <x v="1"/>
    <x v="2"/>
    <s v="Single"/>
    <n v="4739"/>
    <n v="16090"/>
    <n v="4"/>
    <x v="1"/>
    <n v="12"/>
    <n v="3"/>
    <n v="4"/>
    <n v="0"/>
    <n v="18"/>
    <n v="2"/>
    <n v="3"/>
    <n v="3"/>
    <n v="2"/>
    <n v="1"/>
    <n v="2"/>
    <x v="2"/>
    <n v="0"/>
    <s v="40–49"/>
    <x v="2"/>
    <n v="1"/>
    <s v="Low"/>
  </r>
  <r>
    <n v="50"/>
    <s v="No"/>
    <s v="Travel_Frequently"/>
    <n v="809"/>
    <x v="0"/>
    <n v="12"/>
    <n v="3"/>
    <s v="Marketing"/>
    <n v="174"/>
    <n v="3"/>
    <x v="0"/>
    <n v="77"/>
    <n v="3"/>
    <n v="3"/>
    <x v="0"/>
    <x v="0"/>
    <s v="Single"/>
    <n v="9208"/>
    <n v="6645"/>
    <n v="4"/>
    <x v="1"/>
    <n v="11"/>
    <n v="3"/>
    <n v="4"/>
    <n v="0"/>
    <n v="16"/>
    <n v="3"/>
    <n v="3"/>
    <n v="2"/>
    <n v="2"/>
    <n v="2"/>
    <n v="1"/>
    <x v="2"/>
    <n v="0"/>
    <s v="40–49"/>
    <x v="0"/>
    <n v="1"/>
    <s v="Low"/>
  </r>
  <r>
    <n v="31"/>
    <s v="Yes"/>
    <s v="Travel_Rarely"/>
    <n v="542"/>
    <x v="0"/>
    <n v="20"/>
    <n v="3"/>
    <s v="Life Sciences"/>
    <n v="175"/>
    <n v="2"/>
    <x v="0"/>
    <n v="71"/>
    <n v="1"/>
    <n v="2"/>
    <x v="0"/>
    <x v="2"/>
    <s v="Married"/>
    <n v="4559"/>
    <n v="24788"/>
    <n v="3"/>
    <x v="0"/>
    <n v="11"/>
    <n v="3"/>
    <n v="3"/>
    <n v="1"/>
    <n v="4"/>
    <n v="2"/>
    <n v="3"/>
    <n v="2"/>
    <n v="2"/>
    <n v="2"/>
    <n v="2"/>
    <x v="2"/>
    <n v="1"/>
    <s v="50+"/>
    <x v="2"/>
    <n v="2"/>
    <s v="Medium"/>
  </r>
  <r>
    <n v="41"/>
    <s v="No"/>
    <s v="Travel_Rarely"/>
    <n v="802"/>
    <x v="0"/>
    <n v="9"/>
    <n v="1"/>
    <s v="Life Sciences"/>
    <n v="176"/>
    <n v="3"/>
    <x v="1"/>
    <n v="96"/>
    <n v="3"/>
    <n v="3"/>
    <x v="0"/>
    <x v="2"/>
    <s v="Divorced"/>
    <n v="8189"/>
    <n v="21196"/>
    <n v="3"/>
    <x v="0"/>
    <n v="13"/>
    <n v="3"/>
    <n v="3"/>
    <n v="1"/>
    <n v="12"/>
    <n v="2"/>
    <n v="3"/>
    <n v="9"/>
    <n v="7"/>
    <n v="0"/>
    <n v="7"/>
    <x v="0"/>
    <n v="0"/>
    <s v="30–39"/>
    <x v="2"/>
    <n v="1"/>
    <s v="Low"/>
  </r>
  <r>
    <n v="26"/>
    <s v="No"/>
    <s v="Travel_Rarely"/>
    <n v="1355"/>
    <x v="2"/>
    <n v="25"/>
    <n v="1"/>
    <s v="Life Sciences"/>
    <n v="177"/>
    <n v="3"/>
    <x v="0"/>
    <n v="61"/>
    <n v="3"/>
    <n v="1"/>
    <x v="8"/>
    <x v="2"/>
    <s v="Married"/>
    <n v="2942"/>
    <n v="8916"/>
    <n v="1"/>
    <x v="1"/>
    <n v="23"/>
    <n v="4"/>
    <n v="4"/>
    <n v="1"/>
    <n v="8"/>
    <n v="3"/>
    <n v="3"/>
    <n v="8"/>
    <n v="7"/>
    <n v="5"/>
    <n v="7"/>
    <x v="0"/>
    <n v="0"/>
    <s v="40–49"/>
    <x v="2"/>
    <n v="0"/>
    <s v="Low"/>
  </r>
  <r>
    <n v="36"/>
    <s v="No"/>
    <s v="Travel_Rarely"/>
    <n v="216"/>
    <x v="1"/>
    <n v="6"/>
    <n v="2"/>
    <s v="Medical"/>
    <n v="178"/>
    <n v="2"/>
    <x v="1"/>
    <n v="84"/>
    <n v="3"/>
    <n v="2"/>
    <x v="3"/>
    <x v="1"/>
    <s v="Divorced"/>
    <n v="4941"/>
    <n v="2819"/>
    <n v="6"/>
    <x v="1"/>
    <n v="20"/>
    <n v="4"/>
    <n v="4"/>
    <n v="2"/>
    <n v="7"/>
    <n v="0"/>
    <n v="3"/>
    <n v="3"/>
    <n v="2"/>
    <n v="0"/>
    <n v="1"/>
    <x v="2"/>
    <n v="0"/>
    <s v="&lt;30"/>
    <x v="1"/>
    <n v="2"/>
    <s v="Medium"/>
  </r>
  <r>
    <n v="51"/>
    <s v="Yes"/>
    <s v="Travel_Frequently"/>
    <n v="1150"/>
    <x v="1"/>
    <n v="8"/>
    <n v="4"/>
    <s v="Life Sciences"/>
    <n v="179"/>
    <n v="1"/>
    <x v="1"/>
    <n v="53"/>
    <n v="1"/>
    <n v="3"/>
    <x v="3"/>
    <x v="0"/>
    <s v="Single"/>
    <n v="10650"/>
    <n v="25150"/>
    <n v="2"/>
    <x v="1"/>
    <n v="15"/>
    <n v="3"/>
    <n v="4"/>
    <n v="0"/>
    <n v="18"/>
    <n v="2"/>
    <n v="3"/>
    <n v="4"/>
    <n v="2"/>
    <n v="0"/>
    <n v="3"/>
    <x v="3"/>
    <n v="1"/>
    <s v="30–39"/>
    <x v="0"/>
    <n v="0"/>
    <s v="Low"/>
  </r>
  <r>
    <n v="39"/>
    <s v="No"/>
    <s v="Travel_Rarely"/>
    <n v="1329"/>
    <x v="0"/>
    <n v="4"/>
    <n v="4"/>
    <s v="Life Sciences"/>
    <n v="182"/>
    <n v="4"/>
    <x v="0"/>
    <n v="47"/>
    <n v="2"/>
    <n v="2"/>
    <x v="0"/>
    <x v="2"/>
    <s v="Married"/>
    <n v="5902"/>
    <n v="14590"/>
    <n v="4"/>
    <x v="1"/>
    <n v="14"/>
    <n v="3"/>
    <n v="3"/>
    <n v="1"/>
    <n v="17"/>
    <n v="1"/>
    <n v="4"/>
    <n v="15"/>
    <n v="11"/>
    <n v="5"/>
    <n v="9"/>
    <x v="0"/>
    <n v="0"/>
    <s v="50+"/>
    <x v="2"/>
    <n v="0"/>
    <s v="Low"/>
  </r>
  <r>
    <n v="25"/>
    <s v="No"/>
    <s v="Travel_Rarely"/>
    <n v="959"/>
    <x v="0"/>
    <n v="28"/>
    <n v="3"/>
    <s v="Life Sciences"/>
    <n v="183"/>
    <n v="1"/>
    <x v="1"/>
    <n v="41"/>
    <n v="2"/>
    <n v="2"/>
    <x v="0"/>
    <x v="2"/>
    <s v="Married"/>
    <n v="8639"/>
    <n v="24835"/>
    <n v="2"/>
    <x v="1"/>
    <n v="18"/>
    <n v="3"/>
    <n v="4"/>
    <n v="0"/>
    <n v="6"/>
    <n v="3"/>
    <n v="3"/>
    <n v="2"/>
    <n v="2"/>
    <n v="2"/>
    <n v="2"/>
    <x v="2"/>
    <n v="0"/>
    <s v="30–39"/>
    <x v="2"/>
    <n v="1"/>
    <s v="Low"/>
  </r>
  <r>
    <n v="30"/>
    <s v="No"/>
    <s v="Travel_Rarely"/>
    <n v="1240"/>
    <x v="2"/>
    <n v="9"/>
    <n v="3"/>
    <s v="Human Resources"/>
    <n v="184"/>
    <n v="3"/>
    <x v="1"/>
    <n v="48"/>
    <n v="3"/>
    <n v="2"/>
    <x v="8"/>
    <x v="0"/>
    <s v="Married"/>
    <n v="6347"/>
    <n v="13982"/>
    <n v="0"/>
    <x v="0"/>
    <n v="19"/>
    <n v="3"/>
    <n v="4"/>
    <n v="0"/>
    <n v="12"/>
    <n v="2"/>
    <n v="1"/>
    <n v="11"/>
    <n v="9"/>
    <n v="4"/>
    <n v="7"/>
    <x v="0"/>
    <n v="0"/>
    <s v="&lt;30"/>
    <x v="0"/>
    <n v="1"/>
    <s v="Low"/>
  </r>
  <r>
    <n v="32"/>
    <s v="Yes"/>
    <s v="Travel_Rarely"/>
    <n v="1033"/>
    <x v="1"/>
    <n v="9"/>
    <n v="3"/>
    <s v="Medical"/>
    <n v="190"/>
    <n v="1"/>
    <x v="0"/>
    <n v="41"/>
    <n v="3"/>
    <n v="1"/>
    <x v="2"/>
    <x v="3"/>
    <s v="Single"/>
    <n v="4200"/>
    <n v="10224"/>
    <n v="7"/>
    <x v="1"/>
    <n v="22"/>
    <n v="4"/>
    <n v="1"/>
    <n v="0"/>
    <n v="10"/>
    <n v="2"/>
    <n v="4"/>
    <n v="5"/>
    <n v="4"/>
    <n v="0"/>
    <n v="4"/>
    <x v="3"/>
    <n v="1"/>
    <s v="30–39"/>
    <x v="1"/>
    <n v="1"/>
    <s v="Low"/>
  </r>
  <r>
    <n v="45"/>
    <s v="No"/>
    <s v="Travel_Rarely"/>
    <n v="1316"/>
    <x v="1"/>
    <n v="29"/>
    <n v="3"/>
    <s v="Medical"/>
    <n v="192"/>
    <n v="3"/>
    <x v="1"/>
    <n v="83"/>
    <n v="3"/>
    <n v="1"/>
    <x v="1"/>
    <x v="0"/>
    <s v="Single"/>
    <n v="3452"/>
    <n v="9752"/>
    <n v="5"/>
    <x v="1"/>
    <n v="13"/>
    <n v="3"/>
    <n v="2"/>
    <n v="0"/>
    <n v="9"/>
    <n v="2"/>
    <n v="2"/>
    <n v="6"/>
    <n v="5"/>
    <n v="0"/>
    <n v="3"/>
    <x v="0"/>
    <n v="0"/>
    <s v="30–39"/>
    <x v="0"/>
    <n v="0"/>
    <s v="Low"/>
  </r>
  <r>
    <n v="38"/>
    <s v="No"/>
    <s v="Travel_Rarely"/>
    <n v="364"/>
    <x v="1"/>
    <n v="3"/>
    <n v="5"/>
    <s v="Technical Degree"/>
    <n v="193"/>
    <n v="4"/>
    <x v="0"/>
    <n v="32"/>
    <n v="3"/>
    <n v="2"/>
    <x v="1"/>
    <x v="2"/>
    <s v="Single"/>
    <n v="4317"/>
    <n v="2302"/>
    <n v="3"/>
    <x v="0"/>
    <n v="20"/>
    <n v="4"/>
    <n v="2"/>
    <n v="0"/>
    <n v="19"/>
    <n v="2"/>
    <n v="3"/>
    <n v="3"/>
    <n v="2"/>
    <n v="2"/>
    <n v="2"/>
    <x v="2"/>
    <n v="0"/>
    <s v="40–49"/>
    <x v="2"/>
    <n v="2"/>
    <s v="Medium"/>
  </r>
  <r>
    <n v="30"/>
    <s v="No"/>
    <s v="Travel_Rarely"/>
    <n v="438"/>
    <x v="1"/>
    <n v="18"/>
    <n v="3"/>
    <s v="Life Sciences"/>
    <n v="194"/>
    <n v="1"/>
    <x v="0"/>
    <n v="75"/>
    <n v="3"/>
    <n v="1"/>
    <x v="1"/>
    <x v="2"/>
    <s v="Single"/>
    <n v="2632"/>
    <n v="23910"/>
    <n v="1"/>
    <x v="1"/>
    <n v="14"/>
    <n v="3"/>
    <n v="3"/>
    <n v="0"/>
    <n v="5"/>
    <n v="4"/>
    <n v="2"/>
    <n v="5"/>
    <n v="4"/>
    <n v="0"/>
    <n v="4"/>
    <x v="3"/>
    <n v="0"/>
    <s v="30–39"/>
    <x v="2"/>
    <n v="0"/>
    <s v="Low"/>
  </r>
  <r>
    <n v="32"/>
    <s v="No"/>
    <s v="Travel_Frequently"/>
    <n v="689"/>
    <x v="0"/>
    <n v="9"/>
    <n v="2"/>
    <s v="Medical"/>
    <n v="195"/>
    <n v="4"/>
    <x v="1"/>
    <n v="35"/>
    <n v="1"/>
    <n v="2"/>
    <x v="0"/>
    <x v="0"/>
    <s v="Divorced"/>
    <n v="4668"/>
    <n v="22812"/>
    <n v="0"/>
    <x v="1"/>
    <n v="17"/>
    <n v="3"/>
    <n v="4"/>
    <n v="3"/>
    <n v="9"/>
    <n v="2"/>
    <n v="4"/>
    <n v="8"/>
    <n v="7"/>
    <n v="0"/>
    <n v="7"/>
    <x v="0"/>
    <n v="0"/>
    <s v="30–39"/>
    <x v="0"/>
    <n v="0"/>
    <s v="Low"/>
  </r>
  <r>
    <n v="30"/>
    <s v="No"/>
    <s v="Travel_Rarely"/>
    <n v="201"/>
    <x v="1"/>
    <n v="5"/>
    <n v="3"/>
    <s v="Technical Degree"/>
    <n v="197"/>
    <n v="4"/>
    <x v="0"/>
    <n v="84"/>
    <n v="3"/>
    <n v="1"/>
    <x v="1"/>
    <x v="3"/>
    <s v="Divorced"/>
    <n v="3204"/>
    <n v="10415"/>
    <n v="5"/>
    <x v="1"/>
    <n v="14"/>
    <n v="3"/>
    <n v="4"/>
    <n v="1"/>
    <n v="8"/>
    <n v="3"/>
    <n v="3"/>
    <n v="3"/>
    <n v="2"/>
    <n v="2"/>
    <n v="2"/>
    <x v="2"/>
    <n v="0"/>
    <s v="30–39"/>
    <x v="1"/>
    <n v="2"/>
    <s v="Medium"/>
  </r>
  <r>
    <n v="30"/>
    <s v="No"/>
    <s v="Travel_Rarely"/>
    <n v="1427"/>
    <x v="1"/>
    <n v="2"/>
    <n v="1"/>
    <s v="Medical"/>
    <n v="198"/>
    <n v="2"/>
    <x v="1"/>
    <n v="35"/>
    <n v="2"/>
    <n v="1"/>
    <x v="2"/>
    <x v="0"/>
    <s v="Single"/>
    <n v="2720"/>
    <n v="11162"/>
    <n v="0"/>
    <x v="1"/>
    <n v="13"/>
    <n v="3"/>
    <n v="4"/>
    <n v="0"/>
    <n v="6"/>
    <n v="3"/>
    <n v="3"/>
    <n v="5"/>
    <n v="3"/>
    <n v="1"/>
    <n v="2"/>
    <x v="3"/>
    <n v="0"/>
    <s v="30–39"/>
    <x v="0"/>
    <n v="0"/>
    <s v="Low"/>
  </r>
  <r>
    <n v="41"/>
    <s v="No"/>
    <s v="Travel_Frequently"/>
    <n v="857"/>
    <x v="1"/>
    <n v="10"/>
    <n v="3"/>
    <s v="Life Sciences"/>
    <n v="199"/>
    <n v="4"/>
    <x v="1"/>
    <n v="91"/>
    <n v="2"/>
    <n v="4"/>
    <x v="5"/>
    <x v="3"/>
    <s v="Divorced"/>
    <n v="17181"/>
    <n v="12888"/>
    <n v="4"/>
    <x v="1"/>
    <n v="13"/>
    <n v="3"/>
    <n v="2"/>
    <n v="1"/>
    <n v="21"/>
    <n v="2"/>
    <n v="2"/>
    <n v="7"/>
    <n v="6"/>
    <n v="7"/>
    <n v="7"/>
    <x v="0"/>
    <n v="0"/>
    <s v="30–39"/>
    <x v="1"/>
    <n v="1"/>
    <s v="Low"/>
  </r>
  <r>
    <n v="41"/>
    <s v="No"/>
    <s v="Travel_Rarely"/>
    <n v="933"/>
    <x v="1"/>
    <n v="9"/>
    <n v="4"/>
    <s v="Life Sciences"/>
    <n v="200"/>
    <n v="3"/>
    <x v="1"/>
    <n v="94"/>
    <n v="3"/>
    <n v="1"/>
    <x v="2"/>
    <x v="3"/>
    <s v="Married"/>
    <n v="2238"/>
    <n v="6961"/>
    <n v="2"/>
    <x v="1"/>
    <n v="21"/>
    <n v="4"/>
    <n v="4"/>
    <n v="1"/>
    <n v="7"/>
    <n v="2"/>
    <n v="3"/>
    <n v="5"/>
    <n v="0"/>
    <n v="1"/>
    <n v="4"/>
    <x v="3"/>
    <n v="0"/>
    <s v="40–49"/>
    <x v="1"/>
    <n v="1"/>
    <s v="Low"/>
  </r>
  <r>
    <n v="19"/>
    <s v="No"/>
    <s v="Travel_Rarely"/>
    <n v="1181"/>
    <x v="1"/>
    <n v="3"/>
    <n v="1"/>
    <s v="Medical"/>
    <n v="201"/>
    <n v="2"/>
    <x v="0"/>
    <n v="79"/>
    <n v="3"/>
    <n v="1"/>
    <x v="2"/>
    <x v="1"/>
    <s v="Single"/>
    <n v="1483"/>
    <n v="16102"/>
    <n v="1"/>
    <x v="1"/>
    <n v="14"/>
    <n v="3"/>
    <n v="4"/>
    <n v="0"/>
    <n v="1"/>
    <n v="3"/>
    <n v="3"/>
    <n v="1"/>
    <n v="0"/>
    <n v="0"/>
    <n v="0"/>
    <x v="2"/>
    <n v="0"/>
    <s v="40–49"/>
    <x v="1"/>
    <n v="2"/>
    <s v="Medium"/>
  </r>
  <r>
    <n v="40"/>
    <s v="No"/>
    <s v="Travel_Frequently"/>
    <n v="1395"/>
    <x v="1"/>
    <n v="26"/>
    <n v="3"/>
    <s v="Medical"/>
    <n v="202"/>
    <n v="2"/>
    <x v="0"/>
    <n v="54"/>
    <n v="3"/>
    <n v="2"/>
    <x v="1"/>
    <x v="1"/>
    <s v="Divorced"/>
    <n v="5605"/>
    <n v="8504"/>
    <n v="1"/>
    <x v="1"/>
    <n v="11"/>
    <n v="3"/>
    <n v="1"/>
    <n v="1"/>
    <n v="20"/>
    <n v="2"/>
    <n v="3"/>
    <n v="20"/>
    <n v="7"/>
    <n v="2"/>
    <n v="13"/>
    <x v="0"/>
    <n v="0"/>
    <s v="&lt;30"/>
    <x v="1"/>
    <n v="1"/>
    <s v="Low"/>
  </r>
  <r>
    <n v="35"/>
    <s v="No"/>
    <s v="Travel_Rarely"/>
    <n v="662"/>
    <x v="0"/>
    <n v="1"/>
    <n v="5"/>
    <s v="Marketing"/>
    <n v="204"/>
    <n v="3"/>
    <x v="1"/>
    <n v="94"/>
    <n v="3"/>
    <n v="3"/>
    <x v="0"/>
    <x v="1"/>
    <s v="Married"/>
    <n v="7295"/>
    <n v="11439"/>
    <n v="1"/>
    <x v="1"/>
    <n v="13"/>
    <n v="3"/>
    <n v="1"/>
    <n v="2"/>
    <n v="10"/>
    <n v="3"/>
    <n v="3"/>
    <n v="10"/>
    <n v="8"/>
    <n v="0"/>
    <n v="6"/>
    <x v="0"/>
    <n v="0"/>
    <s v="40–49"/>
    <x v="1"/>
    <n v="1"/>
    <s v="Low"/>
  </r>
  <r>
    <n v="53"/>
    <s v="No"/>
    <s v="Travel_Rarely"/>
    <n v="1436"/>
    <x v="0"/>
    <n v="6"/>
    <n v="2"/>
    <s v="Marketing"/>
    <n v="205"/>
    <n v="2"/>
    <x v="1"/>
    <n v="34"/>
    <n v="3"/>
    <n v="2"/>
    <x v="6"/>
    <x v="2"/>
    <s v="Married"/>
    <n v="2306"/>
    <n v="16047"/>
    <n v="2"/>
    <x v="0"/>
    <n v="20"/>
    <n v="4"/>
    <n v="4"/>
    <n v="1"/>
    <n v="13"/>
    <n v="3"/>
    <n v="1"/>
    <n v="7"/>
    <n v="7"/>
    <n v="4"/>
    <n v="5"/>
    <x v="0"/>
    <n v="0"/>
    <s v="30–39"/>
    <x v="2"/>
    <n v="1"/>
    <s v="Low"/>
  </r>
  <r>
    <n v="45"/>
    <s v="No"/>
    <s v="Travel_Rarely"/>
    <n v="194"/>
    <x v="1"/>
    <n v="9"/>
    <n v="3"/>
    <s v="Life Sciences"/>
    <n v="206"/>
    <n v="2"/>
    <x v="1"/>
    <n v="60"/>
    <n v="3"/>
    <n v="2"/>
    <x v="2"/>
    <x v="1"/>
    <s v="Divorced"/>
    <n v="2348"/>
    <n v="10901"/>
    <n v="8"/>
    <x v="1"/>
    <n v="18"/>
    <n v="3"/>
    <n v="3"/>
    <n v="1"/>
    <n v="20"/>
    <n v="2"/>
    <n v="1"/>
    <n v="17"/>
    <n v="9"/>
    <n v="0"/>
    <n v="15"/>
    <x v="0"/>
    <n v="0"/>
    <s v="50+"/>
    <x v="1"/>
    <n v="1"/>
    <s v="Low"/>
  </r>
  <r>
    <n v="32"/>
    <s v="No"/>
    <s v="Travel_Frequently"/>
    <n v="967"/>
    <x v="0"/>
    <n v="8"/>
    <n v="3"/>
    <s v="Marketing"/>
    <n v="207"/>
    <n v="2"/>
    <x v="0"/>
    <n v="43"/>
    <n v="3"/>
    <n v="3"/>
    <x v="0"/>
    <x v="0"/>
    <s v="Single"/>
    <n v="8998"/>
    <n v="15589"/>
    <n v="1"/>
    <x v="1"/>
    <n v="14"/>
    <n v="3"/>
    <n v="4"/>
    <n v="0"/>
    <n v="9"/>
    <n v="2"/>
    <n v="3"/>
    <n v="9"/>
    <n v="8"/>
    <n v="3"/>
    <n v="7"/>
    <x v="0"/>
    <n v="0"/>
    <s v="40–49"/>
    <x v="0"/>
    <n v="0"/>
    <s v="Low"/>
  </r>
  <r>
    <n v="29"/>
    <s v="No"/>
    <s v="Non-Travel"/>
    <n v="1496"/>
    <x v="1"/>
    <n v="1"/>
    <n v="1"/>
    <s v="Technical Degree"/>
    <n v="208"/>
    <n v="4"/>
    <x v="1"/>
    <n v="41"/>
    <n v="3"/>
    <n v="2"/>
    <x v="3"/>
    <x v="2"/>
    <s v="Married"/>
    <n v="4319"/>
    <n v="26283"/>
    <n v="1"/>
    <x v="1"/>
    <n v="13"/>
    <n v="3"/>
    <n v="1"/>
    <n v="1"/>
    <n v="10"/>
    <n v="1"/>
    <n v="3"/>
    <n v="10"/>
    <n v="7"/>
    <n v="0"/>
    <n v="9"/>
    <x v="0"/>
    <n v="0"/>
    <s v="30–39"/>
    <x v="2"/>
    <n v="0"/>
    <s v="Low"/>
  </r>
  <r>
    <n v="51"/>
    <s v="No"/>
    <s v="Travel_Rarely"/>
    <n v="1169"/>
    <x v="1"/>
    <n v="7"/>
    <n v="4"/>
    <s v="Medical"/>
    <n v="211"/>
    <n v="2"/>
    <x v="1"/>
    <n v="34"/>
    <n v="2"/>
    <n v="2"/>
    <x v="3"/>
    <x v="2"/>
    <s v="Married"/>
    <n v="6132"/>
    <n v="13983"/>
    <n v="2"/>
    <x v="1"/>
    <n v="17"/>
    <n v="3"/>
    <n v="3"/>
    <n v="0"/>
    <n v="10"/>
    <n v="2"/>
    <n v="3"/>
    <n v="1"/>
    <n v="0"/>
    <n v="0"/>
    <n v="0"/>
    <x v="2"/>
    <n v="0"/>
    <s v="&lt;30"/>
    <x v="2"/>
    <n v="1"/>
    <s v="Low"/>
  </r>
  <r>
    <n v="58"/>
    <s v="No"/>
    <s v="Travel_Rarely"/>
    <n v="1145"/>
    <x v="1"/>
    <n v="9"/>
    <n v="3"/>
    <s v="Medical"/>
    <n v="214"/>
    <n v="2"/>
    <x v="0"/>
    <n v="75"/>
    <n v="2"/>
    <n v="1"/>
    <x v="1"/>
    <x v="1"/>
    <s v="Married"/>
    <n v="3346"/>
    <n v="11873"/>
    <n v="4"/>
    <x v="0"/>
    <n v="20"/>
    <n v="4"/>
    <n v="2"/>
    <n v="1"/>
    <n v="9"/>
    <n v="3"/>
    <n v="2"/>
    <n v="1"/>
    <n v="0"/>
    <n v="0"/>
    <n v="0"/>
    <x v="2"/>
    <n v="0"/>
    <s v="50+"/>
    <x v="1"/>
    <n v="3"/>
    <s v="High"/>
  </r>
  <r>
    <n v="40"/>
    <s v="No"/>
    <s v="Travel_Rarely"/>
    <n v="630"/>
    <x v="0"/>
    <n v="4"/>
    <n v="4"/>
    <s v="Marketing"/>
    <n v="215"/>
    <n v="3"/>
    <x v="1"/>
    <n v="67"/>
    <n v="2"/>
    <n v="3"/>
    <x v="0"/>
    <x v="0"/>
    <s v="Married"/>
    <n v="10855"/>
    <n v="8552"/>
    <n v="7"/>
    <x v="1"/>
    <n v="11"/>
    <n v="3"/>
    <n v="1"/>
    <n v="1"/>
    <n v="15"/>
    <n v="2"/>
    <n v="2"/>
    <n v="12"/>
    <n v="11"/>
    <n v="2"/>
    <n v="11"/>
    <x v="0"/>
    <n v="0"/>
    <s v="50+"/>
    <x v="0"/>
    <n v="0"/>
    <s v="Low"/>
  </r>
  <r>
    <n v="34"/>
    <s v="No"/>
    <s v="Travel_Frequently"/>
    <n v="303"/>
    <x v="0"/>
    <n v="2"/>
    <n v="4"/>
    <s v="Marketing"/>
    <n v="216"/>
    <n v="3"/>
    <x v="0"/>
    <n v="75"/>
    <n v="3"/>
    <n v="1"/>
    <x v="6"/>
    <x v="2"/>
    <s v="Married"/>
    <n v="2231"/>
    <n v="11314"/>
    <n v="6"/>
    <x v="1"/>
    <n v="18"/>
    <n v="3"/>
    <n v="4"/>
    <n v="1"/>
    <n v="6"/>
    <n v="3"/>
    <n v="3"/>
    <n v="4"/>
    <n v="3"/>
    <n v="1"/>
    <n v="2"/>
    <x v="3"/>
    <n v="0"/>
    <s v="40–49"/>
    <x v="2"/>
    <n v="0"/>
    <s v="Low"/>
  </r>
  <r>
    <n v="22"/>
    <s v="No"/>
    <s v="Travel_Rarely"/>
    <n v="1256"/>
    <x v="1"/>
    <n v="19"/>
    <n v="1"/>
    <s v="Medical"/>
    <n v="217"/>
    <n v="3"/>
    <x v="1"/>
    <n v="80"/>
    <n v="3"/>
    <n v="1"/>
    <x v="1"/>
    <x v="0"/>
    <s v="Married"/>
    <n v="2323"/>
    <n v="11992"/>
    <n v="1"/>
    <x v="1"/>
    <n v="24"/>
    <n v="4"/>
    <n v="1"/>
    <n v="2"/>
    <n v="2"/>
    <n v="6"/>
    <n v="3"/>
    <n v="2"/>
    <n v="2"/>
    <n v="2"/>
    <n v="2"/>
    <x v="2"/>
    <n v="0"/>
    <s v="30–39"/>
    <x v="0"/>
    <n v="1"/>
    <s v="Low"/>
  </r>
  <r>
    <n v="27"/>
    <s v="No"/>
    <s v="Non-Travel"/>
    <n v="691"/>
    <x v="1"/>
    <n v="9"/>
    <n v="3"/>
    <s v="Medical"/>
    <n v="218"/>
    <n v="4"/>
    <x v="1"/>
    <n v="57"/>
    <n v="3"/>
    <n v="1"/>
    <x v="1"/>
    <x v="1"/>
    <s v="Divorced"/>
    <n v="2024"/>
    <n v="5970"/>
    <n v="6"/>
    <x v="1"/>
    <n v="18"/>
    <n v="3"/>
    <n v="4"/>
    <n v="1"/>
    <n v="6"/>
    <n v="1"/>
    <n v="1"/>
    <n v="2"/>
    <n v="2"/>
    <n v="2"/>
    <n v="2"/>
    <x v="2"/>
    <n v="0"/>
    <s v="&lt;30"/>
    <x v="1"/>
    <n v="2"/>
    <s v="Medium"/>
  </r>
  <r>
    <n v="28"/>
    <s v="No"/>
    <s v="Travel_Rarely"/>
    <n v="440"/>
    <x v="1"/>
    <n v="21"/>
    <n v="3"/>
    <s v="Medical"/>
    <n v="221"/>
    <n v="3"/>
    <x v="1"/>
    <n v="42"/>
    <n v="3"/>
    <n v="1"/>
    <x v="1"/>
    <x v="0"/>
    <s v="Married"/>
    <n v="2713"/>
    <n v="6672"/>
    <n v="1"/>
    <x v="1"/>
    <n v="11"/>
    <n v="3"/>
    <n v="3"/>
    <n v="1"/>
    <n v="5"/>
    <n v="2"/>
    <n v="1"/>
    <n v="5"/>
    <n v="2"/>
    <n v="0"/>
    <n v="2"/>
    <x v="3"/>
    <n v="0"/>
    <s v="&lt;30"/>
    <x v="0"/>
    <n v="0"/>
    <s v="Low"/>
  </r>
  <r>
    <n v="57"/>
    <s v="No"/>
    <s v="Travel_Rarely"/>
    <n v="334"/>
    <x v="1"/>
    <n v="24"/>
    <n v="2"/>
    <s v="Life Sciences"/>
    <n v="223"/>
    <n v="3"/>
    <x v="1"/>
    <n v="83"/>
    <n v="4"/>
    <n v="3"/>
    <x v="4"/>
    <x v="0"/>
    <s v="Divorced"/>
    <n v="9439"/>
    <n v="23402"/>
    <n v="3"/>
    <x v="0"/>
    <n v="16"/>
    <n v="3"/>
    <n v="2"/>
    <n v="1"/>
    <n v="12"/>
    <n v="2"/>
    <n v="1"/>
    <n v="5"/>
    <n v="3"/>
    <n v="1"/>
    <n v="4"/>
    <x v="3"/>
    <n v="0"/>
    <s v="&lt;30"/>
    <x v="0"/>
    <n v="1"/>
    <s v="Low"/>
  </r>
  <r>
    <n v="27"/>
    <s v="No"/>
    <s v="Non-Travel"/>
    <n v="1450"/>
    <x v="1"/>
    <n v="3"/>
    <n v="3"/>
    <s v="Medical"/>
    <n v="224"/>
    <n v="3"/>
    <x v="1"/>
    <n v="79"/>
    <n v="2"/>
    <n v="1"/>
    <x v="1"/>
    <x v="2"/>
    <s v="Divorced"/>
    <n v="2566"/>
    <n v="25326"/>
    <n v="1"/>
    <x v="0"/>
    <n v="15"/>
    <n v="3"/>
    <n v="4"/>
    <n v="1"/>
    <n v="1"/>
    <n v="2"/>
    <n v="2"/>
    <n v="1"/>
    <n v="1"/>
    <n v="0"/>
    <n v="1"/>
    <x v="2"/>
    <n v="0"/>
    <s v="50+"/>
    <x v="2"/>
    <n v="2"/>
    <s v="Medium"/>
  </r>
  <r>
    <n v="50"/>
    <s v="No"/>
    <s v="Travel_Rarely"/>
    <n v="1452"/>
    <x v="1"/>
    <n v="11"/>
    <n v="3"/>
    <s v="Life Sciences"/>
    <n v="226"/>
    <n v="3"/>
    <x v="0"/>
    <n v="53"/>
    <n v="3"/>
    <n v="5"/>
    <x v="5"/>
    <x v="1"/>
    <s v="Single"/>
    <n v="19926"/>
    <n v="17053"/>
    <n v="3"/>
    <x v="1"/>
    <n v="15"/>
    <n v="3"/>
    <n v="2"/>
    <n v="0"/>
    <n v="21"/>
    <n v="5"/>
    <n v="3"/>
    <n v="5"/>
    <n v="4"/>
    <n v="4"/>
    <n v="4"/>
    <x v="3"/>
    <n v="0"/>
    <s v="&lt;30"/>
    <x v="1"/>
    <n v="1"/>
    <s v="Low"/>
  </r>
  <r>
    <n v="41"/>
    <s v="No"/>
    <s v="Travel_Rarely"/>
    <n v="465"/>
    <x v="1"/>
    <n v="14"/>
    <n v="3"/>
    <s v="Life Sciences"/>
    <n v="227"/>
    <n v="1"/>
    <x v="1"/>
    <n v="56"/>
    <n v="3"/>
    <n v="1"/>
    <x v="1"/>
    <x v="2"/>
    <s v="Divorced"/>
    <n v="2451"/>
    <n v="4609"/>
    <n v="4"/>
    <x v="1"/>
    <n v="12"/>
    <n v="3"/>
    <n v="1"/>
    <n v="1"/>
    <n v="13"/>
    <n v="2"/>
    <n v="3"/>
    <n v="9"/>
    <n v="8"/>
    <n v="1"/>
    <n v="8"/>
    <x v="0"/>
    <n v="0"/>
    <s v="50+"/>
    <x v="2"/>
    <n v="0"/>
    <s v="Low"/>
  </r>
  <r>
    <n v="30"/>
    <s v="No"/>
    <s v="Travel_Rarely"/>
    <n v="1339"/>
    <x v="0"/>
    <n v="5"/>
    <n v="3"/>
    <s v="Life Sciences"/>
    <n v="228"/>
    <n v="2"/>
    <x v="0"/>
    <n v="41"/>
    <n v="3"/>
    <n v="3"/>
    <x v="0"/>
    <x v="0"/>
    <s v="Married"/>
    <n v="9419"/>
    <n v="8053"/>
    <n v="2"/>
    <x v="1"/>
    <n v="12"/>
    <n v="3"/>
    <n v="3"/>
    <n v="1"/>
    <n v="12"/>
    <n v="2"/>
    <n v="3"/>
    <n v="10"/>
    <n v="9"/>
    <n v="7"/>
    <n v="4"/>
    <x v="0"/>
    <n v="0"/>
    <s v="40–49"/>
    <x v="0"/>
    <n v="0"/>
    <s v="Low"/>
  </r>
  <r>
    <n v="38"/>
    <s v="No"/>
    <s v="Travel_Rarely"/>
    <n v="702"/>
    <x v="0"/>
    <n v="1"/>
    <n v="4"/>
    <s v="Life Sciences"/>
    <n v="230"/>
    <n v="1"/>
    <x v="0"/>
    <n v="59"/>
    <n v="2"/>
    <n v="2"/>
    <x v="0"/>
    <x v="0"/>
    <s v="Single"/>
    <n v="8686"/>
    <n v="12930"/>
    <n v="4"/>
    <x v="1"/>
    <n v="22"/>
    <n v="4"/>
    <n v="3"/>
    <n v="0"/>
    <n v="12"/>
    <n v="2"/>
    <n v="4"/>
    <n v="8"/>
    <n v="3"/>
    <n v="0"/>
    <n v="7"/>
    <x v="0"/>
    <n v="0"/>
    <s v="30–39"/>
    <x v="0"/>
    <n v="0"/>
    <s v="Low"/>
  </r>
  <r>
    <n v="32"/>
    <s v="No"/>
    <s v="Travel_Rarely"/>
    <n v="120"/>
    <x v="1"/>
    <n v="6"/>
    <n v="5"/>
    <s v="Life Sciences"/>
    <n v="231"/>
    <n v="3"/>
    <x v="1"/>
    <n v="43"/>
    <n v="3"/>
    <n v="1"/>
    <x v="1"/>
    <x v="2"/>
    <s v="Single"/>
    <n v="3038"/>
    <n v="12430"/>
    <n v="3"/>
    <x v="1"/>
    <n v="20"/>
    <n v="4"/>
    <n v="1"/>
    <n v="0"/>
    <n v="8"/>
    <n v="2"/>
    <n v="3"/>
    <n v="5"/>
    <n v="4"/>
    <n v="1"/>
    <n v="4"/>
    <x v="3"/>
    <n v="0"/>
    <s v="30–39"/>
    <x v="2"/>
    <n v="0"/>
    <s v="Low"/>
  </r>
  <r>
    <n v="27"/>
    <s v="No"/>
    <s v="Travel_Rarely"/>
    <n v="1157"/>
    <x v="1"/>
    <n v="17"/>
    <n v="3"/>
    <s v="Technical Degree"/>
    <n v="233"/>
    <n v="3"/>
    <x v="1"/>
    <n v="51"/>
    <n v="3"/>
    <n v="1"/>
    <x v="1"/>
    <x v="1"/>
    <s v="Married"/>
    <n v="3058"/>
    <n v="13364"/>
    <n v="0"/>
    <x v="0"/>
    <n v="16"/>
    <n v="3"/>
    <n v="4"/>
    <n v="1"/>
    <n v="6"/>
    <n v="3"/>
    <n v="2"/>
    <n v="5"/>
    <n v="2"/>
    <n v="1"/>
    <n v="1"/>
    <x v="3"/>
    <n v="0"/>
    <s v="30–39"/>
    <x v="1"/>
    <n v="2"/>
    <s v="Medium"/>
  </r>
  <r>
    <n v="19"/>
    <s v="Yes"/>
    <s v="Travel_Frequently"/>
    <n v="602"/>
    <x v="0"/>
    <n v="1"/>
    <n v="1"/>
    <s v="Technical Degree"/>
    <n v="235"/>
    <n v="3"/>
    <x v="0"/>
    <n v="100"/>
    <n v="1"/>
    <n v="1"/>
    <x v="6"/>
    <x v="3"/>
    <s v="Single"/>
    <n v="2325"/>
    <n v="20989"/>
    <n v="0"/>
    <x v="1"/>
    <n v="21"/>
    <n v="4"/>
    <n v="1"/>
    <n v="0"/>
    <n v="1"/>
    <n v="5"/>
    <n v="4"/>
    <n v="0"/>
    <n v="0"/>
    <n v="0"/>
    <n v="0"/>
    <x v="1"/>
    <n v="1"/>
    <s v="&lt;30"/>
    <x v="1"/>
    <n v="2"/>
    <s v="Medium"/>
  </r>
  <r>
    <n v="36"/>
    <s v="No"/>
    <s v="Travel_Frequently"/>
    <n v="1480"/>
    <x v="1"/>
    <n v="3"/>
    <n v="2"/>
    <s v="Medical"/>
    <n v="238"/>
    <n v="4"/>
    <x v="1"/>
    <n v="30"/>
    <n v="3"/>
    <n v="1"/>
    <x v="2"/>
    <x v="1"/>
    <s v="Single"/>
    <n v="2088"/>
    <n v="15062"/>
    <n v="4"/>
    <x v="1"/>
    <n v="12"/>
    <n v="3"/>
    <n v="3"/>
    <n v="0"/>
    <n v="13"/>
    <n v="3"/>
    <n v="2"/>
    <n v="8"/>
    <n v="7"/>
    <n v="7"/>
    <n v="2"/>
    <x v="0"/>
    <n v="0"/>
    <s v="&lt;30"/>
    <x v="1"/>
    <n v="1"/>
    <s v="Low"/>
  </r>
  <r>
    <n v="30"/>
    <s v="No"/>
    <s v="Non-Travel"/>
    <n v="111"/>
    <x v="1"/>
    <n v="9"/>
    <n v="3"/>
    <s v="Medical"/>
    <n v="239"/>
    <n v="3"/>
    <x v="1"/>
    <n v="66"/>
    <n v="3"/>
    <n v="2"/>
    <x v="2"/>
    <x v="3"/>
    <s v="Divorced"/>
    <n v="3072"/>
    <n v="11012"/>
    <n v="1"/>
    <x v="1"/>
    <n v="11"/>
    <n v="3"/>
    <n v="3"/>
    <n v="2"/>
    <n v="12"/>
    <n v="4"/>
    <n v="3"/>
    <n v="12"/>
    <n v="9"/>
    <n v="6"/>
    <n v="10"/>
    <x v="0"/>
    <n v="0"/>
    <s v="30–39"/>
    <x v="1"/>
    <n v="1"/>
    <s v="Low"/>
  </r>
  <r>
    <n v="45"/>
    <s v="No"/>
    <s v="Travel_Rarely"/>
    <n v="1268"/>
    <x v="0"/>
    <n v="4"/>
    <n v="2"/>
    <s v="Life Sciences"/>
    <n v="240"/>
    <n v="3"/>
    <x v="0"/>
    <n v="30"/>
    <n v="3"/>
    <n v="2"/>
    <x v="0"/>
    <x v="3"/>
    <s v="Divorced"/>
    <n v="5006"/>
    <n v="6319"/>
    <n v="4"/>
    <x v="0"/>
    <n v="11"/>
    <n v="3"/>
    <n v="1"/>
    <n v="1"/>
    <n v="9"/>
    <n v="3"/>
    <n v="4"/>
    <n v="5"/>
    <n v="4"/>
    <n v="0"/>
    <n v="3"/>
    <x v="3"/>
    <n v="0"/>
    <s v="30–39"/>
    <x v="1"/>
    <n v="2"/>
    <s v="Medium"/>
  </r>
  <r>
    <n v="56"/>
    <s v="No"/>
    <s v="Travel_Rarely"/>
    <n v="713"/>
    <x v="1"/>
    <n v="8"/>
    <n v="3"/>
    <s v="Life Sciences"/>
    <n v="241"/>
    <n v="3"/>
    <x v="0"/>
    <n v="67"/>
    <n v="3"/>
    <n v="1"/>
    <x v="1"/>
    <x v="3"/>
    <s v="Divorced"/>
    <n v="4257"/>
    <n v="13939"/>
    <n v="4"/>
    <x v="0"/>
    <n v="18"/>
    <n v="3"/>
    <n v="3"/>
    <n v="1"/>
    <n v="19"/>
    <n v="3"/>
    <n v="3"/>
    <n v="2"/>
    <n v="2"/>
    <n v="2"/>
    <n v="2"/>
    <x v="2"/>
    <n v="0"/>
    <s v="40–49"/>
    <x v="1"/>
    <n v="3"/>
    <s v="High"/>
  </r>
  <r>
    <n v="33"/>
    <s v="No"/>
    <s v="Travel_Rarely"/>
    <n v="134"/>
    <x v="1"/>
    <n v="2"/>
    <n v="3"/>
    <s v="Life Sciences"/>
    <n v="242"/>
    <n v="3"/>
    <x v="1"/>
    <n v="90"/>
    <n v="3"/>
    <n v="1"/>
    <x v="1"/>
    <x v="0"/>
    <s v="Single"/>
    <n v="2500"/>
    <n v="10515"/>
    <n v="0"/>
    <x v="1"/>
    <n v="14"/>
    <n v="3"/>
    <n v="1"/>
    <n v="0"/>
    <n v="4"/>
    <n v="2"/>
    <n v="4"/>
    <n v="3"/>
    <n v="1"/>
    <n v="0"/>
    <n v="2"/>
    <x v="2"/>
    <n v="0"/>
    <s v="50+"/>
    <x v="0"/>
    <n v="1"/>
    <s v="Low"/>
  </r>
  <r>
    <n v="19"/>
    <s v="Yes"/>
    <s v="Travel_Rarely"/>
    <n v="303"/>
    <x v="1"/>
    <n v="2"/>
    <n v="3"/>
    <s v="Life Sciences"/>
    <n v="243"/>
    <n v="2"/>
    <x v="1"/>
    <n v="47"/>
    <n v="2"/>
    <n v="1"/>
    <x v="2"/>
    <x v="0"/>
    <s v="Single"/>
    <n v="1102"/>
    <n v="9241"/>
    <n v="1"/>
    <x v="1"/>
    <n v="22"/>
    <n v="4"/>
    <n v="3"/>
    <n v="0"/>
    <n v="1"/>
    <n v="3"/>
    <n v="2"/>
    <n v="1"/>
    <n v="0"/>
    <n v="1"/>
    <n v="0"/>
    <x v="2"/>
    <n v="1"/>
    <s v="30–39"/>
    <x v="0"/>
    <n v="1"/>
    <s v="Low"/>
  </r>
  <r>
    <n v="46"/>
    <s v="No"/>
    <s v="Travel_Rarely"/>
    <n v="526"/>
    <x v="0"/>
    <n v="1"/>
    <n v="2"/>
    <s v="Marketing"/>
    <n v="244"/>
    <n v="2"/>
    <x v="0"/>
    <n v="92"/>
    <n v="3"/>
    <n v="3"/>
    <x v="0"/>
    <x v="3"/>
    <s v="Divorced"/>
    <n v="10453"/>
    <n v="2137"/>
    <n v="1"/>
    <x v="1"/>
    <n v="25"/>
    <n v="4"/>
    <n v="3"/>
    <n v="3"/>
    <n v="24"/>
    <n v="2"/>
    <n v="3"/>
    <n v="24"/>
    <n v="13"/>
    <n v="15"/>
    <n v="7"/>
    <x v="0"/>
    <n v="0"/>
    <s v="&lt;30"/>
    <x v="1"/>
    <n v="1"/>
    <s v="Low"/>
  </r>
  <r>
    <n v="38"/>
    <s v="No"/>
    <s v="Travel_Rarely"/>
    <n v="1380"/>
    <x v="1"/>
    <n v="9"/>
    <n v="2"/>
    <s v="Life Sciences"/>
    <n v="245"/>
    <n v="3"/>
    <x v="0"/>
    <n v="75"/>
    <n v="3"/>
    <n v="1"/>
    <x v="2"/>
    <x v="0"/>
    <s v="Single"/>
    <n v="2288"/>
    <n v="6319"/>
    <n v="1"/>
    <x v="1"/>
    <n v="12"/>
    <n v="3"/>
    <n v="3"/>
    <n v="0"/>
    <n v="2"/>
    <n v="3"/>
    <n v="3"/>
    <n v="2"/>
    <n v="2"/>
    <n v="2"/>
    <n v="1"/>
    <x v="2"/>
    <n v="0"/>
    <s v="40–49"/>
    <x v="0"/>
    <n v="1"/>
    <s v="Low"/>
  </r>
  <r>
    <n v="31"/>
    <s v="No"/>
    <s v="Travel_Rarely"/>
    <n v="140"/>
    <x v="1"/>
    <n v="12"/>
    <n v="1"/>
    <s v="Medical"/>
    <n v="246"/>
    <n v="3"/>
    <x v="0"/>
    <n v="95"/>
    <n v="3"/>
    <n v="1"/>
    <x v="1"/>
    <x v="0"/>
    <s v="Married"/>
    <n v="3929"/>
    <n v="6984"/>
    <n v="8"/>
    <x v="0"/>
    <n v="23"/>
    <n v="4"/>
    <n v="3"/>
    <n v="1"/>
    <n v="7"/>
    <n v="0"/>
    <n v="3"/>
    <n v="4"/>
    <n v="2"/>
    <n v="0"/>
    <n v="2"/>
    <x v="3"/>
    <n v="0"/>
    <s v="30–39"/>
    <x v="0"/>
    <n v="1"/>
    <s v="Low"/>
  </r>
  <r>
    <n v="34"/>
    <s v="No"/>
    <s v="Travel_Rarely"/>
    <n v="629"/>
    <x v="1"/>
    <n v="27"/>
    <n v="2"/>
    <s v="Medical"/>
    <n v="247"/>
    <n v="4"/>
    <x v="0"/>
    <n v="95"/>
    <n v="3"/>
    <n v="1"/>
    <x v="1"/>
    <x v="1"/>
    <s v="Single"/>
    <n v="2311"/>
    <n v="5711"/>
    <n v="2"/>
    <x v="1"/>
    <n v="15"/>
    <n v="3"/>
    <n v="4"/>
    <n v="0"/>
    <n v="9"/>
    <n v="3"/>
    <n v="3"/>
    <n v="3"/>
    <n v="2"/>
    <n v="1"/>
    <n v="2"/>
    <x v="2"/>
    <n v="0"/>
    <s v="30–39"/>
    <x v="1"/>
    <n v="2"/>
    <s v="Medium"/>
  </r>
  <r>
    <n v="41"/>
    <s v="Yes"/>
    <s v="Travel_Rarely"/>
    <n v="1356"/>
    <x v="0"/>
    <n v="20"/>
    <n v="2"/>
    <s v="Marketing"/>
    <n v="248"/>
    <n v="2"/>
    <x v="0"/>
    <n v="70"/>
    <n v="3"/>
    <n v="1"/>
    <x v="6"/>
    <x v="1"/>
    <s v="Single"/>
    <n v="3140"/>
    <n v="21728"/>
    <n v="1"/>
    <x v="0"/>
    <n v="22"/>
    <n v="4"/>
    <n v="4"/>
    <n v="0"/>
    <n v="4"/>
    <n v="5"/>
    <n v="2"/>
    <n v="4"/>
    <n v="3"/>
    <n v="0"/>
    <n v="2"/>
    <x v="3"/>
    <n v="1"/>
    <s v="30–39"/>
    <x v="1"/>
    <n v="2"/>
    <s v="Medium"/>
  </r>
  <r>
    <n v="50"/>
    <s v="No"/>
    <s v="Travel_Rarely"/>
    <n v="328"/>
    <x v="1"/>
    <n v="1"/>
    <n v="3"/>
    <s v="Medical"/>
    <n v="249"/>
    <n v="3"/>
    <x v="1"/>
    <n v="86"/>
    <n v="2"/>
    <n v="1"/>
    <x v="2"/>
    <x v="2"/>
    <s v="Married"/>
    <n v="3690"/>
    <n v="3425"/>
    <n v="2"/>
    <x v="1"/>
    <n v="15"/>
    <n v="3"/>
    <n v="4"/>
    <n v="1"/>
    <n v="5"/>
    <n v="2"/>
    <n v="2"/>
    <n v="3"/>
    <n v="2"/>
    <n v="0"/>
    <n v="2"/>
    <x v="2"/>
    <n v="0"/>
    <s v="40–49"/>
    <x v="2"/>
    <n v="1"/>
    <s v="Low"/>
  </r>
  <r>
    <n v="53"/>
    <s v="No"/>
    <s v="Travel_Rarely"/>
    <n v="1084"/>
    <x v="1"/>
    <n v="13"/>
    <n v="2"/>
    <s v="Medical"/>
    <n v="250"/>
    <n v="4"/>
    <x v="0"/>
    <n v="57"/>
    <n v="4"/>
    <n v="2"/>
    <x v="3"/>
    <x v="3"/>
    <s v="Divorced"/>
    <n v="4450"/>
    <n v="26250"/>
    <n v="1"/>
    <x v="1"/>
    <n v="11"/>
    <n v="3"/>
    <n v="3"/>
    <n v="2"/>
    <n v="5"/>
    <n v="3"/>
    <n v="3"/>
    <n v="4"/>
    <n v="2"/>
    <n v="1"/>
    <n v="3"/>
    <x v="3"/>
    <n v="0"/>
    <s v="50+"/>
    <x v="1"/>
    <n v="1"/>
    <s v="Low"/>
  </r>
  <r>
    <n v="33"/>
    <s v="No"/>
    <s v="Travel_Rarely"/>
    <n v="931"/>
    <x v="1"/>
    <n v="14"/>
    <n v="3"/>
    <s v="Medical"/>
    <n v="252"/>
    <n v="4"/>
    <x v="0"/>
    <n v="72"/>
    <n v="3"/>
    <n v="1"/>
    <x v="1"/>
    <x v="1"/>
    <s v="Married"/>
    <n v="2756"/>
    <n v="4673"/>
    <n v="1"/>
    <x v="1"/>
    <n v="13"/>
    <n v="3"/>
    <n v="4"/>
    <n v="1"/>
    <n v="8"/>
    <n v="5"/>
    <n v="3"/>
    <n v="8"/>
    <n v="7"/>
    <n v="1"/>
    <n v="6"/>
    <x v="0"/>
    <n v="0"/>
    <s v="50+"/>
    <x v="1"/>
    <n v="1"/>
    <s v="Low"/>
  </r>
  <r>
    <n v="40"/>
    <s v="No"/>
    <s v="Travel_Rarely"/>
    <n v="989"/>
    <x v="1"/>
    <n v="4"/>
    <n v="1"/>
    <s v="Medical"/>
    <n v="253"/>
    <n v="4"/>
    <x v="0"/>
    <n v="46"/>
    <n v="3"/>
    <n v="5"/>
    <x v="5"/>
    <x v="2"/>
    <s v="Married"/>
    <n v="19033"/>
    <n v="6499"/>
    <n v="1"/>
    <x v="1"/>
    <n v="14"/>
    <n v="3"/>
    <n v="2"/>
    <n v="1"/>
    <n v="21"/>
    <n v="2"/>
    <n v="3"/>
    <n v="20"/>
    <n v="8"/>
    <n v="9"/>
    <n v="9"/>
    <x v="0"/>
    <n v="0"/>
    <s v="30–39"/>
    <x v="2"/>
    <n v="0"/>
    <s v="Low"/>
  </r>
  <r>
    <n v="55"/>
    <s v="No"/>
    <s v="Travel_Rarely"/>
    <n v="692"/>
    <x v="1"/>
    <n v="14"/>
    <n v="4"/>
    <s v="Medical"/>
    <n v="254"/>
    <n v="3"/>
    <x v="1"/>
    <n v="61"/>
    <n v="4"/>
    <n v="5"/>
    <x v="7"/>
    <x v="1"/>
    <s v="Single"/>
    <n v="18722"/>
    <n v="13339"/>
    <n v="8"/>
    <x v="1"/>
    <n v="11"/>
    <n v="3"/>
    <n v="4"/>
    <n v="0"/>
    <n v="36"/>
    <n v="3"/>
    <n v="3"/>
    <n v="24"/>
    <n v="15"/>
    <n v="2"/>
    <n v="15"/>
    <x v="0"/>
    <n v="0"/>
    <s v="40–49"/>
    <x v="1"/>
    <n v="1"/>
    <s v="Low"/>
  </r>
  <r>
    <n v="34"/>
    <s v="No"/>
    <s v="Travel_Frequently"/>
    <n v="1069"/>
    <x v="1"/>
    <n v="2"/>
    <n v="1"/>
    <s v="Life Sciences"/>
    <n v="256"/>
    <n v="4"/>
    <x v="1"/>
    <n v="45"/>
    <n v="2"/>
    <n v="2"/>
    <x v="3"/>
    <x v="2"/>
    <s v="Married"/>
    <n v="9547"/>
    <n v="14074"/>
    <n v="1"/>
    <x v="1"/>
    <n v="17"/>
    <n v="3"/>
    <n v="3"/>
    <n v="0"/>
    <n v="10"/>
    <n v="2"/>
    <n v="2"/>
    <n v="10"/>
    <n v="9"/>
    <n v="1"/>
    <n v="9"/>
    <x v="0"/>
    <n v="0"/>
    <s v="50+"/>
    <x v="2"/>
    <n v="0"/>
    <s v="Low"/>
  </r>
  <r>
    <n v="51"/>
    <s v="No"/>
    <s v="Travel_Rarely"/>
    <n v="313"/>
    <x v="1"/>
    <n v="3"/>
    <n v="3"/>
    <s v="Medical"/>
    <n v="258"/>
    <n v="4"/>
    <x v="0"/>
    <n v="98"/>
    <n v="3"/>
    <n v="4"/>
    <x v="4"/>
    <x v="1"/>
    <s v="Single"/>
    <n v="13734"/>
    <n v="7192"/>
    <n v="3"/>
    <x v="1"/>
    <n v="18"/>
    <n v="3"/>
    <n v="3"/>
    <n v="0"/>
    <n v="21"/>
    <n v="6"/>
    <n v="3"/>
    <n v="7"/>
    <n v="7"/>
    <n v="1"/>
    <n v="0"/>
    <x v="0"/>
    <n v="0"/>
    <s v="30–39"/>
    <x v="1"/>
    <n v="1"/>
    <s v="Low"/>
  </r>
  <r>
    <n v="52"/>
    <s v="No"/>
    <s v="Travel_Rarely"/>
    <n v="699"/>
    <x v="1"/>
    <n v="1"/>
    <n v="4"/>
    <s v="Life Sciences"/>
    <n v="259"/>
    <n v="3"/>
    <x v="1"/>
    <n v="65"/>
    <n v="2"/>
    <n v="5"/>
    <x v="5"/>
    <x v="2"/>
    <s v="Married"/>
    <n v="19999"/>
    <n v="5678"/>
    <n v="0"/>
    <x v="1"/>
    <n v="14"/>
    <n v="3"/>
    <n v="1"/>
    <n v="1"/>
    <n v="34"/>
    <n v="5"/>
    <n v="3"/>
    <n v="33"/>
    <n v="18"/>
    <n v="11"/>
    <n v="9"/>
    <x v="0"/>
    <n v="0"/>
    <s v="50+"/>
    <x v="2"/>
    <n v="0"/>
    <s v="Low"/>
  </r>
  <r>
    <n v="27"/>
    <s v="No"/>
    <s v="Travel_Rarely"/>
    <n v="894"/>
    <x v="1"/>
    <n v="9"/>
    <n v="3"/>
    <s v="Medical"/>
    <n v="260"/>
    <n v="4"/>
    <x v="0"/>
    <n v="99"/>
    <n v="3"/>
    <n v="1"/>
    <x v="1"/>
    <x v="1"/>
    <s v="Single"/>
    <n v="2279"/>
    <n v="11781"/>
    <n v="1"/>
    <x v="1"/>
    <n v="16"/>
    <n v="3"/>
    <n v="4"/>
    <n v="0"/>
    <n v="7"/>
    <n v="2"/>
    <n v="2"/>
    <n v="7"/>
    <n v="7"/>
    <n v="0"/>
    <n v="3"/>
    <x v="0"/>
    <n v="0"/>
    <s v="50+"/>
    <x v="1"/>
    <n v="1"/>
    <s v="Low"/>
  </r>
  <r>
    <n v="35"/>
    <s v="Yes"/>
    <s v="Travel_Rarely"/>
    <n v="556"/>
    <x v="1"/>
    <n v="23"/>
    <n v="2"/>
    <s v="Life Sciences"/>
    <n v="261"/>
    <n v="2"/>
    <x v="1"/>
    <n v="50"/>
    <n v="2"/>
    <n v="2"/>
    <x v="3"/>
    <x v="2"/>
    <s v="Married"/>
    <n v="5916"/>
    <n v="15497"/>
    <n v="3"/>
    <x v="0"/>
    <n v="13"/>
    <n v="3"/>
    <n v="1"/>
    <n v="0"/>
    <n v="8"/>
    <n v="1"/>
    <n v="3"/>
    <n v="1"/>
    <n v="0"/>
    <n v="0"/>
    <n v="1"/>
    <x v="2"/>
    <n v="1"/>
    <s v="&lt;30"/>
    <x v="2"/>
    <n v="2"/>
    <s v="Medium"/>
  </r>
  <r>
    <n v="43"/>
    <s v="No"/>
    <s v="Non-Travel"/>
    <n v="1344"/>
    <x v="1"/>
    <n v="7"/>
    <n v="3"/>
    <s v="Medical"/>
    <n v="262"/>
    <n v="4"/>
    <x v="1"/>
    <n v="37"/>
    <n v="4"/>
    <n v="1"/>
    <x v="1"/>
    <x v="0"/>
    <s v="Divorced"/>
    <n v="2089"/>
    <n v="5228"/>
    <n v="4"/>
    <x v="1"/>
    <n v="14"/>
    <n v="3"/>
    <n v="4"/>
    <n v="3"/>
    <n v="7"/>
    <n v="3"/>
    <n v="4"/>
    <n v="5"/>
    <n v="4"/>
    <n v="2"/>
    <n v="2"/>
    <x v="3"/>
    <n v="0"/>
    <s v="30–39"/>
    <x v="0"/>
    <n v="0"/>
    <s v="Low"/>
  </r>
  <r>
    <n v="45"/>
    <s v="No"/>
    <s v="Non-Travel"/>
    <n v="1195"/>
    <x v="1"/>
    <n v="2"/>
    <n v="2"/>
    <s v="Medical"/>
    <n v="264"/>
    <n v="1"/>
    <x v="1"/>
    <n v="65"/>
    <n v="2"/>
    <n v="4"/>
    <x v="5"/>
    <x v="0"/>
    <s v="Married"/>
    <n v="16792"/>
    <n v="20462"/>
    <n v="9"/>
    <x v="1"/>
    <n v="23"/>
    <n v="4"/>
    <n v="4"/>
    <n v="1"/>
    <n v="22"/>
    <n v="1"/>
    <n v="3"/>
    <n v="20"/>
    <n v="8"/>
    <n v="11"/>
    <n v="8"/>
    <x v="0"/>
    <n v="0"/>
    <s v="40–49"/>
    <x v="0"/>
    <n v="0"/>
    <s v="Low"/>
  </r>
  <r>
    <n v="37"/>
    <s v="No"/>
    <s v="Travel_Rarely"/>
    <n v="290"/>
    <x v="1"/>
    <n v="21"/>
    <n v="3"/>
    <s v="Life Sciences"/>
    <n v="267"/>
    <n v="2"/>
    <x v="1"/>
    <n v="65"/>
    <n v="4"/>
    <n v="1"/>
    <x v="1"/>
    <x v="3"/>
    <s v="Married"/>
    <n v="3564"/>
    <n v="22977"/>
    <n v="1"/>
    <x v="0"/>
    <n v="12"/>
    <n v="3"/>
    <n v="1"/>
    <n v="1"/>
    <n v="8"/>
    <n v="3"/>
    <n v="2"/>
    <n v="8"/>
    <n v="7"/>
    <n v="1"/>
    <n v="7"/>
    <x v="0"/>
    <n v="0"/>
    <s v="40–49"/>
    <x v="1"/>
    <n v="2"/>
    <s v="Medium"/>
  </r>
  <r>
    <n v="35"/>
    <s v="No"/>
    <s v="Travel_Frequently"/>
    <n v="138"/>
    <x v="1"/>
    <n v="2"/>
    <n v="3"/>
    <s v="Medical"/>
    <n v="269"/>
    <n v="2"/>
    <x v="0"/>
    <n v="37"/>
    <n v="3"/>
    <n v="2"/>
    <x v="2"/>
    <x v="1"/>
    <s v="Single"/>
    <n v="4425"/>
    <n v="15986"/>
    <n v="5"/>
    <x v="1"/>
    <n v="11"/>
    <n v="3"/>
    <n v="4"/>
    <n v="0"/>
    <n v="10"/>
    <n v="5"/>
    <n v="3"/>
    <n v="6"/>
    <n v="2"/>
    <n v="1"/>
    <n v="2"/>
    <x v="0"/>
    <n v="0"/>
    <s v="30–39"/>
    <x v="1"/>
    <n v="1"/>
    <s v="Low"/>
  </r>
  <r>
    <n v="42"/>
    <s v="No"/>
    <s v="Non-Travel"/>
    <n v="926"/>
    <x v="1"/>
    <n v="21"/>
    <n v="2"/>
    <s v="Medical"/>
    <n v="270"/>
    <n v="3"/>
    <x v="0"/>
    <n v="36"/>
    <n v="3"/>
    <n v="2"/>
    <x v="3"/>
    <x v="2"/>
    <s v="Divorced"/>
    <n v="5265"/>
    <n v="16439"/>
    <n v="2"/>
    <x v="1"/>
    <n v="16"/>
    <n v="3"/>
    <n v="2"/>
    <n v="1"/>
    <n v="11"/>
    <n v="5"/>
    <n v="3"/>
    <n v="5"/>
    <n v="3"/>
    <n v="0"/>
    <n v="2"/>
    <x v="3"/>
    <n v="0"/>
    <s v="30–39"/>
    <x v="2"/>
    <n v="0"/>
    <s v="Low"/>
  </r>
  <r>
    <n v="38"/>
    <s v="No"/>
    <s v="Travel_Rarely"/>
    <n v="1261"/>
    <x v="1"/>
    <n v="2"/>
    <n v="4"/>
    <s v="Life Sciences"/>
    <n v="271"/>
    <n v="4"/>
    <x v="1"/>
    <n v="88"/>
    <n v="3"/>
    <n v="2"/>
    <x v="3"/>
    <x v="2"/>
    <s v="Married"/>
    <n v="6553"/>
    <n v="7259"/>
    <n v="9"/>
    <x v="1"/>
    <n v="14"/>
    <n v="3"/>
    <n v="2"/>
    <n v="0"/>
    <n v="14"/>
    <n v="3"/>
    <n v="3"/>
    <n v="1"/>
    <n v="0"/>
    <n v="0"/>
    <n v="0"/>
    <x v="2"/>
    <n v="0"/>
    <s v="40–49"/>
    <x v="2"/>
    <n v="1"/>
    <s v="Low"/>
  </r>
  <r>
    <n v="38"/>
    <s v="No"/>
    <s v="Travel_Rarely"/>
    <n v="1084"/>
    <x v="1"/>
    <n v="29"/>
    <n v="3"/>
    <s v="Technical Degree"/>
    <n v="273"/>
    <n v="4"/>
    <x v="1"/>
    <n v="54"/>
    <n v="3"/>
    <n v="2"/>
    <x v="3"/>
    <x v="0"/>
    <s v="Married"/>
    <n v="6261"/>
    <n v="4185"/>
    <n v="3"/>
    <x v="1"/>
    <n v="18"/>
    <n v="3"/>
    <n v="1"/>
    <n v="1"/>
    <n v="9"/>
    <n v="3"/>
    <n v="1"/>
    <n v="7"/>
    <n v="7"/>
    <n v="1"/>
    <n v="7"/>
    <x v="0"/>
    <n v="0"/>
    <s v="30–39"/>
    <x v="0"/>
    <n v="0"/>
    <s v="Low"/>
  </r>
  <r>
    <n v="27"/>
    <s v="No"/>
    <s v="Travel_Frequently"/>
    <n v="472"/>
    <x v="1"/>
    <n v="1"/>
    <n v="1"/>
    <s v="Technical Degree"/>
    <n v="274"/>
    <n v="3"/>
    <x v="1"/>
    <n v="60"/>
    <n v="2"/>
    <n v="2"/>
    <x v="3"/>
    <x v="3"/>
    <s v="Married"/>
    <n v="4298"/>
    <n v="9679"/>
    <n v="5"/>
    <x v="1"/>
    <n v="19"/>
    <n v="3"/>
    <n v="3"/>
    <n v="1"/>
    <n v="6"/>
    <n v="1"/>
    <n v="3"/>
    <n v="2"/>
    <n v="2"/>
    <n v="2"/>
    <n v="0"/>
    <x v="2"/>
    <n v="0"/>
    <s v="30–39"/>
    <x v="1"/>
    <n v="2"/>
    <s v="Medium"/>
  </r>
  <r>
    <n v="49"/>
    <s v="No"/>
    <s v="Non-Travel"/>
    <n v="1002"/>
    <x v="1"/>
    <n v="18"/>
    <n v="4"/>
    <s v="Life Sciences"/>
    <n v="275"/>
    <n v="4"/>
    <x v="1"/>
    <n v="92"/>
    <n v="3"/>
    <n v="2"/>
    <x v="3"/>
    <x v="0"/>
    <s v="Divorced"/>
    <n v="6804"/>
    <n v="23793"/>
    <n v="1"/>
    <x v="0"/>
    <n v="15"/>
    <n v="3"/>
    <n v="1"/>
    <n v="2"/>
    <n v="7"/>
    <n v="0"/>
    <n v="3"/>
    <n v="7"/>
    <n v="7"/>
    <n v="1"/>
    <n v="7"/>
    <x v="0"/>
    <n v="0"/>
    <s v="&lt;30"/>
    <x v="0"/>
    <n v="1"/>
    <s v="Low"/>
  </r>
  <r>
    <n v="34"/>
    <s v="No"/>
    <s v="Travel_Frequently"/>
    <n v="878"/>
    <x v="1"/>
    <n v="10"/>
    <n v="4"/>
    <s v="Medical"/>
    <n v="277"/>
    <n v="4"/>
    <x v="1"/>
    <n v="43"/>
    <n v="3"/>
    <n v="1"/>
    <x v="1"/>
    <x v="2"/>
    <s v="Divorced"/>
    <n v="3815"/>
    <n v="5972"/>
    <n v="1"/>
    <x v="0"/>
    <n v="17"/>
    <n v="3"/>
    <n v="4"/>
    <n v="1"/>
    <n v="5"/>
    <n v="4"/>
    <n v="4"/>
    <n v="5"/>
    <n v="3"/>
    <n v="2"/>
    <n v="0"/>
    <x v="3"/>
    <n v="0"/>
    <s v="40–49"/>
    <x v="2"/>
    <n v="1"/>
    <s v="Low"/>
  </r>
  <r>
    <n v="40"/>
    <s v="No"/>
    <s v="Travel_Rarely"/>
    <n v="905"/>
    <x v="1"/>
    <n v="19"/>
    <n v="2"/>
    <s v="Medical"/>
    <n v="281"/>
    <n v="3"/>
    <x v="1"/>
    <n v="99"/>
    <n v="3"/>
    <n v="2"/>
    <x v="2"/>
    <x v="0"/>
    <s v="Married"/>
    <n v="2741"/>
    <n v="16523"/>
    <n v="8"/>
    <x v="0"/>
    <n v="15"/>
    <n v="3"/>
    <n v="3"/>
    <n v="1"/>
    <n v="15"/>
    <n v="2"/>
    <n v="4"/>
    <n v="7"/>
    <n v="2"/>
    <n v="3"/>
    <n v="7"/>
    <x v="0"/>
    <n v="0"/>
    <s v="30–39"/>
    <x v="0"/>
    <n v="1"/>
    <s v="Low"/>
  </r>
  <r>
    <n v="38"/>
    <s v="Yes"/>
    <s v="Travel_Rarely"/>
    <n v="1180"/>
    <x v="1"/>
    <n v="29"/>
    <n v="1"/>
    <s v="Medical"/>
    <n v="282"/>
    <n v="2"/>
    <x v="1"/>
    <n v="70"/>
    <n v="3"/>
    <n v="2"/>
    <x v="4"/>
    <x v="3"/>
    <s v="Married"/>
    <n v="6673"/>
    <n v="11354"/>
    <n v="7"/>
    <x v="0"/>
    <n v="19"/>
    <n v="3"/>
    <n v="2"/>
    <n v="0"/>
    <n v="17"/>
    <n v="2"/>
    <n v="3"/>
    <n v="1"/>
    <n v="0"/>
    <n v="0"/>
    <n v="0"/>
    <x v="2"/>
    <n v="1"/>
    <s v="40–49"/>
    <x v="1"/>
    <n v="3"/>
    <s v="High"/>
  </r>
  <r>
    <n v="29"/>
    <s v="Yes"/>
    <s v="Travel_Rarely"/>
    <n v="121"/>
    <x v="0"/>
    <n v="27"/>
    <n v="3"/>
    <s v="Marketing"/>
    <n v="283"/>
    <n v="2"/>
    <x v="0"/>
    <n v="35"/>
    <n v="3"/>
    <n v="3"/>
    <x v="0"/>
    <x v="0"/>
    <s v="Married"/>
    <n v="7639"/>
    <n v="24525"/>
    <n v="1"/>
    <x v="1"/>
    <n v="22"/>
    <n v="4"/>
    <n v="4"/>
    <n v="3"/>
    <n v="10"/>
    <n v="3"/>
    <n v="2"/>
    <n v="10"/>
    <n v="4"/>
    <n v="1"/>
    <n v="9"/>
    <x v="0"/>
    <n v="1"/>
    <s v="30–39"/>
    <x v="0"/>
    <n v="0"/>
    <s v="Low"/>
  </r>
  <r>
    <n v="22"/>
    <s v="No"/>
    <s v="Travel_Rarely"/>
    <n v="1136"/>
    <x v="1"/>
    <n v="5"/>
    <n v="3"/>
    <s v="Life Sciences"/>
    <n v="284"/>
    <n v="4"/>
    <x v="1"/>
    <n v="60"/>
    <n v="4"/>
    <n v="1"/>
    <x v="1"/>
    <x v="1"/>
    <s v="Divorced"/>
    <n v="2328"/>
    <n v="12392"/>
    <n v="1"/>
    <x v="0"/>
    <n v="16"/>
    <n v="3"/>
    <n v="1"/>
    <n v="1"/>
    <n v="4"/>
    <n v="2"/>
    <n v="2"/>
    <n v="4"/>
    <n v="2"/>
    <n v="2"/>
    <n v="2"/>
    <x v="3"/>
    <n v="0"/>
    <s v="&lt;30"/>
    <x v="1"/>
    <n v="2"/>
    <s v="Medium"/>
  </r>
  <r>
    <n v="36"/>
    <s v="No"/>
    <s v="Travel_Frequently"/>
    <n v="635"/>
    <x v="1"/>
    <n v="18"/>
    <n v="1"/>
    <s v="Medical"/>
    <n v="286"/>
    <n v="2"/>
    <x v="0"/>
    <n v="73"/>
    <n v="3"/>
    <n v="1"/>
    <x v="2"/>
    <x v="0"/>
    <s v="Single"/>
    <n v="2153"/>
    <n v="7703"/>
    <n v="1"/>
    <x v="1"/>
    <n v="13"/>
    <n v="3"/>
    <n v="1"/>
    <n v="0"/>
    <n v="8"/>
    <n v="2"/>
    <n v="3"/>
    <n v="8"/>
    <n v="1"/>
    <n v="1"/>
    <n v="7"/>
    <x v="0"/>
    <n v="0"/>
    <s v="&lt;30"/>
    <x v="0"/>
    <n v="0"/>
    <s v="Low"/>
  </r>
  <r>
    <n v="40"/>
    <s v="No"/>
    <s v="Non-Travel"/>
    <n v="1151"/>
    <x v="1"/>
    <n v="9"/>
    <n v="5"/>
    <s v="Life Sciences"/>
    <n v="287"/>
    <n v="4"/>
    <x v="1"/>
    <n v="63"/>
    <n v="2"/>
    <n v="2"/>
    <x v="4"/>
    <x v="0"/>
    <s v="Married"/>
    <n v="4876"/>
    <n v="14242"/>
    <n v="9"/>
    <x v="1"/>
    <n v="14"/>
    <n v="3"/>
    <n v="4"/>
    <n v="1"/>
    <n v="5"/>
    <n v="5"/>
    <n v="1"/>
    <n v="3"/>
    <n v="2"/>
    <n v="0"/>
    <n v="2"/>
    <x v="2"/>
    <n v="0"/>
    <s v="30–39"/>
    <x v="0"/>
    <n v="1"/>
    <s v="Low"/>
  </r>
  <r>
    <n v="46"/>
    <s v="No"/>
    <s v="Travel_Rarely"/>
    <n v="644"/>
    <x v="1"/>
    <n v="1"/>
    <n v="4"/>
    <s v="Medical"/>
    <n v="288"/>
    <n v="4"/>
    <x v="1"/>
    <n v="97"/>
    <n v="3"/>
    <n v="3"/>
    <x v="4"/>
    <x v="3"/>
    <s v="Divorced"/>
    <n v="9396"/>
    <n v="12368"/>
    <n v="7"/>
    <x v="1"/>
    <n v="16"/>
    <n v="3"/>
    <n v="3"/>
    <n v="1"/>
    <n v="17"/>
    <n v="3"/>
    <n v="3"/>
    <n v="4"/>
    <n v="2"/>
    <n v="0"/>
    <n v="3"/>
    <x v="3"/>
    <n v="0"/>
    <s v="40–49"/>
    <x v="1"/>
    <n v="1"/>
    <s v="Low"/>
  </r>
  <r>
    <n v="32"/>
    <s v="Yes"/>
    <s v="Travel_Rarely"/>
    <n v="1045"/>
    <x v="0"/>
    <n v="4"/>
    <n v="4"/>
    <s v="Medical"/>
    <n v="291"/>
    <n v="4"/>
    <x v="1"/>
    <n v="32"/>
    <n v="1"/>
    <n v="3"/>
    <x v="0"/>
    <x v="0"/>
    <s v="Married"/>
    <n v="10400"/>
    <n v="25812"/>
    <n v="1"/>
    <x v="1"/>
    <n v="11"/>
    <n v="3"/>
    <n v="3"/>
    <n v="0"/>
    <n v="14"/>
    <n v="2"/>
    <n v="2"/>
    <n v="14"/>
    <n v="8"/>
    <n v="9"/>
    <n v="8"/>
    <x v="0"/>
    <n v="1"/>
    <s v="40–49"/>
    <x v="0"/>
    <n v="0"/>
    <s v="Low"/>
  </r>
  <r>
    <n v="30"/>
    <s v="No"/>
    <s v="Non-Travel"/>
    <n v="829"/>
    <x v="1"/>
    <n v="1"/>
    <n v="1"/>
    <s v="Life Sciences"/>
    <n v="292"/>
    <n v="3"/>
    <x v="1"/>
    <n v="88"/>
    <n v="2"/>
    <n v="3"/>
    <x v="3"/>
    <x v="2"/>
    <s v="Single"/>
    <n v="8474"/>
    <n v="20925"/>
    <n v="1"/>
    <x v="1"/>
    <n v="22"/>
    <n v="4"/>
    <n v="3"/>
    <n v="0"/>
    <n v="12"/>
    <n v="2"/>
    <n v="3"/>
    <n v="11"/>
    <n v="8"/>
    <n v="5"/>
    <n v="8"/>
    <x v="0"/>
    <n v="0"/>
    <s v="30–39"/>
    <x v="2"/>
    <n v="0"/>
    <s v="Low"/>
  </r>
  <r>
    <n v="27"/>
    <s v="No"/>
    <s v="Travel_Frequently"/>
    <n v="1242"/>
    <x v="0"/>
    <n v="20"/>
    <n v="3"/>
    <s v="Life Sciences"/>
    <n v="293"/>
    <n v="4"/>
    <x v="0"/>
    <n v="90"/>
    <n v="3"/>
    <n v="2"/>
    <x v="0"/>
    <x v="2"/>
    <s v="Single"/>
    <n v="9981"/>
    <n v="12916"/>
    <n v="1"/>
    <x v="1"/>
    <n v="14"/>
    <n v="3"/>
    <n v="4"/>
    <n v="0"/>
    <n v="7"/>
    <n v="2"/>
    <n v="3"/>
    <n v="7"/>
    <n v="7"/>
    <n v="0"/>
    <n v="7"/>
    <x v="0"/>
    <n v="0"/>
    <s v="30–39"/>
    <x v="2"/>
    <n v="0"/>
    <s v="Low"/>
  </r>
  <r>
    <n v="51"/>
    <s v="No"/>
    <s v="Travel_Rarely"/>
    <n v="1469"/>
    <x v="1"/>
    <n v="8"/>
    <n v="4"/>
    <s v="Life Sciences"/>
    <n v="296"/>
    <n v="2"/>
    <x v="1"/>
    <n v="81"/>
    <n v="2"/>
    <n v="3"/>
    <x v="7"/>
    <x v="1"/>
    <s v="Married"/>
    <n v="12490"/>
    <n v="15736"/>
    <n v="5"/>
    <x v="1"/>
    <n v="16"/>
    <n v="3"/>
    <n v="4"/>
    <n v="2"/>
    <n v="16"/>
    <n v="5"/>
    <n v="1"/>
    <n v="10"/>
    <n v="9"/>
    <n v="4"/>
    <n v="7"/>
    <x v="0"/>
    <n v="0"/>
    <s v="&lt;30"/>
    <x v="1"/>
    <n v="1"/>
    <s v="Low"/>
  </r>
  <r>
    <n v="30"/>
    <s v="Yes"/>
    <s v="Travel_Rarely"/>
    <n v="1005"/>
    <x v="1"/>
    <n v="3"/>
    <n v="3"/>
    <s v="Technical Degree"/>
    <n v="297"/>
    <n v="4"/>
    <x v="0"/>
    <n v="88"/>
    <n v="3"/>
    <n v="1"/>
    <x v="1"/>
    <x v="3"/>
    <s v="Single"/>
    <n v="2657"/>
    <n v="8556"/>
    <n v="5"/>
    <x v="0"/>
    <n v="11"/>
    <n v="3"/>
    <n v="3"/>
    <n v="0"/>
    <n v="8"/>
    <n v="5"/>
    <n v="3"/>
    <n v="5"/>
    <n v="2"/>
    <n v="0"/>
    <n v="4"/>
    <x v="3"/>
    <n v="1"/>
    <s v="50+"/>
    <x v="1"/>
    <n v="2"/>
    <s v="Medium"/>
  </r>
  <r>
    <n v="41"/>
    <s v="No"/>
    <s v="Travel_Rarely"/>
    <n v="896"/>
    <x v="0"/>
    <n v="6"/>
    <n v="3"/>
    <s v="Life Sciences"/>
    <n v="298"/>
    <n v="4"/>
    <x v="0"/>
    <n v="75"/>
    <n v="3"/>
    <n v="3"/>
    <x v="5"/>
    <x v="0"/>
    <s v="Single"/>
    <n v="13591"/>
    <n v="14674"/>
    <n v="3"/>
    <x v="0"/>
    <n v="18"/>
    <n v="3"/>
    <n v="3"/>
    <n v="0"/>
    <n v="16"/>
    <n v="3"/>
    <n v="3"/>
    <n v="1"/>
    <n v="0"/>
    <n v="0"/>
    <n v="0"/>
    <x v="2"/>
    <n v="0"/>
    <s v="30–39"/>
    <x v="0"/>
    <n v="2"/>
    <s v="Medium"/>
  </r>
  <r>
    <n v="30"/>
    <s v="Yes"/>
    <s v="Travel_Frequently"/>
    <n v="334"/>
    <x v="0"/>
    <n v="26"/>
    <n v="4"/>
    <s v="Marketing"/>
    <n v="299"/>
    <n v="3"/>
    <x v="0"/>
    <n v="52"/>
    <n v="2"/>
    <n v="2"/>
    <x v="0"/>
    <x v="3"/>
    <s v="Single"/>
    <n v="6696"/>
    <n v="22967"/>
    <n v="5"/>
    <x v="1"/>
    <n v="15"/>
    <n v="3"/>
    <n v="3"/>
    <n v="0"/>
    <n v="9"/>
    <n v="5"/>
    <n v="2"/>
    <n v="6"/>
    <n v="3"/>
    <n v="0"/>
    <n v="1"/>
    <x v="0"/>
    <n v="1"/>
    <s v="40–49"/>
    <x v="1"/>
    <n v="1"/>
    <s v="Low"/>
  </r>
  <r>
    <n v="29"/>
    <s v="Yes"/>
    <s v="Travel_Rarely"/>
    <n v="992"/>
    <x v="1"/>
    <n v="1"/>
    <n v="3"/>
    <s v="Technical Degree"/>
    <n v="300"/>
    <n v="3"/>
    <x v="1"/>
    <n v="85"/>
    <n v="3"/>
    <n v="1"/>
    <x v="1"/>
    <x v="2"/>
    <s v="Single"/>
    <n v="2058"/>
    <n v="19757"/>
    <n v="0"/>
    <x v="1"/>
    <n v="14"/>
    <n v="3"/>
    <n v="4"/>
    <n v="0"/>
    <n v="7"/>
    <n v="1"/>
    <n v="2"/>
    <n v="6"/>
    <n v="2"/>
    <n v="1"/>
    <n v="5"/>
    <x v="0"/>
    <n v="1"/>
    <s v="30–39"/>
    <x v="2"/>
    <n v="0"/>
    <s v="Low"/>
  </r>
  <r>
    <n v="45"/>
    <s v="No"/>
    <s v="Non-Travel"/>
    <n v="1052"/>
    <x v="0"/>
    <n v="6"/>
    <n v="3"/>
    <s v="Medical"/>
    <n v="302"/>
    <n v="4"/>
    <x v="0"/>
    <n v="57"/>
    <n v="2"/>
    <n v="3"/>
    <x v="0"/>
    <x v="0"/>
    <s v="Single"/>
    <n v="8865"/>
    <n v="16840"/>
    <n v="6"/>
    <x v="1"/>
    <n v="12"/>
    <n v="3"/>
    <n v="4"/>
    <n v="0"/>
    <n v="23"/>
    <n v="2"/>
    <n v="3"/>
    <n v="19"/>
    <n v="7"/>
    <n v="12"/>
    <n v="8"/>
    <x v="0"/>
    <n v="0"/>
    <s v="&lt;30"/>
    <x v="0"/>
    <n v="0"/>
    <s v="Low"/>
  </r>
  <r>
    <n v="54"/>
    <s v="No"/>
    <s v="Travel_Rarely"/>
    <n v="1147"/>
    <x v="0"/>
    <n v="3"/>
    <n v="3"/>
    <s v="Marketing"/>
    <n v="303"/>
    <n v="4"/>
    <x v="0"/>
    <n v="52"/>
    <n v="3"/>
    <n v="2"/>
    <x v="0"/>
    <x v="3"/>
    <s v="Married"/>
    <n v="5940"/>
    <n v="17011"/>
    <n v="2"/>
    <x v="1"/>
    <n v="14"/>
    <n v="3"/>
    <n v="4"/>
    <n v="1"/>
    <n v="16"/>
    <n v="4"/>
    <n v="3"/>
    <n v="6"/>
    <n v="2"/>
    <n v="0"/>
    <n v="5"/>
    <x v="0"/>
    <n v="0"/>
    <s v="40–49"/>
    <x v="1"/>
    <n v="1"/>
    <s v="Low"/>
  </r>
  <r>
    <n v="36"/>
    <s v="No"/>
    <s v="Travel_Rarely"/>
    <n v="1396"/>
    <x v="1"/>
    <n v="5"/>
    <n v="2"/>
    <s v="Life Sciences"/>
    <n v="304"/>
    <n v="4"/>
    <x v="1"/>
    <n v="62"/>
    <n v="3"/>
    <n v="2"/>
    <x v="2"/>
    <x v="1"/>
    <s v="Single"/>
    <n v="5914"/>
    <n v="9945"/>
    <n v="8"/>
    <x v="1"/>
    <n v="16"/>
    <n v="3"/>
    <n v="4"/>
    <n v="0"/>
    <n v="16"/>
    <n v="3"/>
    <n v="4"/>
    <n v="13"/>
    <n v="11"/>
    <n v="3"/>
    <n v="7"/>
    <x v="0"/>
    <n v="0"/>
    <s v="50+"/>
    <x v="1"/>
    <n v="1"/>
    <s v="Low"/>
  </r>
  <r>
    <n v="33"/>
    <s v="No"/>
    <s v="Travel_Rarely"/>
    <n v="147"/>
    <x v="1"/>
    <n v="4"/>
    <n v="4"/>
    <s v="Medical"/>
    <n v="305"/>
    <n v="3"/>
    <x v="0"/>
    <n v="47"/>
    <n v="2"/>
    <n v="1"/>
    <x v="1"/>
    <x v="1"/>
    <s v="Married"/>
    <n v="2622"/>
    <n v="13248"/>
    <n v="6"/>
    <x v="1"/>
    <n v="21"/>
    <n v="4"/>
    <n v="4"/>
    <n v="0"/>
    <n v="7"/>
    <n v="3"/>
    <n v="3"/>
    <n v="3"/>
    <n v="2"/>
    <n v="1"/>
    <n v="1"/>
    <x v="2"/>
    <n v="0"/>
    <s v="30–39"/>
    <x v="1"/>
    <n v="2"/>
    <s v="Medium"/>
  </r>
  <r>
    <n v="37"/>
    <s v="No"/>
    <s v="Travel_Frequently"/>
    <n v="663"/>
    <x v="1"/>
    <n v="11"/>
    <n v="3"/>
    <s v="Other"/>
    <n v="306"/>
    <n v="2"/>
    <x v="1"/>
    <n v="47"/>
    <n v="3"/>
    <n v="3"/>
    <x v="7"/>
    <x v="0"/>
    <s v="Divorced"/>
    <n v="12185"/>
    <n v="10056"/>
    <n v="1"/>
    <x v="0"/>
    <n v="14"/>
    <n v="3"/>
    <n v="3"/>
    <n v="3"/>
    <n v="10"/>
    <n v="1"/>
    <n v="3"/>
    <n v="10"/>
    <n v="8"/>
    <n v="0"/>
    <n v="7"/>
    <x v="0"/>
    <n v="0"/>
    <s v="30–39"/>
    <x v="0"/>
    <n v="1"/>
    <s v="Low"/>
  </r>
  <r>
    <n v="38"/>
    <s v="No"/>
    <s v="Travel_Rarely"/>
    <n v="119"/>
    <x v="0"/>
    <n v="3"/>
    <n v="3"/>
    <s v="Life Sciences"/>
    <n v="307"/>
    <n v="1"/>
    <x v="1"/>
    <n v="76"/>
    <n v="3"/>
    <n v="3"/>
    <x v="0"/>
    <x v="2"/>
    <s v="Divorced"/>
    <n v="10609"/>
    <n v="9647"/>
    <n v="0"/>
    <x v="1"/>
    <n v="12"/>
    <n v="3"/>
    <n v="3"/>
    <n v="2"/>
    <n v="17"/>
    <n v="6"/>
    <n v="2"/>
    <n v="16"/>
    <n v="10"/>
    <n v="5"/>
    <n v="13"/>
    <x v="0"/>
    <n v="0"/>
    <s v="30–39"/>
    <x v="2"/>
    <n v="0"/>
    <s v="Low"/>
  </r>
  <r>
    <n v="31"/>
    <s v="No"/>
    <s v="Non-Travel"/>
    <n v="979"/>
    <x v="1"/>
    <n v="1"/>
    <n v="4"/>
    <s v="Medical"/>
    <n v="308"/>
    <n v="3"/>
    <x v="1"/>
    <n v="90"/>
    <n v="1"/>
    <n v="2"/>
    <x v="3"/>
    <x v="2"/>
    <s v="Married"/>
    <n v="4345"/>
    <n v="4381"/>
    <n v="0"/>
    <x v="1"/>
    <n v="12"/>
    <n v="3"/>
    <n v="4"/>
    <n v="1"/>
    <n v="6"/>
    <n v="2"/>
    <n v="3"/>
    <n v="5"/>
    <n v="4"/>
    <n v="1"/>
    <n v="4"/>
    <x v="3"/>
    <n v="0"/>
    <s v="30–39"/>
    <x v="2"/>
    <n v="0"/>
    <s v="Low"/>
  </r>
  <r>
    <n v="59"/>
    <s v="No"/>
    <s v="Travel_Rarely"/>
    <n v="142"/>
    <x v="1"/>
    <n v="3"/>
    <n v="3"/>
    <s v="Life Sciences"/>
    <n v="309"/>
    <n v="3"/>
    <x v="1"/>
    <n v="70"/>
    <n v="2"/>
    <n v="1"/>
    <x v="1"/>
    <x v="0"/>
    <s v="Married"/>
    <n v="2177"/>
    <n v="8456"/>
    <n v="3"/>
    <x v="1"/>
    <n v="17"/>
    <n v="3"/>
    <n v="1"/>
    <n v="1"/>
    <n v="7"/>
    <n v="6"/>
    <n v="3"/>
    <n v="1"/>
    <n v="0"/>
    <n v="0"/>
    <n v="0"/>
    <x v="2"/>
    <n v="0"/>
    <s v="30–39"/>
    <x v="0"/>
    <n v="1"/>
    <s v="Low"/>
  </r>
  <r>
    <n v="37"/>
    <s v="No"/>
    <s v="Travel_Frequently"/>
    <n v="319"/>
    <x v="0"/>
    <n v="4"/>
    <n v="4"/>
    <s v="Marketing"/>
    <n v="311"/>
    <n v="1"/>
    <x v="1"/>
    <n v="41"/>
    <n v="3"/>
    <n v="1"/>
    <x v="6"/>
    <x v="0"/>
    <s v="Divorced"/>
    <n v="2793"/>
    <n v="2539"/>
    <n v="4"/>
    <x v="1"/>
    <n v="17"/>
    <n v="3"/>
    <n v="3"/>
    <n v="1"/>
    <n v="13"/>
    <n v="2"/>
    <n v="3"/>
    <n v="9"/>
    <n v="8"/>
    <n v="5"/>
    <n v="8"/>
    <x v="0"/>
    <n v="0"/>
    <s v="50+"/>
    <x v="0"/>
    <n v="0"/>
    <s v="Low"/>
  </r>
  <r>
    <n v="29"/>
    <s v="No"/>
    <s v="Travel_Frequently"/>
    <n v="1413"/>
    <x v="0"/>
    <n v="1"/>
    <n v="1"/>
    <s v="Medical"/>
    <n v="312"/>
    <n v="2"/>
    <x v="0"/>
    <n v="42"/>
    <n v="3"/>
    <n v="3"/>
    <x v="0"/>
    <x v="0"/>
    <s v="Married"/>
    <n v="7918"/>
    <n v="6599"/>
    <n v="1"/>
    <x v="1"/>
    <n v="14"/>
    <n v="3"/>
    <n v="4"/>
    <n v="1"/>
    <n v="11"/>
    <n v="5"/>
    <n v="3"/>
    <n v="11"/>
    <n v="10"/>
    <n v="4"/>
    <n v="1"/>
    <x v="0"/>
    <n v="0"/>
    <s v="30–39"/>
    <x v="0"/>
    <n v="0"/>
    <s v="Low"/>
  </r>
  <r>
    <n v="35"/>
    <s v="No"/>
    <s v="Travel_Frequently"/>
    <n v="944"/>
    <x v="0"/>
    <n v="1"/>
    <n v="3"/>
    <s v="Marketing"/>
    <n v="314"/>
    <n v="3"/>
    <x v="0"/>
    <n v="92"/>
    <n v="3"/>
    <n v="3"/>
    <x v="0"/>
    <x v="2"/>
    <s v="Single"/>
    <n v="8789"/>
    <n v="9096"/>
    <n v="1"/>
    <x v="1"/>
    <n v="14"/>
    <n v="3"/>
    <n v="1"/>
    <n v="0"/>
    <n v="10"/>
    <n v="3"/>
    <n v="4"/>
    <n v="10"/>
    <n v="7"/>
    <n v="0"/>
    <n v="8"/>
    <x v="0"/>
    <n v="0"/>
    <s v="&lt;30"/>
    <x v="2"/>
    <n v="0"/>
    <s v="Low"/>
  </r>
  <r>
    <n v="29"/>
    <s v="Yes"/>
    <s v="Travel_Rarely"/>
    <n v="896"/>
    <x v="1"/>
    <n v="18"/>
    <n v="1"/>
    <s v="Medical"/>
    <n v="315"/>
    <n v="3"/>
    <x v="1"/>
    <n v="86"/>
    <n v="2"/>
    <n v="1"/>
    <x v="1"/>
    <x v="0"/>
    <s v="Single"/>
    <n v="2389"/>
    <n v="14961"/>
    <n v="1"/>
    <x v="0"/>
    <n v="13"/>
    <n v="3"/>
    <n v="3"/>
    <n v="0"/>
    <n v="4"/>
    <n v="3"/>
    <n v="2"/>
    <n v="4"/>
    <n v="3"/>
    <n v="0"/>
    <n v="1"/>
    <x v="3"/>
    <n v="1"/>
    <s v="30–39"/>
    <x v="0"/>
    <n v="1"/>
    <s v="Low"/>
  </r>
  <r>
    <n v="52"/>
    <s v="No"/>
    <s v="Travel_Rarely"/>
    <n v="1323"/>
    <x v="1"/>
    <n v="2"/>
    <n v="3"/>
    <s v="Life Sciences"/>
    <n v="316"/>
    <n v="3"/>
    <x v="0"/>
    <n v="89"/>
    <n v="2"/>
    <n v="1"/>
    <x v="2"/>
    <x v="0"/>
    <s v="Single"/>
    <n v="3212"/>
    <n v="3300"/>
    <n v="7"/>
    <x v="1"/>
    <n v="15"/>
    <n v="3"/>
    <n v="2"/>
    <n v="0"/>
    <n v="6"/>
    <n v="3"/>
    <n v="2"/>
    <n v="2"/>
    <n v="2"/>
    <n v="2"/>
    <n v="2"/>
    <x v="2"/>
    <n v="0"/>
    <s v="&lt;30"/>
    <x v="0"/>
    <n v="1"/>
    <s v="Low"/>
  </r>
  <r>
    <n v="42"/>
    <s v="No"/>
    <s v="Travel_Rarely"/>
    <n v="532"/>
    <x v="1"/>
    <n v="4"/>
    <n v="2"/>
    <s v="Technical Degree"/>
    <n v="319"/>
    <n v="3"/>
    <x v="1"/>
    <n v="58"/>
    <n v="3"/>
    <n v="5"/>
    <x v="5"/>
    <x v="0"/>
    <s v="Married"/>
    <n v="19232"/>
    <n v="4933"/>
    <n v="1"/>
    <x v="1"/>
    <n v="11"/>
    <n v="3"/>
    <n v="4"/>
    <n v="0"/>
    <n v="22"/>
    <n v="3"/>
    <n v="3"/>
    <n v="22"/>
    <n v="17"/>
    <n v="11"/>
    <n v="15"/>
    <x v="0"/>
    <n v="0"/>
    <s v="50+"/>
    <x v="0"/>
    <n v="0"/>
    <s v="Low"/>
  </r>
  <r>
    <n v="59"/>
    <s v="No"/>
    <s v="Travel_Rarely"/>
    <n v="818"/>
    <x v="2"/>
    <n v="6"/>
    <n v="2"/>
    <s v="Medical"/>
    <n v="321"/>
    <n v="2"/>
    <x v="1"/>
    <n v="52"/>
    <n v="3"/>
    <n v="1"/>
    <x v="8"/>
    <x v="2"/>
    <s v="Married"/>
    <n v="2267"/>
    <n v="25657"/>
    <n v="8"/>
    <x v="1"/>
    <n v="17"/>
    <n v="3"/>
    <n v="4"/>
    <n v="0"/>
    <n v="7"/>
    <n v="2"/>
    <n v="2"/>
    <n v="2"/>
    <n v="2"/>
    <n v="2"/>
    <n v="2"/>
    <x v="2"/>
    <n v="0"/>
    <s v="40–49"/>
    <x v="2"/>
    <n v="1"/>
    <s v="Low"/>
  </r>
  <r>
    <n v="50"/>
    <s v="No"/>
    <s v="Travel_Rarely"/>
    <n v="854"/>
    <x v="0"/>
    <n v="1"/>
    <n v="4"/>
    <s v="Medical"/>
    <n v="323"/>
    <n v="4"/>
    <x v="0"/>
    <n v="68"/>
    <n v="3"/>
    <n v="5"/>
    <x v="5"/>
    <x v="0"/>
    <s v="Divorced"/>
    <n v="19517"/>
    <n v="24118"/>
    <n v="3"/>
    <x v="1"/>
    <n v="11"/>
    <n v="3"/>
    <n v="3"/>
    <n v="1"/>
    <n v="32"/>
    <n v="3"/>
    <n v="2"/>
    <n v="7"/>
    <n v="0"/>
    <n v="0"/>
    <n v="6"/>
    <x v="0"/>
    <n v="0"/>
    <s v="50+"/>
    <x v="0"/>
    <n v="0"/>
    <s v="Low"/>
  </r>
  <r>
    <n v="33"/>
    <s v="Yes"/>
    <s v="Travel_Rarely"/>
    <n v="813"/>
    <x v="1"/>
    <n v="14"/>
    <n v="3"/>
    <s v="Medical"/>
    <n v="325"/>
    <n v="3"/>
    <x v="1"/>
    <n v="58"/>
    <n v="3"/>
    <n v="1"/>
    <x v="2"/>
    <x v="0"/>
    <s v="Married"/>
    <n v="2436"/>
    <n v="22149"/>
    <n v="5"/>
    <x v="0"/>
    <n v="13"/>
    <n v="3"/>
    <n v="3"/>
    <n v="1"/>
    <n v="8"/>
    <n v="2"/>
    <n v="1"/>
    <n v="5"/>
    <n v="4"/>
    <n v="0"/>
    <n v="4"/>
    <x v="3"/>
    <n v="1"/>
    <s v="50+"/>
    <x v="0"/>
    <n v="1"/>
    <s v="Low"/>
  </r>
  <r>
    <n v="43"/>
    <s v="No"/>
    <s v="Travel_Rarely"/>
    <n v="1034"/>
    <x v="0"/>
    <n v="16"/>
    <n v="3"/>
    <s v="Marketing"/>
    <n v="327"/>
    <n v="4"/>
    <x v="0"/>
    <n v="80"/>
    <n v="3"/>
    <n v="4"/>
    <x v="5"/>
    <x v="0"/>
    <s v="Married"/>
    <n v="16064"/>
    <n v="7744"/>
    <n v="5"/>
    <x v="0"/>
    <n v="22"/>
    <n v="4"/>
    <n v="3"/>
    <n v="1"/>
    <n v="22"/>
    <n v="3"/>
    <n v="3"/>
    <n v="17"/>
    <n v="13"/>
    <n v="1"/>
    <n v="9"/>
    <x v="0"/>
    <n v="0"/>
    <s v="30–39"/>
    <x v="0"/>
    <n v="1"/>
    <s v="Low"/>
  </r>
  <r>
    <n v="33"/>
    <s v="Yes"/>
    <s v="Travel_Rarely"/>
    <n v="465"/>
    <x v="1"/>
    <n v="2"/>
    <n v="2"/>
    <s v="Life Sciences"/>
    <n v="328"/>
    <n v="1"/>
    <x v="0"/>
    <n v="39"/>
    <n v="3"/>
    <n v="1"/>
    <x v="2"/>
    <x v="3"/>
    <s v="Married"/>
    <n v="2707"/>
    <n v="21509"/>
    <n v="7"/>
    <x v="1"/>
    <n v="20"/>
    <n v="4"/>
    <n v="1"/>
    <n v="0"/>
    <n v="13"/>
    <n v="3"/>
    <n v="4"/>
    <n v="9"/>
    <n v="7"/>
    <n v="1"/>
    <n v="7"/>
    <x v="0"/>
    <n v="1"/>
    <s v="40–49"/>
    <x v="1"/>
    <n v="1"/>
    <s v="Low"/>
  </r>
  <r>
    <n v="52"/>
    <s v="No"/>
    <s v="Non-Travel"/>
    <n v="771"/>
    <x v="0"/>
    <n v="2"/>
    <n v="4"/>
    <s v="Life Sciences"/>
    <n v="329"/>
    <n v="1"/>
    <x v="1"/>
    <n v="79"/>
    <n v="2"/>
    <n v="5"/>
    <x v="5"/>
    <x v="2"/>
    <s v="Single"/>
    <n v="19068"/>
    <n v="21030"/>
    <n v="1"/>
    <x v="0"/>
    <n v="18"/>
    <n v="3"/>
    <n v="4"/>
    <n v="0"/>
    <n v="33"/>
    <n v="2"/>
    <n v="4"/>
    <n v="33"/>
    <n v="7"/>
    <n v="15"/>
    <n v="12"/>
    <x v="0"/>
    <n v="0"/>
    <s v="30–39"/>
    <x v="2"/>
    <n v="1"/>
    <s v="Low"/>
  </r>
  <r>
    <n v="32"/>
    <s v="No"/>
    <s v="Travel_Rarely"/>
    <n v="1401"/>
    <x v="0"/>
    <n v="4"/>
    <n v="2"/>
    <s v="Life Sciences"/>
    <n v="330"/>
    <n v="3"/>
    <x v="0"/>
    <n v="56"/>
    <n v="3"/>
    <n v="1"/>
    <x v="6"/>
    <x v="1"/>
    <s v="Married"/>
    <n v="3931"/>
    <n v="20990"/>
    <n v="2"/>
    <x v="1"/>
    <n v="11"/>
    <n v="3"/>
    <n v="1"/>
    <n v="1"/>
    <n v="6"/>
    <n v="5"/>
    <n v="3"/>
    <n v="4"/>
    <n v="3"/>
    <n v="1"/>
    <n v="2"/>
    <x v="3"/>
    <n v="0"/>
    <s v="50+"/>
    <x v="1"/>
    <n v="1"/>
    <s v="Low"/>
  </r>
  <r>
    <n v="32"/>
    <s v="Yes"/>
    <s v="Travel_Rarely"/>
    <n v="515"/>
    <x v="1"/>
    <n v="1"/>
    <n v="3"/>
    <s v="Life Sciences"/>
    <n v="331"/>
    <n v="4"/>
    <x v="1"/>
    <n v="62"/>
    <n v="2"/>
    <n v="1"/>
    <x v="2"/>
    <x v="2"/>
    <s v="Single"/>
    <n v="3730"/>
    <n v="9571"/>
    <n v="0"/>
    <x v="0"/>
    <n v="14"/>
    <n v="3"/>
    <n v="4"/>
    <n v="0"/>
    <n v="4"/>
    <n v="2"/>
    <n v="1"/>
    <n v="3"/>
    <n v="2"/>
    <n v="1"/>
    <n v="2"/>
    <x v="2"/>
    <n v="1"/>
    <s v="30–39"/>
    <x v="2"/>
    <n v="2"/>
    <s v="Medium"/>
  </r>
  <r>
    <n v="39"/>
    <s v="No"/>
    <s v="Travel_Rarely"/>
    <n v="1431"/>
    <x v="1"/>
    <n v="1"/>
    <n v="4"/>
    <s v="Medical"/>
    <n v="332"/>
    <n v="3"/>
    <x v="0"/>
    <n v="96"/>
    <n v="3"/>
    <n v="1"/>
    <x v="2"/>
    <x v="2"/>
    <s v="Divorced"/>
    <n v="2232"/>
    <n v="15417"/>
    <n v="7"/>
    <x v="1"/>
    <n v="14"/>
    <n v="3"/>
    <n v="3"/>
    <n v="3"/>
    <n v="7"/>
    <n v="1"/>
    <n v="3"/>
    <n v="3"/>
    <n v="2"/>
    <n v="1"/>
    <n v="2"/>
    <x v="2"/>
    <n v="0"/>
    <s v="30–39"/>
    <x v="2"/>
    <n v="1"/>
    <s v="Low"/>
  </r>
  <r>
    <n v="32"/>
    <s v="No"/>
    <s v="Non-Travel"/>
    <n v="976"/>
    <x v="0"/>
    <n v="26"/>
    <n v="4"/>
    <s v="Marketing"/>
    <n v="333"/>
    <n v="3"/>
    <x v="1"/>
    <n v="100"/>
    <n v="3"/>
    <n v="2"/>
    <x v="0"/>
    <x v="0"/>
    <s v="Married"/>
    <n v="4465"/>
    <n v="12069"/>
    <n v="0"/>
    <x v="1"/>
    <n v="18"/>
    <n v="3"/>
    <n v="1"/>
    <n v="0"/>
    <n v="4"/>
    <n v="2"/>
    <n v="3"/>
    <n v="3"/>
    <n v="2"/>
    <n v="2"/>
    <n v="2"/>
    <x v="2"/>
    <n v="0"/>
    <s v="30–39"/>
    <x v="0"/>
    <n v="1"/>
    <s v="Low"/>
  </r>
  <r>
    <n v="41"/>
    <s v="No"/>
    <s v="Travel_Rarely"/>
    <n v="1411"/>
    <x v="1"/>
    <n v="19"/>
    <n v="2"/>
    <s v="Life Sciences"/>
    <n v="334"/>
    <n v="3"/>
    <x v="1"/>
    <n v="36"/>
    <n v="3"/>
    <n v="2"/>
    <x v="1"/>
    <x v="3"/>
    <s v="Divorced"/>
    <n v="3072"/>
    <n v="19877"/>
    <n v="2"/>
    <x v="1"/>
    <n v="16"/>
    <n v="3"/>
    <n v="1"/>
    <n v="2"/>
    <n v="17"/>
    <n v="2"/>
    <n v="2"/>
    <n v="1"/>
    <n v="0"/>
    <n v="0"/>
    <n v="0"/>
    <x v="2"/>
    <n v="0"/>
    <s v="30–39"/>
    <x v="1"/>
    <n v="2"/>
    <s v="Medium"/>
  </r>
  <r>
    <n v="40"/>
    <s v="No"/>
    <s v="Travel_Rarely"/>
    <n v="1300"/>
    <x v="1"/>
    <n v="24"/>
    <n v="2"/>
    <s v="Technical Degree"/>
    <n v="335"/>
    <n v="1"/>
    <x v="1"/>
    <n v="62"/>
    <n v="3"/>
    <n v="2"/>
    <x v="1"/>
    <x v="0"/>
    <s v="Divorced"/>
    <n v="3319"/>
    <n v="24447"/>
    <n v="1"/>
    <x v="1"/>
    <n v="17"/>
    <n v="3"/>
    <n v="1"/>
    <n v="2"/>
    <n v="9"/>
    <n v="3"/>
    <n v="3"/>
    <n v="9"/>
    <n v="8"/>
    <n v="4"/>
    <n v="7"/>
    <x v="0"/>
    <n v="0"/>
    <s v="40–49"/>
    <x v="0"/>
    <n v="0"/>
    <s v="Low"/>
  </r>
  <r>
    <n v="45"/>
    <s v="No"/>
    <s v="Travel_Rarely"/>
    <n v="252"/>
    <x v="1"/>
    <n v="1"/>
    <n v="3"/>
    <s v="Other"/>
    <n v="336"/>
    <n v="3"/>
    <x v="1"/>
    <n v="70"/>
    <n v="4"/>
    <n v="5"/>
    <x v="5"/>
    <x v="0"/>
    <s v="Married"/>
    <n v="19202"/>
    <n v="15970"/>
    <n v="0"/>
    <x v="1"/>
    <n v="11"/>
    <n v="3"/>
    <n v="3"/>
    <n v="1"/>
    <n v="25"/>
    <n v="2"/>
    <n v="3"/>
    <n v="24"/>
    <n v="0"/>
    <n v="1"/>
    <n v="7"/>
    <x v="0"/>
    <n v="0"/>
    <s v="40–49"/>
    <x v="0"/>
    <n v="0"/>
    <s v="Low"/>
  </r>
  <r>
    <n v="31"/>
    <s v="No"/>
    <s v="Travel_Frequently"/>
    <n v="1327"/>
    <x v="1"/>
    <n v="3"/>
    <n v="4"/>
    <s v="Medical"/>
    <n v="337"/>
    <n v="2"/>
    <x v="1"/>
    <n v="73"/>
    <n v="3"/>
    <n v="3"/>
    <x v="7"/>
    <x v="2"/>
    <s v="Divorced"/>
    <n v="13675"/>
    <n v="13523"/>
    <n v="9"/>
    <x v="1"/>
    <n v="12"/>
    <n v="3"/>
    <n v="1"/>
    <n v="1"/>
    <n v="9"/>
    <n v="3"/>
    <n v="3"/>
    <n v="2"/>
    <n v="2"/>
    <n v="2"/>
    <n v="2"/>
    <x v="2"/>
    <n v="0"/>
    <s v="40–49"/>
    <x v="2"/>
    <n v="1"/>
    <s v="Low"/>
  </r>
  <r>
    <n v="33"/>
    <s v="No"/>
    <s v="Travel_Rarely"/>
    <n v="832"/>
    <x v="1"/>
    <n v="5"/>
    <n v="4"/>
    <s v="Life Sciences"/>
    <n v="338"/>
    <n v="3"/>
    <x v="0"/>
    <n v="63"/>
    <n v="2"/>
    <n v="1"/>
    <x v="1"/>
    <x v="0"/>
    <s v="Married"/>
    <n v="2911"/>
    <n v="14776"/>
    <n v="1"/>
    <x v="1"/>
    <n v="13"/>
    <n v="3"/>
    <n v="3"/>
    <n v="1"/>
    <n v="2"/>
    <n v="2"/>
    <n v="2"/>
    <n v="2"/>
    <n v="2"/>
    <n v="0"/>
    <n v="2"/>
    <x v="2"/>
    <n v="0"/>
    <s v="30–39"/>
    <x v="0"/>
    <n v="1"/>
    <s v="Low"/>
  </r>
  <r>
    <n v="34"/>
    <s v="No"/>
    <s v="Travel_Rarely"/>
    <n v="470"/>
    <x v="1"/>
    <n v="2"/>
    <n v="4"/>
    <s v="Life Sciences"/>
    <n v="339"/>
    <n v="4"/>
    <x v="1"/>
    <n v="84"/>
    <n v="2"/>
    <n v="2"/>
    <x v="3"/>
    <x v="3"/>
    <s v="Married"/>
    <n v="5957"/>
    <n v="23687"/>
    <n v="6"/>
    <x v="1"/>
    <n v="13"/>
    <n v="3"/>
    <n v="2"/>
    <n v="1"/>
    <n v="13"/>
    <n v="3"/>
    <n v="3"/>
    <n v="11"/>
    <n v="9"/>
    <n v="5"/>
    <n v="9"/>
    <x v="0"/>
    <n v="0"/>
    <s v="30–39"/>
    <x v="1"/>
    <n v="1"/>
    <s v="Low"/>
  </r>
  <r>
    <n v="37"/>
    <s v="No"/>
    <s v="Travel_Rarely"/>
    <n v="1017"/>
    <x v="1"/>
    <n v="1"/>
    <n v="2"/>
    <s v="Medical"/>
    <n v="340"/>
    <n v="3"/>
    <x v="0"/>
    <n v="83"/>
    <n v="2"/>
    <n v="1"/>
    <x v="1"/>
    <x v="3"/>
    <s v="Married"/>
    <n v="3920"/>
    <n v="18697"/>
    <n v="2"/>
    <x v="1"/>
    <n v="14"/>
    <n v="3"/>
    <n v="1"/>
    <n v="1"/>
    <n v="17"/>
    <n v="2"/>
    <n v="2"/>
    <n v="3"/>
    <n v="1"/>
    <n v="0"/>
    <n v="2"/>
    <x v="2"/>
    <n v="0"/>
    <s v="30–39"/>
    <x v="1"/>
    <n v="2"/>
    <s v="Medium"/>
  </r>
  <r>
    <n v="45"/>
    <s v="No"/>
    <s v="Travel_Frequently"/>
    <n v="1199"/>
    <x v="1"/>
    <n v="7"/>
    <n v="4"/>
    <s v="Life Sciences"/>
    <n v="341"/>
    <n v="1"/>
    <x v="1"/>
    <n v="77"/>
    <n v="4"/>
    <n v="2"/>
    <x v="3"/>
    <x v="2"/>
    <s v="Married"/>
    <n v="6434"/>
    <n v="5118"/>
    <n v="4"/>
    <x v="1"/>
    <n v="17"/>
    <n v="3"/>
    <n v="4"/>
    <n v="1"/>
    <n v="9"/>
    <n v="1"/>
    <n v="3"/>
    <n v="3"/>
    <n v="2"/>
    <n v="0"/>
    <n v="2"/>
    <x v="2"/>
    <n v="0"/>
    <s v="30–39"/>
    <x v="2"/>
    <n v="1"/>
    <s v="Low"/>
  </r>
  <r>
    <n v="37"/>
    <s v="Yes"/>
    <s v="Travel_Frequently"/>
    <n v="504"/>
    <x v="1"/>
    <n v="10"/>
    <n v="3"/>
    <s v="Medical"/>
    <n v="342"/>
    <n v="1"/>
    <x v="1"/>
    <n v="61"/>
    <n v="3"/>
    <n v="3"/>
    <x v="3"/>
    <x v="2"/>
    <s v="Divorced"/>
    <n v="10048"/>
    <n v="22573"/>
    <n v="6"/>
    <x v="1"/>
    <n v="11"/>
    <n v="3"/>
    <n v="2"/>
    <n v="2"/>
    <n v="17"/>
    <n v="5"/>
    <n v="3"/>
    <n v="1"/>
    <n v="0"/>
    <n v="0"/>
    <n v="0"/>
    <x v="2"/>
    <n v="1"/>
    <s v="40–49"/>
    <x v="2"/>
    <n v="1"/>
    <s v="Low"/>
  </r>
  <r>
    <n v="39"/>
    <s v="No"/>
    <s v="Travel_Frequently"/>
    <n v="505"/>
    <x v="1"/>
    <n v="2"/>
    <n v="4"/>
    <s v="Technical Degree"/>
    <n v="343"/>
    <n v="3"/>
    <x v="0"/>
    <n v="64"/>
    <n v="3"/>
    <n v="3"/>
    <x v="4"/>
    <x v="2"/>
    <s v="Single"/>
    <n v="10938"/>
    <n v="6420"/>
    <n v="0"/>
    <x v="1"/>
    <n v="25"/>
    <n v="4"/>
    <n v="4"/>
    <n v="0"/>
    <n v="20"/>
    <n v="1"/>
    <n v="3"/>
    <n v="19"/>
    <n v="6"/>
    <n v="11"/>
    <n v="8"/>
    <x v="0"/>
    <n v="0"/>
    <s v="30–39"/>
    <x v="2"/>
    <n v="0"/>
    <s v="Low"/>
  </r>
  <r>
    <n v="29"/>
    <s v="No"/>
    <s v="Travel_Rarely"/>
    <n v="665"/>
    <x v="1"/>
    <n v="15"/>
    <n v="3"/>
    <s v="Life Sciences"/>
    <n v="346"/>
    <n v="3"/>
    <x v="1"/>
    <n v="60"/>
    <n v="3"/>
    <n v="1"/>
    <x v="1"/>
    <x v="0"/>
    <s v="Single"/>
    <n v="2340"/>
    <n v="22673"/>
    <n v="1"/>
    <x v="1"/>
    <n v="19"/>
    <n v="3"/>
    <n v="1"/>
    <n v="0"/>
    <n v="6"/>
    <n v="1"/>
    <n v="3"/>
    <n v="6"/>
    <n v="5"/>
    <n v="1"/>
    <n v="5"/>
    <x v="0"/>
    <n v="0"/>
    <s v="30–39"/>
    <x v="0"/>
    <n v="0"/>
    <s v="Low"/>
  </r>
  <r>
    <n v="42"/>
    <s v="No"/>
    <s v="Travel_Rarely"/>
    <n v="916"/>
    <x v="1"/>
    <n v="17"/>
    <n v="2"/>
    <s v="Life Sciences"/>
    <n v="347"/>
    <n v="4"/>
    <x v="0"/>
    <n v="82"/>
    <n v="4"/>
    <n v="2"/>
    <x v="1"/>
    <x v="3"/>
    <s v="Single"/>
    <n v="6545"/>
    <n v="23016"/>
    <n v="3"/>
    <x v="0"/>
    <n v="13"/>
    <n v="3"/>
    <n v="3"/>
    <n v="0"/>
    <n v="10"/>
    <n v="1"/>
    <n v="3"/>
    <n v="3"/>
    <n v="2"/>
    <n v="0"/>
    <n v="2"/>
    <x v="2"/>
    <n v="0"/>
    <s v="&lt;30"/>
    <x v="1"/>
    <n v="3"/>
    <s v="High"/>
  </r>
  <r>
    <n v="29"/>
    <s v="No"/>
    <s v="Travel_Rarely"/>
    <n v="1247"/>
    <x v="0"/>
    <n v="20"/>
    <n v="2"/>
    <s v="Marketing"/>
    <n v="349"/>
    <n v="4"/>
    <x v="1"/>
    <n v="45"/>
    <n v="3"/>
    <n v="2"/>
    <x v="0"/>
    <x v="0"/>
    <s v="Divorced"/>
    <n v="6931"/>
    <n v="10732"/>
    <n v="2"/>
    <x v="1"/>
    <n v="14"/>
    <n v="3"/>
    <n v="4"/>
    <n v="1"/>
    <n v="10"/>
    <n v="2"/>
    <n v="3"/>
    <n v="3"/>
    <n v="2"/>
    <n v="0"/>
    <n v="2"/>
    <x v="2"/>
    <n v="0"/>
    <s v="40–49"/>
    <x v="0"/>
    <n v="1"/>
    <s v="Low"/>
  </r>
  <r>
    <n v="25"/>
    <s v="No"/>
    <s v="Travel_Rarely"/>
    <n v="685"/>
    <x v="1"/>
    <n v="1"/>
    <n v="3"/>
    <s v="Life Sciences"/>
    <n v="350"/>
    <n v="1"/>
    <x v="0"/>
    <n v="62"/>
    <n v="3"/>
    <n v="2"/>
    <x v="3"/>
    <x v="2"/>
    <s v="Married"/>
    <n v="4898"/>
    <n v="7505"/>
    <n v="0"/>
    <x v="1"/>
    <n v="12"/>
    <n v="3"/>
    <n v="4"/>
    <n v="2"/>
    <n v="5"/>
    <n v="3"/>
    <n v="3"/>
    <n v="4"/>
    <n v="2"/>
    <n v="1"/>
    <n v="2"/>
    <x v="3"/>
    <n v="0"/>
    <s v="&lt;30"/>
    <x v="2"/>
    <n v="0"/>
    <s v="Low"/>
  </r>
  <r>
    <n v="42"/>
    <s v="No"/>
    <s v="Travel_Rarely"/>
    <n v="269"/>
    <x v="1"/>
    <n v="2"/>
    <n v="3"/>
    <s v="Medical"/>
    <n v="351"/>
    <n v="4"/>
    <x v="0"/>
    <n v="56"/>
    <n v="2"/>
    <n v="1"/>
    <x v="2"/>
    <x v="3"/>
    <s v="Divorced"/>
    <n v="2593"/>
    <n v="8007"/>
    <n v="0"/>
    <x v="0"/>
    <n v="11"/>
    <n v="3"/>
    <n v="3"/>
    <n v="1"/>
    <n v="10"/>
    <n v="4"/>
    <n v="3"/>
    <n v="9"/>
    <n v="6"/>
    <n v="7"/>
    <n v="8"/>
    <x v="0"/>
    <n v="0"/>
    <s v="&lt;30"/>
    <x v="1"/>
    <n v="2"/>
    <s v="Medium"/>
  </r>
  <r>
    <n v="40"/>
    <s v="No"/>
    <s v="Travel_Rarely"/>
    <n v="1416"/>
    <x v="1"/>
    <n v="2"/>
    <n v="2"/>
    <s v="Medical"/>
    <n v="352"/>
    <n v="1"/>
    <x v="1"/>
    <n v="49"/>
    <n v="3"/>
    <n v="5"/>
    <x v="7"/>
    <x v="2"/>
    <s v="Divorced"/>
    <n v="19436"/>
    <n v="5949"/>
    <n v="0"/>
    <x v="1"/>
    <n v="19"/>
    <n v="3"/>
    <n v="4"/>
    <n v="1"/>
    <n v="22"/>
    <n v="5"/>
    <n v="3"/>
    <n v="21"/>
    <n v="7"/>
    <n v="3"/>
    <n v="9"/>
    <x v="0"/>
    <n v="0"/>
    <s v="40–49"/>
    <x v="2"/>
    <n v="0"/>
    <s v="Low"/>
  </r>
  <r>
    <n v="51"/>
    <s v="No"/>
    <s v="Travel_Rarely"/>
    <n v="833"/>
    <x v="1"/>
    <n v="1"/>
    <n v="3"/>
    <s v="Life Sciences"/>
    <n v="353"/>
    <n v="3"/>
    <x v="1"/>
    <n v="96"/>
    <n v="3"/>
    <n v="1"/>
    <x v="1"/>
    <x v="0"/>
    <s v="Married"/>
    <n v="2723"/>
    <n v="23231"/>
    <n v="1"/>
    <x v="1"/>
    <n v="11"/>
    <n v="3"/>
    <n v="2"/>
    <n v="0"/>
    <n v="1"/>
    <n v="0"/>
    <n v="2"/>
    <n v="1"/>
    <n v="0"/>
    <n v="0"/>
    <n v="0"/>
    <x v="2"/>
    <n v="0"/>
    <s v="40–49"/>
    <x v="0"/>
    <n v="1"/>
    <s v="Low"/>
  </r>
  <r>
    <n v="31"/>
    <s v="Yes"/>
    <s v="Travel_Frequently"/>
    <n v="307"/>
    <x v="1"/>
    <n v="29"/>
    <n v="2"/>
    <s v="Medical"/>
    <n v="355"/>
    <n v="3"/>
    <x v="1"/>
    <n v="71"/>
    <n v="2"/>
    <n v="1"/>
    <x v="2"/>
    <x v="1"/>
    <s v="Single"/>
    <n v="3479"/>
    <n v="11652"/>
    <n v="0"/>
    <x v="1"/>
    <n v="11"/>
    <n v="3"/>
    <n v="2"/>
    <n v="0"/>
    <n v="6"/>
    <n v="2"/>
    <n v="4"/>
    <n v="5"/>
    <n v="4"/>
    <n v="1"/>
    <n v="4"/>
    <x v="3"/>
    <n v="1"/>
    <s v="50+"/>
    <x v="1"/>
    <n v="1"/>
    <s v="Low"/>
  </r>
  <r>
    <n v="32"/>
    <s v="No"/>
    <s v="Travel_Frequently"/>
    <n v="1311"/>
    <x v="1"/>
    <n v="7"/>
    <n v="3"/>
    <s v="Life Sciences"/>
    <n v="359"/>
    <n v="2"/>
    <x v="1"/>
    <n v="100"/>
    <n v="4"/>
    <n v="1"/>
    <x v="2"/>
    <x v="1"/>
    <s v="Married"/>
    <n v="2794"/>
    <n v="26062"/>
    <n v="1"/>
    <x v="1"/>
    <n v="20"/>
    <n v="4"/>
    <n v="3"/>
    <n v="0"/>
    <n v="5"/>
    <n v="3"/>
    <n v="1"/>
    <n v="5"/>
    <n v="1"/>
    <n v="0"/>
    <n v="3"/>
    <x v="3"/>
    <n v="0"/>
    <s v="30–39"/>
    <x v="1"/>
    <n v="1"/>
    <s v="Low"/>
  </r>
  <r>
    <n v="38"/>
    <s v="No"/>
    <s v="Non-Travel"/>
    <n v="1327"/>
    <x v="0"/>
    <n v="2"/>
    <n v="2"/>
    <s v="Life Sciences"/>
    <n v="361"/>
    <n v="4"/>
    <x v="1"/>
    <n v="39"/>
    <n v="2"/>
    <n v="2"/>
    <x v="0"/>
    <x v="0"/>
    <s v="Married"/>
    <n v="5249"/>
    <n v="19682"/>
    <n v="3"/>
    <x v="1"/>
    <n v="18"/>
    <n v="3"/>
    <n v="4"/>
    <n v="1"/>
    <n v="13"/>
    <n v="0"/>
    <n v="3"/>
    <n v="8"/>
    <n v="7"/>
    <n v="7"/>
    <n v="5"/>
    <x v="0"/>
    <n v="0"/>
    <s v="30–39"/>
    <x v="0"/>
    <n v="0"/>
    <s v="Low"/>
  </r>
  <r>
    <n v="32"/>
    <s v="No"/>
    <s v="Travel_Rarely"/>
    <n v="128"/>
    <x v="1"/>
    <n v="2"/>
    <n v="1"/>
    <s v="Technical Degree"/>
    <n v="362"/>
    <n v="4"/>
    <x v="1"/>
    <n v="84"/>
    <n v="2"/>
    <n v="2"/>
    <x v="2"/>
    <x v="3"/>
    <s v="Single"/>
    <n v="2176"/>
    <n v="19737"/>
    <n v="4"/>
    <x v="1"/>
    <n v="13"/>
    <n v="3"/>
    <n v="4"/>
    <n v="0"/>
    <n v="9"/>
    <n v="5"/>
    <n v="3"/>
    <n v="6"/>
    <n v="2"/>
    <n v="0"/>
    <n v="4"/>
    <x v="0"/>
    <n v="0"/>
    <s v="30–39"/>
    <x v="1"/>
    <n v="1"/>
    <s v="Low"/>
  </r>
  <r>
    <n v="46"/>
    <s v="No"/>
    <s v="Travel_Rarely"/>
    <n v="488"/>
    <x v="0"/>
    <n v="2"/>
    <n v="3"/>
    <s v="Technical Degree"/>
    <n v="363"/>
    <n v="3"/>
    <x v="0"/>
    <n v="75"/>
    <n v="1"/>
    <n v="4"/>
    <x v="5"/>
    <x v="1"/>
    <s v="Married"/>
    <n v="16872"/>
    <n v="14977"/>
    <n v="3"/>
    <x v="0"/>
    <n v="12"/>
    <n v="3"/>
    <n v="2"/>
    <n v="1"/>
    <n v="28"/>
    <n v="2"/>
    <n v="2"/>
    <n v="7"/>
    <n v="7"/>
    <n v="7"/>
    <n v="7"/>
    <x v="0"/>
    <n v="0"/>
    <s v="30–39"/>
    <x v="1"/>
    <n v="2"/>
    <s v="Medium"/>
  </r>
  <r>
    <n v="28"/>
    <s v="Yes"/>
    <s v="Travel_Rarely"/>
    <n v="529"/>
    <x v="1"/>
    <n v="2"/>
    <n v="4"/>
    <s v="Life Sciences"/>
    <n v="364"/>
    <n v="1"/>
    <x v="1"/>
    <n v="79"/>
    <n v="3"/>
    <n v="1"/>
    <x v="2"/>
    <x v="2"/>
    <s v="Single"/>
    <n v="3485"/>
    <n v="14935"/>
    <n v="2"/>
    <x v="1"/>
    <n v="11"/>
    <n v="3"/>
    <n v="3"/>
    <n v="0"/>
    <n v="5"/>
    <n v="5"/>
    <n v="1"/>
    <n v="0"/>
    <n v="0"/>
    <n v="0"/>
    <n v="0"/>
    <x v="1"/>
    <n v="1"/>
    <s v="40–49"/>
    <x v="2"/>
    <n v="1"/>
    <s v="Low"/>
  </r>
  <r>
    <n v="29"/>
    <s v="No"/>
    <s v="Travel_Rarely"/>
    <n v="1210"/>
    <x v="0"/>
    <n v="2"/>
    <n v="3"/>
    <s v="Medical"/>
    <n v="366"/>
    <n v="1"/>
    <x v="1"/>
    <n v="78"/>
    <n v="2"/>
    <n v="2"/>
    <x v="0"/>
    <x v="1"/>
    <s v="Married"/>
    <n v="6644"/>
    <n v="3687"/>
    <n v="2"/>
    <x v="1"/>
    <n v="19"/>
    <n v="3"/>
    <n v="2"/>
    <n v="2"/>
    <n v="10"/>
    <n v="2"/>
    <n v="3"/>
    <n v="0"/>
    <n v="0"/>
    <n v="0"/>
    <n v="0"/>
    <x v="1"/>
    <n v="0"/>
    <s v="&lt;30"/>
    <x v="1"/>
    <n v="2"/>
    <s v="Medium"/>
  </r>
  <r>
    <n v="31"/>
    <s v="No"/>
    <s v="Travel_Rarely"/>
    <n v="1463"/>
    <x v="1"/>
    <n v="23"/>
    <n v="3"/>
    <s v="Medical"/>
    <n v="367"/>
    <n v="2"/>
    <x v="1"/>
    <n v="64"/>
    <n v="2"/>
    <n v="2"/>
    <x v="4"/>
    <x v="0"/>
    <s v="Married"/>
    <n v="5582"/>
    <n v="14408"/>
    <n v="0"/>
    <x v="1"/>
    <n v="21"/>
    <n v="4"/>
    <n v="2"/>
    <n v="1"/>
    <n v="10"/>
    <n v="2"/>
    <n v="3"/>
    <n v="9"/>
    <n v="0"/>
    <n v="7"/>
    <n v="8"/>
    <x v="0"/>
    <n v="0"/>
    <s v="&lt;30"/>
    <x v="0"/>
    <n v="0"/>
    <s v="Low"/>
  </r>
  <r>
    <n v="25"/>
    <s v="No"/>
    <s v="Non-Travel"/>
    <n v="675"/>
    <x v="1"/>
    <n v="5"/>
    <n v="2"/>
    <s v="Life Sciences"/>
    <n v="369"/>
    <n v="2"/>
    <x v="1"/>
    <n v="85"/>
    <n v="4"/>
    <n v="2"/>
    <x v="4"/>
    <x v="3"/>
    <s v="Divorced"/>
    <n v="4000"/>
    <n v="18384"/>
    <n v="1"/>
    <x v="1"/>
    <n v="12"/>
    <n v="3"/>
    <n v="4"/>
    <n v="2"/>
    <n v="6"/>
    <n v="2"/>
    <n v="3"/>
    <n v="6"/>
    <n v="3"/>
    <n v="1"/>
    <n v="5"/>
    <x v="0"/>
    <n v="0"/>
    <s v="30–39"/>
    <x v="1"/>
    <n v="1"/>
    <s v="Low"/>
  </r>
  <r>
    <n v="45"/>
    <s v="No"/>
    <s v="Travel_Rarely"/>
    <n v="1385"/>
    <x v="1"/>
    <n v="20"/>
    <n v="2"/>
    <s v="Medical"/>
    <n v="372"/>
    <n v="3"/>
    <x v="1"/>
    <n v="79"/>
    <n v="3"/>
    <n v="4"/>
    <x v="4"/>
    <x v="0"/>
    <s v="Married"/>
    <n v="13496"/>
    <n v="7501"/>
    <n v="0"/>
    <x v="0"/>
    <n v="14"/>
    <n v="3"/>
    <n v="2"/>
    <n v="0"/>
    <n v="21"/>
    <n v="2"/>
    <n v="3"/>
    <n v="20"/>
    <n v="7"/>
    <n v="4"/>
    <n v="10"/>
    <x v="0"/>
    <n v="0"/>
    <s v="&lt;30"/>
    <x v="0"/>
    <n v="1"/>
    <s v="Low"/>
  </r>
  <r>
    <n v="36"/>
    <s v="No"/>
    <s v="Travel_Rarely"/>
    <n v="1403"/>
    <x v="1"/>
    <n v="6"/>
    <n v="3"/>
    <s v="Life Sciences"/>
    <n v="373"/>
    <n v="4"/>
    <x v="1"/>
    <n v="47"/>
    <n v="3"/>
    <n v="1"/>
    <x v="2"/>
    <x v="0"/>
    <s v="Married"/>
    <n v="3210"/>
    <n v="20251"/>
    <n v="0"/>
    <x v="1"/>
    <n v="11"/>
    <n v="3"/>
    <n v="3"/>
    <n v="1"/>
    <n v="16"/>
    <n v="4"/>
    <n v="3"/>
    <n v="15"/>
    <n v="13"/>
    <n v="10"/>
    <n v="11"/>
    <x v="0"/>
    <n v="0"/>
    <s v="40–49"/>
    <x v="0"/>
    <n v="0"/>
    <s v="Low"/>
  </r>
  <r>
    <n v="55"/>
    <s v="No"/>
    <s v="Travel_Rarely"/>
    <n v="452"/>
    <x v="1"/>
    <n v="1"/>
    <n v="3"/>
    <s v="Medical"/>
    <n v="374"/>
    <n v="4"/>
    <x v="1"/>
    <n v="81"/>
    <n v="3"/>
    <n v="5"/>
    <x v="5"/>
    <x v="3"/>
    <s v="Single"/>
    <n v="19045"/>
    <n v="18938"/>
    <n v="0"/>
    <x v="0"/>
    <n v="14"/>
    <n v="3"/>
    <n v="3"/>
    <n v="0"/>
    <n v="37"/>
    <n v="2"/>
    <n v="3"/>
    <n v="36"/>
    <n v="10"/>
    <n v="4"/>
    <n v="13"/>
    <x v="0"/>
    <n v="0"/>
    <s v="30–39"/>
    <x v="1"/>
    <n v="2"/>
    <s v="Medium"/>
  </r>
  <r>
    <n v="47"/>
    <s v="Yes"/>
    <s v="Non-Travel"/>
    <n v="666"/>
    <x v="1"/>
    <n v="29"/>
    <n v="4"/>
    <s v="Life Sciences"/>
    <n v="376"/>
    <n v="1"/>
    <x v="1"/>
    <n v="88"/>
    <n v="3"/>
    <n v="3"/>
    <x v="5"/>
    <x v="1"/>
    <s v="Married"/>
    <n v="11849"/>
    <n v="10268"/>
    <n v="1"/>
    <x v="0"/>
    <n v="12"/>
    <n v="3"/>
    <n v="4"/>
    <n v="1"/>
    <n v="10"/>
    <n v="2"/>
    <n v="2"/>
    <n v="10"/>
    <n v="7"/>
    <n v="9"/>
    <n v="9"/>
    <x v="0"/>
    <n v="1"/>
    <s v="50+"/>
    <x v="1"/>
    <n v="2"/>
    <s v="Medium"/>
  </r>
  <r>
    <n v="28"/>
    <s v="No"/>
    <s v="Travel_Rarely"/>
    <n v="1158"/>
    <x v="1"/>
    <n v="9"/>
    <n v="3"/>
    <s v="Medical"/>
    <n v="377"/>
    <n v="4"/>
    <x v="1"/>
    <n v="94"/>
    <n v="3"/>
    <n v="1"/>
    <x v="1"/>
    <x v="0"/>
    <s v="Married"/>
    <n v="2070"/>
    <n v="2613"/>
    <n v="1"/>
    <x v="1"/>
    <n v="23"/>
    <n v="4"/>
    <n v="4"/>
    <n v="1"/>
    <n v="5"/>
    <n v="3"/>
    <n v="2"/>
    <n v="5"/>
    <n v="2"/>
    <n v="0"/>
    <n v="4"/>
    <x v="3"/>
    <n v="0"/>
    <s v="40–49"/>
    <x v="0"/>
    <n v="0"/>
    <s v="Low"/>
  </r>
  <r>
    <n v="37"/>
    <s v="No"/>
    <s v="Travel_Rarely"/>
    <n v="228"/>
    <x v="0"/>
    <n v="6"/>
    <n v="4"/>
    <s v="Medical"/>
    <n v="378"/>
    <n v="3"/>
    <x v="1"/>
    <n v="98"/>
    <n v="3"/>
    <n v="2"/>
    <x v="0"/>
    <x v="0"/>
    <s v="Married"/>
    <n v="6502"/>
    <n v="22825"/>
    <n v="4"/>
    <x v="1"/>
    <n v="14"/>
    <n v="3"/>
    <n v="2"/>
    <n v="1"/>
    <n v="7"/>
    <n v="5"/>
    <n v="4"/>
    <n v="5"/>
    <n v="4"/>
    <n v="0"/>
    <n v="1"/>
    <x v="3"/>
    <n v="0"/>
    <s v="&lt;30"/>
    <x v="0"/>
    <n v="0"/>
    <s v="Low"/>
  </r>
  <r>
    <n v="21"/>
    <s v="No"/>
    <s v="Travel_Rarely"/>
    <n v="996"/>
    <x v="1"/>
    <n v="3"/>
    <n v="2"/>
    <s v="Medical"/>
    <n v="379"/>
    <n v="4"/>
    <x v="1"/>
    <n v="100"/>
    <n v="2"/>
    <n v="1"/>
    <x v="1"/>
    <x v="2"/>
    <s v="Single"/>
    <n v="3230"/>
    <n v="10531"/>
    <n v="1"/>
    <x v="1"/>
    <n v="17"/>
    <n v="3"/>
    <n v="1"/>
    <n v="0"/>
    <n v="3"/>
    <n v="4"/>
    <n v="4"/>
    <n v="3"/>
    <n v="2"/>
    <n v="1"/>
    <n v="0"/>
    <x v="2"/>
    <n v="0"/>
    <s v="30–39"/>
    <x v="2"/>
    <n v="1"/>
    <s v="Low"/>
  </r>
  <r>
    <n v="37"/>
    <s v="No"/>
    <s v="Non-Travel"/>
    <n v="728"/>
    <x v="1"/>
    <n v="1"/>
    <n v="4"/>
    <s v="Medical"/>
    <n v="380"/>
    <n v="1"/>
    <x v="0"/>
    <n v="80"/>
    <n v="3"/>
    <n v="3"/>
    <x v="7"/>
    <x v="0"/>
    <s v="Divorced"/>
    <n v="13603"/>
    <n v="11677"/>
    <n v="2"/>
    <x v="0"/>
    <n v="18"/>
    <n v="3"/>
    <n v="1"/>
    <n v="2"/>
    <n v="15"/>
    <n v="2"/>
    <n v="3"/>
    <n v="5"/>
    <n v="2"/>
    <n v="0"/>
    <n v="2"/>
    <x v="3"/>
    <n v="0"/>
    <s v="&lt;30"/>
    <x v="0"/>
    <n v="1"/>
    <s v="Low"/>
  </r>
  <r>
    <n v="35"/>
    <s v="No"/>
    <s v="Travel_Rarely"/>
    <n v="1315"/>
    <x v="1"/>
    <n v="22"/>
    <n v="3"/>
    <s v="Life Sciences"/>
    <n v="381"/>
    <n v="2"/>
    <x v="0"/>
    <n v="71"/>
    <n v="4"/>
    <n v="3"/>
    <x v="5"/>
    <x v="1"/>
    <s v="Divorced"/>
    <n v="11996"/>
    <n v="19100"/>
    <n v="7"/>
    <x v="1"/>
    <n v="18"/>
    <n v="3"/>
    <n v="2"/>
    <n v="1"/>
    <n v="10"/>
    <n v="6"/>
    <n v="2"/>
    <n v="7"/>
    <n v="7"/>
    <n v="6"/>
    <n v="2"/>
    <x v="0"/>
    <n v="0"/>
    <s v="30–39"/>
    <x v="1"/>
    <n v="1"/>
    <s v="Low"/>
  </r>
  <r>
    <n v="38"/>
    <s v="No"/>
    <s v="Travel_Rarely"/>
    <n v="322"/>
    <x v="0"/>
    <n v="7"/>
    <n v="2"/>
    <s v="Medical"/>
    <n v="382"/>
    <n v="1"/>
    <x v="0"/>
    <n v="44"/>
    <n v="4"/>
    <n v="2"/>
    <x v="0"/>
    <x v="3"/>
    <s v="Divorced"/>
    <n v="5605"/>
    <n v="19191"/>
    <n v="1"/>
    <x v="0"/>
    <n v="24"/>
    <n v="4"/>
    <n v="3"/>
    <n v="1"/>
    <n v="8"/>
    <n v="3"/>
    <n v="3"/>
    <n v="8"/>
    <n v="0"/>
    <n v="7"/>
    <n v="7"/>
    <x v="0"/>
    <n v="0"/>
    <s v="30–39"/>
    <x v="1"/>
    <n v="2"/>
    <s v="Medium"/>
  </r>
  <r>
    <n v="26"/>
    <s v="No"/>
    <s v="Travel_Frequently"/>
    <n v="1479"/>
    <x v="1"/>
    <n v="1"/>
    <n v="3"/>
    <s v="Life Sciences"/>
    <n v="384"/>
    <n v="3"/>
    <x v="0"/>
    <n v="84"/>
    <n v="3"/>
    <n v="2"/>
    <x v="3"/>
    <x v="1"/>
    <s v="Divorced"/>
    <n v="6397"/>
    <n v="26767"/>
    <n v="1"/>
    <x v="1"/>
    <n v="20"/>
    <n v="4"/>
    <n v="1"/>
    <n v="1"/>
    <n v="6"/>
    <n v="6"/>
    <n v="1"/>
    <n v="6"/>
    <n v="5"/>
    <n v="1"/>
    <n v="4"/>
    <x v="0"/>
    <n v="0"/>
    <s v="30–39"/>
    <x v="1"/>
    <n v="1"/>
    <s v="Low"/>
  </r>
  <r>
    <n v="50"/>
    <s v="No"/>
    <s v="Travel_Rarely"/>
    <n v="797"/>
    <x v="1"/>
    <n v="4"/>
    <n v="1"/>
    <s v="Life Sciences"/>
    <n v="385"/>
    <n v="1"/>
    <x v="1"/>
    <n v="96"/>
    <n v="3"/>
    <n v="5"/>
    <x v="7"/>
    <x v="1"/>
    <s v="Divorced"/>
    <n v="19144"/>
    <n v="15815"/>
    <n v="3"/>
    <x v="1"/>
    <n v="14"/>
    <n v="3"/>
    <n v="1"/>
    <n v="2"/>
    <n v="28"/>
    <n v="4"/>
    <n v="2"/>
    <n v="10"/>
    <n v="4"/>
    <n v="1"/>
    <n v="6"/>
    <x v="0"/>
    <n v="0"/>
    <s v="&lt;30"/>
    <x v="1"/>
    <n v="1"/>
    <s v="Low"/>
  </r>
  <r>
    <n v="53"/>
    <s v="No"/>
    <s v="Travel_Rarely"/>
    <n v="1070"/>
    <x v="1"/>
    <n v="3"/>
    <n v="4"/>
    <s v="Medical"/>
    <n v="386"/>
    <n v="3"/>
    <x v="1"/>
    <n v="45"/>
    <n v="3"/>
    <n v="4"/>
    <x v="7"/>
    <x v="2"/>
    <s v="Married"/>
    <n v="17584"/>
    <n v="21016"/>
    <n v="3"/>
    <x v="0"/>
    <n v="16"/>
    <n v="3"/>
    <n v="4"/>
    <n v="3"/>
    <n v="21"/>
    <n v="5"/>
    <n v="2"/>
    <n v="5"/>
    <n v="3"/>
    <n v="1"/>
    <n v="3"/>
    <x v="3"/>
    <n v="0"/>
    <s v="50+"/>
    <x v="2"/>
    <n v="1"/>
    <s v="Low"/>
  </r>
  <r>
    <n v="42"/>
    <s v="No"/>
    <s v="Travel_Rarely"/>
    <n v="635"/>
    <x v="0"/>
    <n v="1"/>
    <n v="1"/>
    <s v="Life Sciences"/>
    <n v="387"/>
    <n v="2"/>
    <x v="1"/>
    <n v="99"/>
    <n v="3"/>
    <n v="2"/>
    <x v="0"/>
    <x v="2"/>
    <s v="Married"/>
    <n v="4907"/>
    <n v="24532"/>
    <n v="1"/>
    <x v="1"/>
    <n v="25"/>
    <n v="4"/>
    <n v="3"/>
    <n v="0"/>
    <n v="20"/>
    <n v="3"/>
    <n v="3"/>
    <n v="20"/>
    <n v="16"/>
    <n v="11"/>
    <n v="6"/>
    <x v="0"/>
    <n v="0"/>
    <s v="50+"/>
    <x v="2"/>
    <n v="0"/>
    <s v="Low"/>
  </r>
  <r>
    <n v="29"/>
    <s v="No"/>
    <s v="Travel_Frequently"/>
    <n v="442"/>
    <x v="0"/>
    <n v="2"/>
    <n v="2"/>
    <s v="Life Sciences"/>
    <n v="388"/>
    <n v="2"/>
    <x v="1"/>
    <n v="44"/>
    <n v="3"/>
    <n v="2"/>
    <x v="0"/>
    <x v="0"/>
    <s v="Single"/>
    <n v="4554"/>
    <n v="20260"/>
    <n v="1"/>
    <x v="1"/>
    <n v="18"/>
    <n v="3"/>
    <n v="1"/>
    <n v="0"/>
    <n v="10"/>
    <n v="3"/>
    <n v="2"/>
    <n v="10"/>
    <n v="7"/>
    <n v="0"/>
    <n v="9"/>
    <x v="0"/>
    <n v="0"/>
    <s v="40–49"/>
    <x v="0"/>
    <n v="0"/>
    <s v="Low"/>
  </r>
  <r>
    <n v="55"/>
    <s v="No"/>
    <s v="Travel_Rarely"/>
    <n v="147"/>
    <x v="1"/>
    <n v="20"/>
    <n v="2"/>
    <s v="Technical Degree"/>
    <n v="389"/>
    <n v="2"/>
    <x v="1"/>
    <n v="37"/>
    <n v="3"/>
    <n v="2"/>
    <x v="2"/>
    <x v="0"/>
    <s v="Married"/>
    <n v="5415"/>
    <n v="15972"/>
    <n v="3"/>
    <x v="0"/>
    <n v="19"/>
    <n v="3"/>
    <n v="4"/>
    <n v="1"/>
    <n v="12"/>
    <n v="4"/>
    <n v="3"/>
    <n v="10"/>
    <n v="7"/>
    <n v="0"/>
    <n v="8"/>
    <x v="0"/>
    <n v="0"/>
    <s v="&lt;30"/>
    <x v="0"/>
    <n v="1"/>
    <s v="Low"/>
  </r>
  <r>
    <n v="26"/>
    <s v="No"/>
    <s v="Travel_Frequently"/>
    <n v="496"/>
    <x v="1"/>
    <n v="11"/>
    <n v="2"/>
    <s v="Medical"/>
    <n v="390"/>
    <n v="1"/>
    <x v="1"/>
    <n v="60"/>
    <n v="3"/>
    <n v="2"/>
    <x v="4"/>
    <x v="3"/>
    <s v="Married"/>
    <n v="4741"/>
    <n v="22722"/>
    <n v="1"/>
    <x v="0"/>
    <n v="13"/>
    <n v="3"/>
    <n v="3"/>
    <n v="1"/>
    <n v="5"/>
    <n v="3"/>
    <n v="3"/>
    <n v="5"/>
    <n v="3"/>
    <n v="3"/>
    <n v="3"/>
    <x v="3"/>
    <n v="0"/>
    <s v="50+"/>
    <x v="1"/>
    <n v="2"/>
    <s v="Medium"/>
  </r>
  <r>
    <n v="37"/>
    <s v="No"/>
    <s v="Travel_Rarely"/>
    <n v="1372"/>
    <x v="1"/>
    <n v="1"/>
    <n v="3"/>
    <s v="Life Sciences"/>
    <n v="391"/>
    <n v="4"/>
    <x v="0"/>
    <n v="42"/>
    <n v="3"/>
    <n v="1"/>
    <x v="1"/>
    <x v="0"/>
    <s v="Single"/>
    <n v="2115"/>
    <n v="15881"/>
    <n v="1"/>
    <x v="1"/>
    <n v="12"/>
    <n v="3"/>
    <n v="2"/>
    <n v="0"/>
    <n v="17"/>
    <n v="3"/>
    <n v="3"/>
    <n v="17"/>
    <n v="12"/>
    <n v="5"/>
    <n v="7"/>
    <x v="0"/>
    <n v="0"/>
    <s v="&lt;30"/>
    <x v="0"/>
    <n v="0"/>
    <s v="Low"/>
  </r>
  <r>
    <n v="44"/>
    <s v="Yes"/>
    <s v="Travel_Frequently"/>
    <n v="920"/>
    <x v="1"/>
    <n v="24"/>
    <n v="3"/>
    <s v="Life Sciences"/>
    <n v="392"/>
    <n v="4"/>
    <x v="1"/>
    <n v="43"/>
    <n v="3"/>
    <n v="1"/>
    <x v="2"/>
    <x v="2"/>
    <s v="Divorced"/>
    <n v="3161"/>
    <n v="19920"/>
    <n v="3"/>
    <x v="0"/>
    <n v="22"/>
    <n v="4"/>
    <n v="4"/>
    <n v="1"/>
    <n v="19"/>
    <n v="0"/>
    <n v="1"/>
    <n v="1"/>
    <n v="0"/>
    <n v="0"/>
    <n v="0"/>
    <x v="2"/>
    <n v="1"/>
    <s v="30–39"/>
    <x v="2"/>
    <n v="2"/>
    <s v="Medium"/>
  </r>
  <r>
    <n v="38"/>
    <s v="No"/>
    <s v="Travel_Rarely"/>
    <n v="688"/>
    <x v="1"/>
    <n v="23"/>
    <n v="4"/>
    <s v="Life Sciences"/>
    <n v="393"/>
    <n v="4"/>
    <x v="1"/>
    <n v="82"/>
    <n v="3"/>
    <n v="2"/>
    <x v="4"/>
    <x v="0"/>
    <s v="Divorced"/>
    <n v="5745"/>
    <n v="18899"/>
    <n v="9"/>
    <x v="1"/>
    <n v="14"/>
    <n v="3"/>
    <n v="2"/>
    <n v="1"/>
    <n v="10"/>
    <n v="2"/>
    <n v="3"/>
    <n v="2"/>
    <n v="2"/>
    <n v="1"/>
    <n v="2"/>
    <x v="2"/>
    <n v="0"/>
    <s v="40–49"/>
    <x v="0"/>
    <n v="1"/>
    <s v="Low"/>
  </r>
  <r>
    <n v="26"/>
    <s v="Yes"/>
    <s v="Travel_Rarely"/>
    <n v="1449"/>
    <x v="1"/>
    <n v="16"/>
    <n v="4"/>
    <s v="Medical"/>
    <n v="394"/>
    <n v="1"/>
    <x v="1"/>
    <n v="45"/>
    <n v="3"/>
    <n v="1"/>
    <x v="2"/>
    <x v="1"/>
    <s v="Divorced"/>
    <n v="2373"/>
    <n v="14180"/>
    <n v="2"/>
    <x v="0"/>
    <n v="13"/>
    <n v="3"/>
    <n v="4"/>
    <n v="1"/>
    <n v="5"/>
    <n v="2"/>
    <n v="3"/>
    <n v="3"/>
    <n v="2"/>
    <n v="0"/>
    <n v="2"/>
    <x v="2"/>
    <n v="1"/>
    <s v="30–39"/>
    <x v="1"/>
    <n v="3"/>
    <s v="High"/>
  </r>
  <r>
    <n v="28"/>
    <s v="No"/>
    <s v="Travel_Rarely"/>
    <n v="1117"/>
    <x v="1"/>
    <n v="8"/>
    <n v="2"/>
    <s v="Life Sciences"/>
    <n v="395"/>
    <n v="4"/>
    <x v="0"/>
    <n v="66"/>
    <n v="3"/>
    <n v="1"/>
    <x v="1"/>
    <x v="0"/>
    <s v="Single"/>
    <n v="3310"/>
    <n v="4488"/>
    <n v="1"/>
    <x v="1"/>
    <n v="21"/>
    <n v="4"/>
    <n v="4"/>
    <n v="0"/>
    <n v="5"/>
    <n v="3"/>
    <n v="3"/>
    <n v="5"/>
    <n v="3"/>
    <n v="0"/>
    <n v="2"/>
    <x v="3"/>
    <n v="0"/>
    <s v="&lt;30"/>
    <x v="0"/>
    <n v="0"/>
    <s v="Low"/>
  </r>
  <r>
    <n v="49"/>
    <s v="No"/>
    <s v="Travel_Frequently"/>
    <n v="636"/>
    <x v="1"/>
    <n v="10"/>
    <n v="4"/>
    <s v="Life Sciences"/>
    <n v="396"/>
    <n v="3"/>
    <x v="0"/>
    <n v="35"/>
    <n v="3"/>
    <n v="5"/>
    <x v="7"/>
    <x v="3"/>
    <s v="Single"/>
    <n v="18665"/>
    <n v="25594"/>
    <n v="9"/>
    <x v="0"/>
    <n v="11"/>
    <n v="3"/>
    <n v="4"/>
    <n v="0"/>
    <n v="22"/>
    <n v="4"/>
    <n v="3"/>
    <n v="3"/>
    <n v="2"/>
    <n v="1"/>
    <n v="2"/>
    <x v="2"/>
    <n v="0"/>
    <s v="&lt;30"/>
    <x v="1"/>
    <n v="3"/>
    <s v="High"/>
  </r>
  <r>
    <n v="36"/>
    <s v="No"/>
    <s v="Travel_Rarely"/>
    <n v="506"/>
    <x v="1"/>
    <n v="3"/>
    <n v="3"/>
    <s v="Technical Degree"/>
    <n v="397"/>
    <n v="3"/>
    <x v="1"/>
    <n v="30"/>
    <n v="3"/>
    <n v="2"/>
    <x v="1"/>
    <x v="1"/>
    <s v="Single"/>
    <n v="4485"/>
    <n v="26285"/>
    <n v="4"/>
    <x v="1"/>
    <n v="12"/>
    <n v="3"/>
    <n v="4"/>
    <n v="0"/>
    <n v="10"/>
    <n v="2"/>
    <n v="3"/>
    <n v="8"/>
    <n v="0"/>
    <n v="7"/>
    <n v="7"/>
    <x v="0"/>
    <n v="0"/>
    <s v="40–49"/>
    <x v="1"/>
    <n v="1"/>
    <s v="Low"/>
  </r>
  <r>
    <n v="31"/>
    <s v="No"/>
    <s v="Travel_Frequently"/>
    <n v="444"/>
    <x v="0"/>
    <n v="5"/>
    <n v="3"/>
    <s v="Marketing"/>
    <n v="399"/>
    <n v="4"/>
    <x v="0"/>
    <n v="84"/>
    <n v="3"/>
    <n v="1"/>
    <x v="6"/>
    <x v="1"/>
    <s v="Divorced"/>
    <n v="2789"/>
    <n v="3909"/>
    <n v="1"/>
    <x v="1"/>
    <n v="11"/>
    <n v="3"/>
    <n v="3"/>
    <n v="1"/>
    <n v="2"/>
    <n v="5"/>
    <n v="2"/>
    <n v="2"/>
    <n v="2"/>
    <n v="2"/>
    <n v="2"/>
    <x v="2"/>
    <n v="0"/>
    <s v="30–39"/>
    <x v="1"/>
    <n v="2"/>
    <s v="Medium"/>
  </r>
  <r>
    <n v="26"/>
    <s v="Yes"/>
    <s v="Travel_Rarely"/>
    <n v="950"/>
    <x v="0"/>
    <n v="4"/>
    <n v="4"/>
    <s v="Marketing"/>
    <n v="401"/>
    <n v="4"/>
    <x v="1"/>
    <n v="48"/>
    <n v="2"/>
    <n v="2"/>
    <x v="0"/>
    <x v="0"/>
    <s v="Single"/>
    <n v="5828"/>
    <n v="8450"/>
    <n v="1"/>
    <x v="0"/>
    <n v="12"/>
    <n v="3"/>
    <n v="2"/>
    <n v="0"/>
    <n v="8"/>
    <n v="0"/>
    <n v="3"/>
    <n v="8"/>
    <n v="7"/>
    <n v="7"/>
    <n v="4"/>
    <x v="0"/>
    <n v="1"/>
    <s v="30–39"/>
    <x v="0"/>
    <n v="1"/>
    <s v="Low"/>
  </r>
  <r>
    <n v="37"/>
    <s v="No"/>
    <s v="Travel_Frequently"/>
    <n v="889"/>
    <x v="1"/>
    <n v="9"/>
    <n v="3"/>
    <s v="Medical"/>
    <n v="403"/>
    <n v="2"/>
    <x v="1"/>
    <n v="53"/>
    <n v="3"/>
    <n v="1"/>
    <x v="1"/>
    <x v="0"/>
    <s v="Married"/>
    <n v="2326"/>
    <n v="11411"/>
    <n v="1"/>
    <x v="0"/>
    <n v="12"/>
    <n v="3"/>
    <n v="3"/>
    <n v="3"/>
    <n v="4"/>
    <n v="3"/>
    <n v="2"/>
    <n v="4"/>
    <n v="2"/>
    <n v="1"/>
    <n v="2"/>
    <x v="3"/>
    <n v="0"/>
    <s v="&lt;30"/>
    <x v="0"/>
    <n v="1"/>
    <s v="Low"/>
  </r>
  <r>
    <n v="42"/>
    <s v="No"/>
    <s v="Travel_Frequently"/>
    <n v="555"/>
    <x v="0"/>
    <n v="26"/>
    <n v="3"/>
    <s v="Marketing"/>
    <n v="404"/>
    <n v="3"/>
    <x v="0"/>
    <n v="77"/>
    <n v="3"/>
    <n v="4"/>
    <x v="0"/>
    <x v="1"/>
    <s v="Married"/>
    <n v="13525"/>
    <n v="14864"/>
    <n v="5"/>
    <x v="1"/>
    <n v="14"/>
    <n v="3"/>
    <n v="4"/>
    <n v="1"/>
    <n v="23"/>
    <n v="2"/>
    <n v="4"/>
    <n v="20"/>
    <n v="4"/>
    <n v="4"/>
    <n v="8"/>
    <x v="0"/>
    <n v="0"/>
    <s v="30–39"/>
    <x v="1"/>
    <n v="1"/>
    <s v="Low"/>
  </r>
  <r>
    <n v="18"/>
    <s v="Yes"/>
    <s v="Travel_Rarely"/>
    <n v="230"/>
    <x v="1"/>
    <n v="3"/>
    <n v="3"/>
    <s v="Life Sciences"/>
    <n v="405"/>
    <n v="3"/>
    <x v="1"/>
    <n v="54"/>
    <n v="3"/>
    <n v="1"/>
    <x v="2"/>
    <x v="2"/>
    <s v="Single"/>
    <n v="1420"/>
    <n v="25233"/>
    <n v="1"/>
    <x v="1"/>
    <n v="13"/>
    <n v="3"/>
    <n v="3"/>
    <n v="0"/>
    <n v="0"/>
    <n v="2"/>
    <n v="3"/>
    <n v="0"/>
    <n v="0"/>
    <n v="0"/>
    <n v="0"/>
    <x v="1"/>
    <n v="1"/>
    <s v="40–49"/>
    <x v="2"/>
    <n v="1"/>
    <s v="Low"/>
  </r>
  <r>
    <n v="35"/>
    <s v="No"/>
    <s v="Travel_Rarely"/>
    <n v="1232"/>
    <x v="0"/>
    <n v="16"/>
    <n v="3"/>
    <s v="Marketing"/>
    <n v="406"/>
    <n v="3"/>
    <x v="1"/>
    <n v="96"/>
    <n v="3"/>
    <n v="3"/>
    <x v="0"/>
    <x v="1"/>
    <s v="Married"/>
    <n v="8020"/>
    <n v="5100"/>
    <n v="0"/>
    <x v="1"/>
    <n v="15"/>
    <n v="3"/>
    <n v="3"/>
    <n v="2"/>
    <n v="12"/>
    <n v="3"/>
    <n v="2"/>
    <n v="11"/>
    <n v="9"/>
    <n v="6"/>
    <n v="9"/>
    <x v="0"/>
    <n v="0"/>
    <s v="&lt;30"/>
    <x v="1"/>
    <n v="1"/>
    <s v="Low"/>
  </r>
  <r>
    <n v="36"/>
    <s v="No"/>
    <s v="Travel_Frequently"/>
    <n v="566"/>
    <x v="1"/>
    <n v="18"/>
    <n v="4"/>
    <s v="Life Sciences"/>
    <n v="407"/>
    <n v="3"/>
    <x v="1"/>
    <n v="81"/>
    <n v="4"/>
    <n v="1"/>
    <x v="2"/>
    <x v="0"/>
    <s v="Married"/>
    <n v="3688"/>
    <n v="7122"/>
    <n v="4"/>
    <x v="1"/>
    <n v="18"/>
    <n v="3"/>
    <n v="4"/>
    <n v="2"/>
    <n v="4"/>
    <n v="2"/>
    <n v="3"/>
    <n v="1"/>
    <n v="0"/>
    <n v="0"/>
    <n v="0"/>
    <x v="2"/>
    <n v="0"/>
    <s v="30–39"/>
    <x v="0"/>
    <n v="1"/>
    <s v="Low"/>
  </r>
  <r>
    <n v="51"/>
    <s v="No"/>
    <s v="Travel_Rarely"/>
    <n v="1302"/>
    <x v="1"/>
    <n v="2"/>
    <n v="3"/>
    <s v="Medical"/>
    <n v="408"/>
    <n v="4"/>
    <x v="1"/>
    <n v="84"/>
    <n v="1"/>
    <n v="2"/>
    <x v="3"/>
    <x v="1"/>
    <s v="Divorced"/>
    <n v="5482"/>
    <n v="16321"/>
    <n v="5"/>
    <x v="1"/>
    <n v="18"/>
    <n v="3"/>
    <n v="4"/>
    <n v="1"/>
    <n v="13"/>
    <n v="3"/>
    <n v="3"/>
    <n v="4"/>
    <n v="1"/>
    <n v="1"/>
    <n v="2"/>
    <x v="3"/>
    <n v="0"/>
    <s v="30–39"/>
    <x v="1"/>
    <n v="1"/>
    <s v="Low"/>
  </r>
  <r>
    <n v="41"/>
    <s v="No"/>
    <s v="Travel_Rarely"/>
    <n v="334"/>
    <x v="0"/>
    <n v="2"/>
    <n v="4"/>
    <s v="Life Sciences"/>
    <n v="410"/>
    <n v="4"/>
    <x v="1"/>
    <n v="88"/>
    <n v="3"/>
    <n v="4"/>
    <x v="5"/>
    <x v="1"/>
    <s v="Single"/>
    <n v="16015"/>
    <n v="15896"/>
    <n v="1"/>
    <x v="1"/>
    <n v="19"/>
    <n v="3"/>
    <n v="2"/>
    <n v="0"/>
    <n v="22"/>
    <n v="2"/>
    <n v="3"/>
    <n v="22"/>
    <n v="10"/>
    <n v="0"/>
    <n v="4"/>
    <x v="0"/>
    <n v="0"/>
    <s v="50+"/>
    <x v="1"/>
    <n v="1"/>
    <s v="Low"/>
  </r>
  <r>
    <n v="18"/>
    <s v="No"/>
    <s v="Travel_Rarely"/>
    <n v="812"/>
    <x v="0"/>
    <n v="10"/>
    <n v="3"/>
    <s v="Medical"/>
    <n v="411"/>
    <n v="4"/>
    <x v="0"/>
    <n v="69"/>
    <n v="2"/>
    <n v="1"/>
    <x v="6"/>
    <x v="2"/>
    <s v="Single"/>
    <n v="1200"/>
    <n v="9724"/>
    <n v="1"/>
    <x v="1"/>
    <n v="12"/>
    <n v="3"/>
    <n v="1"/>
    <n v="0"/>
    <n v="0"/>
    <n v="2"/>
    <n v="3"/>
    <n v="0"/>
    <n v="0"/>
    <n v="0"/>
    <n v="0"/>
    <x v="1"/>
    <n v="0"/>
    <s v="40–49"/>
    <x v="2"/>
    <n v="1"/>
    <s v="Low"/>
  </r>
  <r>
    <n v="28"/>
    <s v="No"/>
    <s v="Travel_Rarely"/>
    <n v="1476"/>
    <x v="1"/>
    <n v="16"/>
    <n v="2"/>
    <s v="Medical"/>
    <n v="412"/>
    <n v="2"/>
    <x v="1"/>
    <n v="68"/>
    <n v="4"/>
    <n v="2"/>
    <x v="4"/>
    <x v="3"/>
    <s v="Single"/>
    <n v="5661"/>
    <n v="4824"/>
    <n v="0"/>
    <x v="1"/>
    <n v="19"/>
    <n v="3"/>
    <n v="3"/>
    <n v="0"/>
    <n v="9"/>
    <n v="2"/>
    <n v="3"/>
    <n v="8"/>
    <n v="3"/>
    <n v="0"/>
    <n v="7"/>
    <x v="0"/>
    <n v="0"/>
    <s v="&lt;30"/>
    <x v="1"/>
    <n v="1"/>
    <s v="Low"/>
  </r>
  <r>
    <n v="31"/>
    <s v="No"/>
    <s v="Travel_Rarely"/>
    <n v="218"/>
    <x v="0"/>
    <n v="7"/>
    <n v="3"/>
    <s v="Technical Degree"/>
    <n v="416"/>
    <n v="2"/>
    <x v="1"/>
    <n v="100"/>
    <n v="4"/>
    <n v="2"/>
    <x v="0"/>
    <x v="0"/>
    <s v="Married"/>
    <n v="6929"/>
    <n v="12241"/>
    <n v="4"/>
    <x v="1"/>
    <n v="11"/>
    <n v="3"/>
    <n v="2"/>
    <n v="1"/>
    <n v="10"/>
    <n v="3"/>
    <n v="2"/>
    <n v="8"/>
    <n v="7"/>
    <n v="7"/>
    <n v="7"/>
    <x v="0"/>
    <n v="0"/>
    <s v="&lt;30"/>
    <x v="0"/>
    <n v="0"/>
    <s v="Low"/>
  </r>
  <r>
    <n v="39"/>
    <s v="No"/>
    <s v="Travel_Rarely"/>
    <n v="1132"/>
    <x v="1"/>
    <n v="1"/>
    <n v="3"/>
    <s v="Medical"/>
    <n v="417"/>
    <n v="3"/>
    <x v="1"/>
    <n v="48"/>
    <n v="4"/>
    <n v="3"/>
    <x v="4"/>
    <x v="0"/>
    <s v="Divorced"/>
    <n v="9613"/>
    <n v="10942"/>
    <n v="0"/>
    <x v="1"/>
    <n v="17"/>
    <n v="3"/>
    <n v="1"/>
    <n v="3"/>
    <n v="19"/>
    <n v="5"/>
    <n v="2"/>
    <n v="18"/>
    <n v="10"/>
    <n v="3"/>
    <n v="7"/>
    <x v="0"/>
    <n v="0"/>
    <s v="30–39"/>
    <x v="0"/>
    <n v="0"/>
    <s v="Low"/>
  </r>
  <r>
    <n v="36"/>
    <s v="No"/>
    <s v="Non-Travel"/>
    <n v="1105"/>
    <x v="1"/>
    <n v="24"/>
    <n v="4"/>
    <s v="Life Sciences"/>
    <n v="419"/>
    <n v="2"/>
    <x v="0"/>
    <n v="47"/>
    <n v="3"/>
    <n v="2"/>
    <x v="2"/>
    <x v="1"/>
    <s v="Married"/>
    <n v="5674"/>
    <n v="6927"/>
    <n v="7"/>
    <x v="1"/>
    <n v="15"/>
    <n v="3"/>
    <n v="3"/>
    <n v="1"/>
    <n v="11"/>
    <n v="3"/>
    <n v="3"/>
    <n v="9"/>
    <n v="8"/>
    <n v="0"/>
    <n v="8"/>
    <x v="0"/>
    <n v="0"/>
    <s v="30–39"/>
    <x v="1"/>
    <n v="1"/>
    <s v="Low"/>
  </r>
  <r>
    <n v="32"/>
    <s v="No"/>
    <s v="Travel_Rarely"/>
    <n v="906"/>
    <x v="0"/>
    <n v="7"/>
    <n v="3"/>
    <s v="Life Sciences"/>
    <n v="420"/>
    <n v="4"/>
    <x v="1"/>
    <n v="91"/>
    <n v="2"/>
    <n v="2"/>
    <x v="0"/>
    <x v="2"/>
    <s v="Married"/>
    <n v="5484"/>
    <n v="16985"/>
    <n v="1"/>
    <x v="1"/>
    <n v="14"/>
    <n v="3"/>
    <n v="3"/>
    <n v="1"/>
    <n v="13"/>
    <n v="3"/>
    <n v="2"/>
    <n v="13"/>
    <n v="8"/>
    <n v="4"/>
    <n v="8"/>
    <x v="0"/>
    <n v="0"/>
    <s v="30–39"/>
    <x v="2"/>
    <n v="0"/>
    <s v="Low"/>
  </r>
  <r>
    <n v="38"/>
    <s v="No"/>
    <s v="Travel_Rarely"/>
    <n v="849"/>
    <x v="1"/>
    <n v="25"/>
    <n v="2"/>
    <s v="Life Sciences"/>
    <n v="421"/>
    <n v="1"/>
    <x v="0"/>
    <n v="81"/>
    <n v="2"/>
    <n v="3"/>
    <x v="7"/>
    <x v="1"/>
    <s v="Married"/>
    <n v="12061"/>
    <n v="26707"/>
    <n v="3"/>
    <x v="1"/>
    <n v="17"/>
    <n v="3"/>
    <n v="3"/>
    <n v="1"/>
    <n v="19"/>
    <n v="2"/>
    <n v="3"/>
    <n v="10"/>
    <n v="8"/>
    <n v="0"/>
    <n v="1"/>
    <x v="0"/>
    <n v="0"/>
    <s v="30–39"/>
    <x v="1"/>
    <n v="1"/>
    <s v="Low"/>
  </r>
  <r>
    <n v="58"/>
    <s v="No"/>
    <s v="Non-Travel"/>
    <n v="390"/>
    <x v="1"/>
    <n v="1"/>
    <n v="4"/>
    <s v="Life Sciences"/>
    <n v="422"/>
    <n v="4"/>
    <x v="1"/>
    <n v="32"/>
    <n v="1"/>
    <n v="2"/>
    <x v="4"/>
    <x v="2"/>
    <s v="Divorced"/>
    <n v="5660"/>
    <n v="17056"/>
    <n v="2"/>
    <x v="0"/>
    <n v="13"/>
    <n v="3"/>
    <n v="4"/>
    <n v="1"/>
    <n v="12"/>
    <n v="2"/>
    <n v="3"/>
    <n v="5"/>
    <n v="3"/>
    <n v="1"/>
    <n v="2"/>
    <x v="3"/>
    <n v="0"/>
    <s v="30–39"/>
    <x v="2"/>
    <n v="1"/>
    <s v="Low"/>
  </r>
  <r>
    <n v="31"/>
    <s v="No"/>
    <s v="Travel_Rarely"/>
    <n v="691"/>
    <x v="1"/>
    <n v="5"/>
    <n v="4"/>
    <s v="Technical Degree"/>
    <n v="423"/>
    <n v="3"/>
    <x v="1"/>
    <n v="86"/>
    <n v="3"/>
    <n v="1"/>
    <x v="1"/>
    <x v="0"/>
    <s v="Married"/>
    <n v="4821"/>
    <n v="10077"/>
    <n v="0"/>
    <x v="0"/>
    <n v="12"/>
    <n v="3"/>
    <n v="3"/>
    <n v="1"/>
    <n v="6"/>
    <n v="4"/>
    <n v="3"/>
    <n v="5"/>
    <n v="2"/>
    <n v="0"/>
    <n v="3"/>
    <x v="3"/>
    <n v="0"/>
    <s v="50+"/>
    <x v="0"/>
    <n v="1"/>
    <s v="Low"/>
  </r>
  <r>
    <n v="31"/>
    <s v="No"/>
    <s v="Travel_Rarely"/>
    <n v="106"/>
    <x v="2"/>
    <n v="2"/>
    <n v="3"/>
    <s v="Human Resources"/>
    <n v="424"/>
    <n v="1"/>
    <x v="1"/>
    <n v="62"/>
    <n v="2"/>
    <n v="2"/>
    <x v="8"/>
    <x v="3"/>
    <s v="Married"/>
    <n v="6410"/>
    <n v="17822"/>
    <n v="3"/>
    <x v="1"/>
    <n v="12"/>
    <n v="3"/>
    <n v="4"/>
    <n v="0"/>
    <n v="9"/>
    <n v="1"/>
    <n v="3"/>
    <n v="2"/>
    <n v="2"/>
    <n v="1"/>
    <n v="0"/>
    <x v="2"/>
    <n v="0"/>
    <s v="30–39"/>
    <x v="1"/>
    <n v="2"/>
    <s v="Medium"/>
  </r>
  <r>
    <n v="45"/>
    <s v="No"/>
    <s v="Travel_Frequently"/>
    <n v="1249"/>
    <x v="1"/>
    <n v="7"/>
    <n v="3"/>
    <s v="Life Sciences"/>
    <n v="425"/>
    <n v="1"/>
    <x v="1"/>
    <n v="97"/>
    <n v="3"/>
    <n v="3"/>
    <x v="2"/>
    <x v="3"/>
    <s v="Divorced"/>
    <n v="5210"/>
    <n v="20308"/>
    <n v="1"/>
    <x v="1"/>
    <n v="18"/>
    <n v="3"/>
    <n v="1"/>
    <n v="1"/>
    <n v="24"/>
    <n v="2"/>
    <n v="3"/>
    <n v="24"/>
    <n v="9"/>
    <n v="9"/>
    <n v="11"/>
    <x v="0"/>
    <n v="0"/>
    <s v="30–39"/>
    <x v="1"/>
    <n v="1"/>
    <s v="Low"/>
  </r>
  <r>
    <n v="31"/>
    <s v="No"/>
    <s v="Travel_Rarely"/>
    <n v="192"/>
    <x v="1"/>
    <n v="2"/>
    <n v="4"/>
    <s v="Life Sciences"/>
    <n v="426"/>
    <n v="3"/>
    <x v="1"/>
    <n v="32"/>
    <n v="3"/>
    <n v="1"/>
    <x v="1"/>
    <x v="0"/>
    <s v="Divorced"/>
    <n v="2695"/>
    <n v="7747"/>
    <n v="0"/>
    <x v="0"/>
    <n v="18"/>
    <n v="3"/>
    <n v="2"/>
    <n v="1"/>
    <n v="3"/>
    <n v="2"/>
    <n v="1"/>
    <n v="2"/>
    <n v="2"/>
    <n v="2"/>
    <n v="2"/>
    <x v="2"/>
    <n v="0"/>
    <s v="40–49"/>
    <x v="0"/>
    <n v="2"/>
    <s v="Medium"/>
  </r>
  <r>
    <n v="33"/>
    <s v="No"/>
    <s v="Travel_Frequently"/>
    <n v="553"/>
    <x v="1"/>
    <n v="5"/>
    <n v="4"/>
    <s v="Life Sciences"/>
    <n v="428"/>
    <n v="4"/>
    <x v="0"/>
    <n v="74"/>
    <n v="3"/>
    <n v="3"/>
    <x v="5"/>
    <x v="1"/>
    <s v="Married"/>
    <n v="11878"/>
    <n v="23364"/>
    <n v="6"/>
    <x v="1"/>
    <n v="11"/>
    <n v="3"/>
    <n v="2"/>
    <n v="2"/>
    <n v="12"/>
    <n v="2"/>
    <n v="3"/>
    <n v="10"/>
    <n v="6"/>
    <n v="8"/>
    <n v="8"/>
    <x v="0"/>
    <n v="0"/>
    <s v="30–39"/>
    <x v="1"/>
    <n v="1"/>
    <s v="Low"/>
  </r>
  <r>
    <n v="39"/>
    <s v="No"/>
    <s v="Travel_Rarely"/>
    <n v="117"/>
    <x v="1"/>
    <n v="10"/>
    <n v="1"/>
    <s v="Medical"/>
    <n v="429"/>
    <n v="3"/>
    <x v="1"/>
    <n v="99"/>
    <n v="3"/>
    <n v="4"/>
    <x v="5"/>
    <x v="3"/>
    <s v="Married"/>
    <n v="17068"/>
    <n v="5355"/>
    <n v="1"/>
    <x v="0"/>
    <n v="14"/>
    <n v="3"/>
    <n v="4"/>
    <n v="0"/>
    <n v="21"/>
    <n v="3"/>
    <n v="3"/>
    <n v="21"/>
    <n v="9"/>
    <n v="11"/>
    <n v="10"/>
    <x v="0"/>
    <n v="0"/>
    <s v="30–39"/>
    <x v="1"/>
    <n v="2"/>
    <s v="Medium"/>
  </r>
  <r>
    <n v="43"/>
    <s v="No"/>
    <s v="Travel_Frequently"/>
    <n v="185"/>
    <x v="1"/>
    <n v="10"/>
    <n v="4"/>
    <s v="Life Sciences"/>
    <n v="430"/>
    <n v="3"/>
    <x v="0"/>
    <n v="33"/>
    <n v="3"/>
    <n v="1"/>
    <x v="2"/>
    <x v="0"/>
    <s v="Single"/>
    <n v="2455"/>
    <n v="10675"/>
    <n v="0"/>
    <x v="1"/>
    <n v="19"/>
    <n v="3"/>
    <n v="1"/>
    <n v="0"/>
    <n v="9"/>
    <n v="5"/>
    <n v="3"/>
    <n v="8"/>
    <n v="7"/>
    <n v="1"/>
    <n v="7"/>
    <x v="0"/>
    <n v="0"/>
    <s v="30–39"/>
    <x v="0"/>
    <n v="0"/>
    <s v="Low"/>
  </r>
  <r>
    <n v="49"/>
    <s v="No"/>
    <s v="Travel_Rarely"/>
    <n v="1091"/>
    <x v="1"/>
    <n v="1"/>
    <n v="2"/>
    <s v="Technical Degree"/>
    <n v="431"/>
    <n v="3"/>
    <x v="0"/>
    <n v="90"/>
    <n v="2"/>
    <n v="4"/>
    <x v="4"/>
    <x v="2"/>
    <s v="Single"/>
    <n v="13964"/>
    <n v="17810"/>
    <n v="7"/>
    <x v="0"/>
    <n v="12"/>
    <n v="3"/>
    <n v="4"/>
    <n v="0"/>
    <n v="25"/>
    <n v="2"/>
    <n v="3"/>
    <n v="7"/>
    <n v="1"/>
    <n v="0"/>
    <n v="7"/>
    <x v="0"/>
    <n v="0"/>
    <s v="40–49"/>
    <x v="2"/>
    <n v="1"/>
    <s v="Low"/>
  </r>
  <r>
    <n v="52"/>
    <s v="Yes"/>
    <s v="Travel_Rarely"/>
    <n v="723"/>
    <x v="1"/>
    <n v="8"/>
    <n v="4"/>
    <s v="Medical"/>
    <n v="433"/>
    <n v="3"/>
    <x v="1"/>
    <n v="85"/>
    <n v="2"/>
    <n v="2"/>
    <x v="1"/>
    <x v="1"/>
    <s v="Married"/>
    <n v="4941"/>
    <n v="17747"/>
    <n v="2"/>
    <x v="1"/>
    <n v="15"/>
    <n v="3"/>
    <n v="1"/>
    <n v="0"/>
    <n v="11"/>
    <n v="3"/>
    <n v="2"/>
    <n v="8"/>
    <n v="2"/>
    <n v="7"/>
    <n v="7"/>
    <x v="0"/>
    <n v="1"/>
    <s v="40–49"/>
    <x v="1"/>
    <n v="1"/>
    <s v="Low"/>
  </r>
  <r>
    <n v="27"/>
    <s v="No"/>
    <s v="Travel_Rarely"/>
    <n v="1220"/>
    <x v="1"/>
    <n v="5"/>
    <n v="3"/>
    <s v="Life Sciences"/>
    <n v="434"/>
    <n v="3"/>
    <x v="0"/>
    <n v="85"/>
    <n v="3"/>
    <n v="1"/>
    <x v="1"/>
    <x v="1"/>
    <s v="Single"/>
    <n v="2478"/>
    <n v="20938"/>
    <n v="1"/>
    <x v="0"/>
    <n v="12"/>
    <n v="3"/>
    <n v="2"/>
    <n v="0"/>
    <n v="4"/>
    <n v="2"/>
    <n v="2"/>
    <n v="4"/>
    <n v="3"/>
    <n v="1"/>
    <n v="2"/>
    <x v="3"/>
    <n v="0"/>
    <s v="50+"/>
    <x v="1"/>
    <n v="2"/>
    <s v="Medium"/>
  </r>
  <r>
    <n v="32"/>
    <s v="No"/>
    <s v="Travel_Rarely"/>
    <n v="588"/>
    <x v="0"/>
    <n v="8"/>
    <n v="2"/>
    <s v="Technical Degree"/>
    <n v="436"/>
    <n v="3"/>
    <x v="0"/>
    <n v="65"/>
    <n v="2"/>
    <n v="2"/>
    <x v="0"/>
    <x v="1"/>
    <s v="Married"/>
    <n v="5228"/>
    <n v="24624"/>
    <n v="1"/>
    <x v="0"/>
    <n v="11"/>
    <n v="3"/>
    <n v="4"/>
    <n v="0"/>
    <n v="13"/>
    <n v="2"/>
    <n v="3"/>
    <n v="13"/>
    <n v="12"/>
    <n v="11"/>
    <n v="9"/>
    <x v="0"/>
    <n v="0"/>
    <s v="&lt;30"/>
    <x v="1"/>
    <n v="2"/>
    <s v="Medium"/>
  </r>
  <r>
    <n v="27"/>
    <s v="No"/>
    <s v="Travel_Rarely"/>
    <n v="1377"/>
    <x v="0"/>
    <n v="2"/>
    <n v="3"/>
    <s v="Life Sciences"/>
    <n v="437"/>
    <n v="4"/>
    <x v="1"/>
    <n v="74"/>
    <n v="3"/>
    <n v="2"/>
    <x v="0"/>
    <x v="2"/>
    <s v="Single"/>
    <n v="4478"/>
    <n v="5242"/>
    <n v="1"/>
    <x v="0"/>
    <n v="11"/>
    <n v="3"/>
    <n v="1"/>
    <n v="0"/>
    <n v="5"/>
    <n v="3"/>
    <n v="3"/>
    <n v="5"/>
    <n v="4"/>
    <n v="0"/>
    <n v="4"/>
    <x v="3"/>
    <n v="0"/>
    <s v="30–39"/>
    <x v="2"/>
    <n v="1"/>
    <s v="Low"/>
  </r>
  <r>
    <n v="31"/>
    <s v="No"/>
    <s v="Travel_Rarely"/>
    <n v="691"/>
    <x v="0"/>
    <n v="7"/>
    <n v="3"/>
    <s v="Marketing"/>
    <n v="438"/>
    <n v="4"/>
    <x v="1"/>
    <n v="73"/>
    <n v="3"/>
    <n v="2"/>
    <x v="0"/>
    <x v="0"/>
    <s v="Divorced"/>
    <n v="7547"/>
    <n v="7143"/>
    <n v="4"/>
    <x v="1"/>
    <n v="12"/>
    <n v="3"/>
    <n v="4"/>
    <n v="3"/>
    <n v="13"/>
    <n v="3"/>
    <n v="3"/>
    <n v="7"/>
    <n v="7"/>
    <n v="1"/>
    <n v="7"/>
    <x v="0"/>
    <n v="0"/>
    <s v="&lt;30"/>
    <x v="0"/>
    <n v="0"/>
    <s v="Low"/>
  </r>
  <r>
    <n v="32"/>
    <s v="No"/>
    <s v="Travel_Rarely"/>
    <n v="1018"/>
    <x v="1"/>
    <n v="2"/>
    <n v="4"/>
    <s v="Medical"/>
    <n v="439"/>
    <n v="1"/>
    <x v="0"/>
    <n v="74"/>
    <n v="4"/>
    <n v="2"/>
    <x v="1"/>
    <x v="0"/>
    <s v="Single"/>
    <n v="5055"/>
    <n v="10557"/>
    <n v="7"/>
    <x v="1"/>
    <n v="16"/>
    <n v="3"/>
    <n v="3"/>
    <n v="0"/>
    <n v="10"/>
    <n v="0"/>
    <n v="2"/>
    <n v="7"/>
    <n v="7"/>
    <n v="0"/>
    <n v="7"/>
    <x v="0"/>
    <n v="0"/>
    <s v="30–39"/>
    <x v="0"/>
    <n v="0"/>
    <s v="Low"/>
  </r>
  <r>
    <n v="28"/>
    <s v="Yes"/>
    <s v="Travel_Rarely"/>
    <n v="1157"/>
    <x v="1"/>
    <n v="2"/>
    <n v="4"/>
    <s v="Medical"/>
    <n v="440"/>
    <n v="1"/>
    <x v="1"/>
    <n v="84"/>
    <n v="1"/>
    <n v="1"/>
    <x v="1"/>
    <x v="0"/>
    <s v="Married"/>
    <n v="3464"/>
    <n v="24737"/>
    <n v="5"/>
    <x v="0"/>
    <n v="13"/>
    <n v="3"/>
    <n v="4"/>
    <n v="0"/>
    <n v="5"/>
    <n v="4"/>
    <n v="2"/>
    <n v="3"/>
    <n v="2"/>
    <n v="2"/>
    <n v="2"/>
    <x v="2"/>
    <n v="1"/>
    <s v="30–39"/>
    <x v="0"/>
    <n v="2"/>
    <s v="Medium"/>
  </r>
  <r>
    <n v="30"/>
    <s v="No"/>
    <s v="Travel_Rarely"/>
    <n v="1275"/>
    <x v="1"/>
    <n v="28"/>
    <n v="2"/>
    <s v="Medical"/>
    <n v="441"/>
    <n v="4"/>
    <x v="0"/>
    <n v="64"/>
    <n v="3"/>
    <n v="2"/>
    <x v="1"/>
    <x v="0"/>
    <s v="Married"/>
    <n v="5775"/>
    <n v="11934"/>
    <n v="1"/>
    <x v="1"/>
    <n v="13"/>
    <n v="3"/>
    <n v="4"/>
    <n v="2"/>
    <n v="11"/>
    <n v="2"/>
    <n v="3"/>
    <n v="10"/>
    <n v="8"/>
    <n v="1"/>
    <n v="9"/>
    <x v="0"/>
    <n v="0"/>
    <s v="&lt;30"/>
    <x v="0"/>
    <n v="0"/>
    <s v="Low"/>
  </r>
  <r>
    <n v="31"/>
    <s v="No"/>
    <s v="Travel_Frequently"/>
    <n v="798"/>
    <x v="1"/>
    <n v="7"/>
    <n v="2"/>
    <s v="Life Sciences"/>
    <n v="442"/>
    <n v="3"/>
    <x v="0"/>
    <n v="48"/>
    <n v="2"/>
    <n v="3"/>
    <x v="3"/>
    <x v="2"/>
    <s v="Married"/>
    <n v="8943"/>
    <n v="14034"/>
    <n v="1"/>
    <x v="1"/>
    <n v="24"/>
    <n v="4"/>
    <n v="1"/>
    <n v="1"/>
    <n v="10"/>
    <n v="2"/>
    <n v="3"/>
    <n v="10"/>
    <n v="9"/>
    <n v="8"/>
    <n v="9"/>
    <x v="0"/>
    <n v="0"/>
    <s v="30–39"/>
    <x v="2"/>
    <n v="0"/>
    <s v="Low"/>
  </r>
  <r>
    <n v="39"/>
    <s v="No"/>
    <s v="Travel_Frequently"/>
    <n v="672"/>
    <x v="1"/>
    <n v="7"/>
    <n v="2"/>
    <s v="Medical"/>
    <n v="444"/>
    <n v="3"/>
    <x v="1"/>
    <n v="54"/>
    <n v="2"/>
    <n v="5"/>
    <x v="5"/>
    <x v="0"/>
    <s v="Married"/>
    <n v="19272"/>
    <n v="21141"/>
    <n v="1"/>
    <x v="1"/>
    <n v="15"/>
    <n v="3"/>
    <n v="1"/>
    <n v="1"/>
    <n v="21"/>
    <n v="2"/>
    <n v="3"/>
    <n v="21"/>
    <n v="9"/>
    <n v="13"/>
    <n v="3"/>
    <x v="0"/>
    <n v="0"/>
    <s v="30–39"/>
    <x v="0"/>
    <n v="0"/>
    <s v="Low"/>
  </r>
  <r>
    <n v="39"/>
    <s v="Yes"/>
    <s v="Travel_Rarely"/>
    <n v="1162"/>
    <x v="0"/>
    <n v="3"/>
    <n v="2"/>
    <s v="Medical"/>
    <n v="445"/>
    <n v="4"/>
    <x v="0"/>
    <n v="41"/>
    <n v="3"/>
    <n v="2"/>
    <x v="0"/>
    <x v="2"/>
    <s v="Married"/>
    <n v="5238"/>
    <n v="17778"/>
    <n v="4"/>
    <x v="0"/>
    <n v="18"/>
    <n v="3"/>
    <n v="1"/>
    <n v="0"/>
    <n v="12"/>
    <n v="3"/>
    <n v="2"/>
    <n v="1"/>
    <n v="0"/>
    <n v="0"/>
    <n v="0"/>
    <x v="2"/>
    <n v="1"/>
    <s v="30–39"/>
    <x v="2"/>
    <n v="2"/>
    <s v="Medium"/>
  </r>
  <r>
    <n v="33"/>
    <s v="No"/>
    <s v="Travel_Frequently"/>
    <n v="508"/>
    <x v="0"/>
    <n v="10"/>
    <n v="3"/>
    <s v="Marketing"/>
    <n v="446"/>
    <n v="2"/>
    <x v="1"/>
    <n v="46"/>
    <n v="2"/>
    <n v="2"/>
    <x v="0"/>
    <x v="0"/>
    <s v="Single"/>
    <n v="4682"/>
    <n v="4317"/>
    <n v="3"/>
    <x v="1"/>
    <n v="14"/>
    <n v="3"/>
    <n v="3"/>
    <n v="0"/>
    <n v="9"/>
    <n v="6"/>
    <n v="2"/>
    <n v="7"/>
    <n v="7"/>
    <n v="0"/>
    <n v="1"/>
    <x v="0"/>
    <n v="0"/>
    <s v="30–39"/>
    <x v="0"/>
    <n v="0"/>
    <s v="Low"/>
  </r>
  <r>
    <n v="47"/>
    <s v="No"/>
    <s v="Travel_Rarely"/>
    <n v="1482"/>
    <x v="1"/>
    <n v="5"/>
    <n v="5"/>
    <s v="Life Sciences"/>
    <n v="447"/>
    <n v="4"/>
    <x v="1"/>
    <n v="42"/>
    <n v="3"/>
    <n v="5"/>
    <x v="7"/>
    <x v="2"/>
    <s v="Married"/>
    <n v="18300"/>
    <n v="16375"/>
    <n v="4"/>
    <x v="1"/>
    <n v="11"/>
    <n v="3"/>
    <n v="2"/>
    <n v="1"/>
    <n v="21"/>
    <n v="2"/>
    <n v="3"/>
    <n v="3"/>
    <n v="2"/>
    <n v="1"/>
    <n v="1"/>
    <x v="2"/>
    <n v="0"/>
    <s v="30–39"/>
    <x v="2"/>
    <n v="1"/>
    <s v="Low"/>
  </r>
  <r>
    <n v="43"/>
    <s v="No"/>
    <s v="Travel_Frequently"/>
    <n v="559"/>
    <x v="1"/>
    <n v="10"/>
    <n v="4"/>
    <s v="Life Sciences"/>
    <n v="448"/>
    <n v="3"/>
    <x v="0"/>
    <n v="82"/>
    <n v="2"/>
    <n v="2"/>
    <x v="2"/>
    <x v="2"/>
    <s v="Divorced"/>
    <n v="5257"/>
    <n v="6227"/>
    <n v="1"/>
    <x v="1"/>
    <n v="11"/>
    <n v="3"/>
    <n v="2"/>
    <n v="1"/>
    <n v="9"/>
    <n v="3"/>
    <n v="4"/>
    <n v="9"/>
    <n v="7"/>
    <n v="0"/>
    <n v="0"/>
    <x v="0"/>
    <n v="0"/>
    <s v="40–49"/>
    <x v="2"/>
    <n v="0"/>
    <s v="Low"/>
  </r>
  <r>
    <n v="27"/>
    <s v="No"/>
    <s v="Non-Travel"/>
    <n v="210"/>
    <x v="0"/>
    <n v="1"/>
    <n v="1"/>
    <s v="Marketing"/>
    <n v="449"/>
    <n v="3"/>
    <x v="1"/>
    <n v="73"/>
    <n v="3"/>
    <n v="2"/>
    <x v="0"/>
    <x v="1"/>
    <s v="Married"/>
    <n v="6349"/>
    <n v="22107"/>
    <n v="0"/>
    <x v="0"/>
    <n v="13"/>
    <n v="3"/>
    <n v="4"/>
    <n v="1"/>
    <n v="6"/>
    <n v="0"/>
    <n v="3"/>
    <n v="5"/>
    <n v="4"/>
    <n v="1"/>
    <n v="4"/>
    <x v="3"/>
    <n v="0"/>
    <s v="40–49"/>
    <x v="1"/>
    <n v="2"/>
    <s v="Medium"/>
  </r>
  <r>
    <n v="54"/>
    <s v="No"/>
    <s v="Travel_Frequently"/>
    <n v="928"/>
    <x v="1"/>
    <n v="20"/>
    <n v="4"/>
    <s v="Life Sciences"/>
    <n v="450"/>
    <n v="4"/>
    <x v="0"/>
    <n v="31"/>
    <n v="3"/>
    <n v="2"/>
    <x v="1"/>
    <x v="2"/>
    <s v="Single"/>
    <n v="4869"/>
    <n v="16885"/>
    <n v="3"/>
    <x v="1"/>
    <n v="12"/>
    <n v="3"/>
    <n v="4"/>
    <n v="0"/>
    <n v="20"/>
    <n v="4"/>
    <n v="2"/>
    <n v="4"/>
    <n v="3"/>
    <n v="0"/>
    <n v="3"/>
    <x v="3"/>
    <n v="0"/>
    <s v="&lt;30"/>
    <x v="2"/>
    <n v="0"/>
    <s v="Low"/>
  </r>
  <r>
    <n v="43"/>
    <s v="No"/>
    <s v="Travel_Rarely"/>
    <n v="1001"/>
    <x v="1"/>
    <n v="7"/>
    <n v="3"/>
    <s v="Life Sciences"/>
    <n v="451"/>
    <n v="3"/>
    <x v="0"/>
    <n v="43"/>
    <n v="3"/>
    <n v="3"/>
    <x v="4"/>
    <x v="3"/>
    <s v="Married"/>
    <n v="9985"/>
    <n v="9262"/>
    <n v="8"/>
    <x v="1"/>
    <n v="16"/>
    <n v="3"/>
    <n v="1"/>
    <n v="1"/>
    <n v="10"/>
    <n v="1"/>
    <n v="2"/>
    <n v="1"/>
    <n v="0"/>
    <n v="0"/>
    <n v="0"/>
    <x v="2"/>
    <n v="0"/>
    <s v="50+"/>
    <x v="1"/>
    <n v="2"/>
    <s v="Medium"/>
  </r>
  <r>
    <n v="45"/>
    <s v="No"/>
    <s v="Travel_Rarely"/>
    <n v="549"/>
    <x v="1"/>
    <n v="8"/>
    <n v="4"/>
    <s v="Other"/>
    <n v="452"/>
    <n v="4"/>
    <x v="1"/>
    <n v="75"/>
    <n v="3"/>
    <n v="2"/>
    <x v="1"/>
    <x v="0"/>
    <s v="Married"/>
    <n v="3697"/>
    <n v="9278"/>
    <n v="9"/>
    <x v="1"/>
    <n v="14"/>
    <n v="3"/>
    <n v="1"/>
    <n v="2"/>
    <n v="12"/>
    <n v="3"/>
    <n v="3"/>
    <n v="10"/>
    <n v="9"/>
    <n v="9"/>
    <n v="8"/>
    <x v="0"/>
    <n v="0"/>
    <s v="40–49"/>
    <x v="0"/>
    <n v="0"/>
    <s v="Low"/>
  </r>
  <r>
    <n v="40"/>
    <s v="No"/>
    <s v="Travel_Rarely"/>
    <n v="1124"/>
    <x v="0"/>
    <n v="1"/>
    <n v="2"/>
    <s v="Medical"/>
    <n v="453"/>
    <n v="2"/>
    <x v="1"/>
    <n v="57"/>
    <n v="1"/>
    <n v="2"/>
    <x v="0"/>
    <x v="0"/>
    <s v="Married"/>
    <n v="7457"/>
    <n v="13273"/>
    <n v="2"/>
    <x v="0"/>
    <n v="22"/>
    <n v="4"/>
    <n v="3"/>
    <n v="3"/>
    <n v="6"/>
    <n v="2"/>
    <n v="2"/>
    <n v="4"/>
    <n v="3"/>
    <n v="0"/>
    <n v="2"/>
    <x v="3"/>
    <n v="0"/>
    <s v="40–49"/>
    <x v="0"/>
    <n v="1"/>
    <s v="Low"/>
  </r>
  <r>
    <n v="29"/>
    <s v="Yes"/>
    <s v="Travel_Rarely"/>
    <n v="318"/>
    <x v="1"/>
    <n v="8"/>
    <n v="4"/>
    <s v="Other"/>
    <n v="454"/>
    <n v="2"/>
    <x v="1"/>
    <n v="77"/>
    <n v="1"/>
    <n v="1"/>
    <x v="2"/>
    <x v="3"/>
    <s v="Married"/>
    <n v="2119"/>
    <n v="4759"/>
    <n v="1"/>
    <x v="0"/>
    <n v="11"/>
    <n v="3"/>
    <n v="4"/>
    <n v="0"/>
    <n v="7"/>
    <n v="4"/>
    <n v="2"/>
    <n v="7"/>
    <n v="7"/>
    <n v="0"/>
    <n v="7"/>
    <x v="0"/>
    <n v="1"/>
    <s v="40–49"/>
    <x v="1"/>
    <n v="2"/>
    <s v="Medium"/>
  </r>
  <r>
    <n v="29"/>
    <s v="No"/>
    <s v="Travel_Rarely"/>
    <n v="738"/>
    <x v="1"/>
    <n v="9"/>
    <n v="5"/>
    <s v="Other"/>
    <n v="455"/>
    <n v="2"/>
    <x v="1"/>
    <n v="30"/>
    <n v="2"/>
    <n v="1"/>
    <x v="2"/>
    <x v="0"/>
    <s v="Single"/>
    <n v="3983"/>
    <n v="7621"/>
    <n v="0"/>
    <x v="1"/>
    <n v="17"/>
    <n v="3"/>
    <n v="3"/>
    <n v="0"/>
    <n v="4"/>
    <n v="2"/>
    <n v="3"/>
    <n v="3"/>
    <n v="2"/>
    <n v="2"/>
    <n v="2"/>
    <x v="2"/>
    <n v="0"/>
    <s v="&lt;30"/>
    <x v="0"/>
    <n v="1"/>
    <s v="Low"/>
  </r>
  <r>
    <n v="30"/>
    <s v="No"/>
    <s v="Travel_Rarely"/>
    <n v="570"/>
    <x v="0"/>
    <n v="5"/>
    <n v="3"/>
    <s v="Marketing"/>
    <n v="456"/>
    <n v="4"/>
    <x v="0"/>
    <n v="30"/>
    <n v="2"/>
    <n v="2"/>
    <x v="0"/>
    <x v="2"/>
    <s v="Divorced"/>
    <n v="6118"/>
    <n v="5431"/>
    <n v="1"/>
    <x v="1"/>
    <n v="13"/>
    <n v="3"/>
    <n v="3"/>
    <n v="3"/>
    <n v="10"/>
    <n v="2"/>
    <n v="3"/>
    <n v="10"/>
    <n v="9"/>
    <n v="1"/>
    <n v="2"/>
    <x v="0"/>
    <n v="0"/>
    <s v="&lt;30"/>
    <x v="2"/>
    <n v="0"/>
    <s v="Low"/>
  </r>
  <r>
    <n v="27"/>
    <s v="No"/>
    <s v="Travel_Rarely"/>
    <n v="1130"/>
    <x v="0"/>
    <n v="8"/>
    <n v="4"/>
    <s v="Marketing"/>
    <n v="458"/>
    <n v="2"/>
    <x v="0"/>
    <n v="56"/>
    <n v="3"/>
    <n v="2"/>
    <x v="0"/>
    <x v="1"/>
    <s v="Married"/>
    <n v="6214"/>
    <n v="3415"/>
    <n v="1"/>
    <x v="1"/>
    <n v="18"/>
    <n v="3"/>
    <n v="1"/>
    <n v="1"/>
    <n v="8"/>
    <n v="3"/>
    <n v="3"/>
    <n v="8"/>
    <n v="7"/>
    <n v="0"/>
    <n v="7"/>
    <x v="0"/>
    <n v="0"/>
    <s v="30–39"/>
    <x v="1"/>
    <n v="1"/>
    <s v="Low"/>
  </r>
  <r>
    <n v="37"/>
    <s v="No"/>
    <s v="Travel_Rarely"/>
    <n v="1192"/>
    <x v="1"/>
    <n v="5"/>
    <n v="2"/>
    <s v="Medical"/>
    <n v="460"/>
    <n v="4"/>
    <x v="1"/>
    <n v="61"/>
    <n v="3"/>
    <n v="2"/>
    <x v="3"/>
    <x v="0"/>
    <s v="Divorced"/>
    <n v="6347"/>
    <n v="23177"/>
    <n v="7"/>
    <x v="1"/>
    <n v="16"/>
    <n v="3"/>
    <n v="3"/>
    <n v="2"/>
    <n v="8"/>
    <n v="2"/>
    <n v="2"/>
    <n v="6"/>
    <n v="2"/>
    <n v="0"/>
    <n v="4"/>
    <x v="0"/>
    <n v="0"/>
    <s v="&lt;30"/>
    <x v="0"/>
    <n v="0"/>
    <s v="Low"/>
  </r>
  <r>
    <n v="38"/>
    <s v="No"/>
    <s v="Travel_Rarely"/>
    <n v="343"/>
    <x v="1"/>
    <n v="15"/>
    <n v="2"/>
    <s v="Life Sciences"/>
    <n v="461"/>
    <n v="3"/>
    <x v="1"/>
    <n v="92"/>
    <n v="2"/>
    <n v="3"/>
    <x v="7"/>
    <x v="0"/>
    <s v="Divorced"/>
    <n v="11510"/>
    <n v="15682"/>
    <n v="0"/>
    <x v="0"/>
    <n v="14"/>
    <n v="3"/>
    <n v="2"/>
    <n v="1"/>
    <n v="12"/>
    <n v="3"/>
    <n v="3"/>
    <n v="11"/>
    <n v="10"/>
    <n v="2"/>
    <n v="9"/>
    <x v="0"/>
    <n v="0"/>
    <s v="30–39"/>
    <x v="0"/>
    <n v="1"/>
    <s v="Low"/>
  </r>
  <r>
    <n v="31"/>
    <s v="No"/>
    <s v="Travel_Rarely"/>
    <n v="1232"/>
    <x v="1"/>
    <n v="7"/>
    <n v="4"/>
    <s v="Medical"/>
    <n v="462"/>
    <n v="3"/>
    <x v="0"/>
    <n v="39"/>
    <n v="3"/>
    <n v="3"/>
    <x v="3"/>
    <x v="0"/>
    <s v="Single"/>
    <n v="7143"/>
    <n v="25713"/>
    <n v="1"/>
    <x v="0"/>
    <n v="14"/>
    <n v="3"/>
    <n v="3"/>
    <n v="0"/>
    <n v="11"/>
    <n v="2"/>
    <n v="2"/>
    <n v="11"/>
    <n v="9"/>
    <n v="4"/>
    <n v="10"/>
    <x v="0"/>
    <n v="0"/>
    <s v="30–39"/>
    <x v="0"/>
    <n v="1"/>
    <s v="Low"/>
  </r>
  <r>
    <n v="29"/>
    <s v="No"/>
    <s v="Travel_Rarely"/>
    <n v="144"/>
    <x v="0"/>
    <n v="10"/>
    <n v="1"/>
    <s v="Marketing"/>
    <n v="463"/>
    <n v="4"/>
    <x v="0"/>
    <n v="39"/>
    <n v="2"/>
    <n v="2"/>
    <x v="0"/>
    <x v="1"/>
    <s v="Divorced"/>
    <n v="8268"/>
    <n v="11866"/>
    <n v="1"/>
    <x v="0"/>
    <n v="14"/>
    <n v="3"/>
    <n v="1"/>
    <n v="2"/>
    <n v="7"/>
    <n v="2"/>
    <n v="3"/>
    <n v="7"/>
    <n v="7"/>
    <n v="1"/>
    <n v="7"/>
    <x v="0"/>
    <n v="0"/>
    <s v="30–39"/>
    <x v="1"/>
    <n v="2"/>
    <s v="Medium"/>
  </r>
  <r>
    <n v="35"/>
    <s v="No"/>
    <s v="Travel_Rarely"/>
    <n v="1296"/>
    <x v="1"/>
    <n v="5"/>
    <n v="4"/>
    <s v="Technical Degree"/>
    <n v="464"/>
    <n v="3"/>
    <x v="1"/>
    <n v="62"/>
    <n v="3"/>
    <n v="3"/>
    <x v="3"/>
    <x v="1"/>
    <s v="Single"/>
    <n v="8095"/>
    <n v="18264"/>
    <n v="0"/>
    <x v="1"/>
    <n v="13"/>
    <n v="3"/>
    <n v="4"/>
    <n v="0"/>
    <n v="17"/>
    <n v="5"/>
    <n v="3"/>
    <n v="16"/>
    <n v="6"/>
    <n v="0"/>
    <n v="13"/>
    <x v="0"/>
    <n v="0"/>
    <s v="&lt;30"/>
    <x v="1"/>
    <n v="1"/>
    <s v="Low"/>
  </r>
  <r>
    <n v="23"/>
    <s v="No"/>
    <s v="Travel_Rarely"/>
    <n v="1309"/>
    <x v="1"/>
    <n v="26"/>
    <n v="1"/>
    <s v="Life Sciences"/>
    <n v="465"/>
    <n v="3"/>
    <x v="1"/>
    <n v="83"/>
    <n v="3"/>
    <n v="1"/>
    <x v="1"/>
    <x v="0"/>
    <s v="Divorced"/>
    <n v="2904"/>
    <n v="16092"/>
    <n v="1"/>
    <x v="1"/>
    <n v="12"/>
    <n v="3"/>
    <n v="3"/>
    <n v="2"/>
    <n v="4"/>
    <n v="2"/>
    <n v="2"/>
    <n v="4"/>
    <n v="2"/>
    <n v="0"/>
    <n v="2"/>
    <x v="3"/>
    <n v="0"/>
    <s v="30–39"/>
    <x v="0"/>
    <n v="0"/>
    <s v="Low"/>
  </r>
  <r>
    <n v="41"/>
    <s v="No"/>
    <s v="Travel_Rarely"/>
    <n v="483"/>
    <x v="1"/>
    <n v="6"/>
    <n v="3"/>
    <s v="Medical"/>
    <n v="466"/>
    <n v="4"/>
    <x v="1"/>
    <n v="95"/>
    <n v="2"/>
    <n v="2"/>
    <x v="3"/>
    <x v="1"/>
    <s v="Single"/>
    <n v="6032"/>
    <n v="10110"/>
    <n v="6"/>
    <x v="0"/>
    <n v="15"/>
    <n v="3"/>
    <n v="4"/>
    <n v="0"/>
    <n v="8"/>
    <n v="3"/>
    <n v="3"/>
    <n v="5"/>
    <n v="4"/>
    <n v="1"/>
    <n v="2"/>
    <x v="3"/>
    <n v="0"/>
    <s v="&lt;30"/>
    <x v="1"/>
    <n v="2"/>
    <s v="Medium"/>
  </r>
  <r>
    <n v="47"/>
    <s v="No"/>
    <s v="Travel_Frequently"/>
    <n v="1309"/>
    <x v="0"/>
    <n v="4"/>
    <n v="1"/>
    <s v="Medical"/>
    <n v="467"/>
    <n v="2"/>
    <x v="1"/>
    <n v="99"/>
    <n v="3"/>
    <n v="2"/>
    <x v="6"/>
    <x v="2"/>
    <s v="Single"/>
    <n v="2976"/>
    <n v="25751"/>
    <n v="3"/>
    <x v="1"/>
    <n v="19"/>
    <n v="3"/>
    <n v="1"/>
    <n v="0"/>
    <n v="5"/>
    <n v="3"/>
    <n v="3"/>
    <n v="0"/>
    <n v="0"/>
    <n v="0"/>
    <n v="0"/>
    <x v="1"/>
    <n v="0"/>
    <s v="40–49"/>
    <x v="2"/>
    <n v="1"/>
    <s v="Low"/>
  </r>
  <r>
    <n v="42"/>
    <s v="No"/>
    <s v="Travel_Rarely"/>
    <n v="810"/>
    <x v="1"/>
    <n v="23"/>
    <n v="5"/>
    <s v="Life Sciences"/>
    <n v="468"/>
    <n v="1"/>
    <x v="0"/>
    <n v="44"/>
    <n v="3"/>
    <n v="4"/>
    <x v="7"/>
    <x v="0"/>
    <s v="Single"/>
    <n v="15992"/>
    <n v="15901"/>
    <n v="2"/>
    <x v="1"/>
    <n v="14"/>
    <n v="3"/>
    <n v="2"/>
    <n v="0"/>
    <n v="16"/>
    <n v="2"/>
    <n v="3"/>
    <n v="1"/>
    <n v="0"/>
    <n v="0"/>
    <n v="0"/>
    <x v="2"/>
    <n v="0"/>
    <s v="40–49"/>
    <x v="0"/>
    <n v="1"/>
    <s v="Low"/>
  </r>
  <r>
    <n v="29"/>
    <s v="No"/>
    <s v="Non-Travel"/>
    <n v="746"/>
    <x v="0"/>
    <n v="2"/>
    <n v="3"/>
    <s v="Life Sciences"/>
    <n v="469"/>
    <n v="4"/>
    <x v="1"/>
    <n v="61"/>
    <n v="3"/>
    <n v="2"/>
    <x v="0"/>
    <x v="2"/>
    <s v="Married"/>
    <n v="4649"/>
    <n v="16928"/>
    <n v="1"/>
    <x v="1"/>
    <n v="14"/>
    <n v="3"/>
    <n v="1"/>
    <n v="1"/>
    <n v="4"/>
    <n v="3"/>
    <n v="2"/>
    <n v="4"/>
    <n v="3"/>
    <n v="0"/>
    <n v="2"/>
    <x v="3"/>
    <n v="0"/>
    <s v="40–49"/>
    <x v="2"/>
    <n v="0"/>
    <s v="Low"/>
  </r>
  <r>
    <n v="42"/>
    <s v="No"/>
    <s v="Travel_Rarely"/>
    <n v="544"/>
    <x v="2"/>
    <n v="2"/>
    <n v="1"/>
    <s v="Technical Degree"/>
    <n v="470"/>
    <n v="3"/>
    <x v="1"/>
    <n v="52"/>
    <n v="3"/>
    <n v="1"/>
    <x v="8"/>
    <x v="2"/>
    <s v="Divorced"/>
    <n v="2696"/>
    <n v="24017"/>
    <n v="0"/>
    <x v="0"/>
    <n v="11"/>
    <n v="3"/>
    <n v="3"/>
    <n v="1"/>
    <n v="4"/>
    <n v="5"/>
    <n v="3"/>
    <n v="3"/>
    <n v="2"/>
    <n v="1"/>
    <n v="0"/>
    <x v="2"/>
    <n v="0"/>
    <s v="&lt;30"/>
    <x v="2"/>
    <n v="2"/>
    <s v="Medium"/>
  </r>
  <r>
    <n v="32"/>
    <s v="No"/>
    <s v="Travel_Rarely"/>
    <n v="1062"/>
    <x v="1"/>
    <n v="2"/>
    <n v="3"/>
    <s v="Medical"/>
    <n v="471"/>
    <n v="3"/>
    <x v="0"/>
    <n v="75"/>
    <n v="3"/>
    <n v="1"/>
    <x v="2"/>
    <x v="1"/>
    <s v="Married"/>
    <n v="2370"/>
    <n v="3956"/>
    <n v="1"/>
    <x v="1"/>
    <n v="13"/>
    <n v="3"/>
    <n v="3"/>
    <n v="1"/>
    <n v="8"/>
    <n v="4"/>
    <n v="3"/>
    <n v="8"/>
    <n v="0"/>
    <n v="0"/>
    <n v="7"/>
    <x v="0"/>
    <n v="0"/>
    <s v="40–49"/>
    <x v="1"/>
    <n v="1"/>
    <s v="Low"/>
  </r>
  <r>
    <n v="48"/>
    <s v="No"/>
    <s v="Travel_Rarely"/>
    <n v="530"/>
    <x v="0"/>
    <n v="29"/>
    <n v="1"/>
    <s v="Medical"/>
    <n v="473"/>
    <n v="1"/>
    <x v="0"/>
    <n v="91"/>
    <n v="3"/>
    <n v="3"/>
    <x v="5"/>
    <x v="2"/>
    <s v="Married"/>
    <n v="12504"/>
    <n v="23978"/>
    <n v="3"/>
    <x v="1"/>
    <n v="21"/>
    <n v="4"/>
    <n v="2"/>
    <n v="1"/>
    <n v="15"/>
    <n v="3"/>
    <n v="1"/>
    <n v="0"/>
    <n v="0"/>
    <n v="0"/>
    <n v="0"/>
    <x v="1"/>
    <n v="0"/>
    <s v="30–39"/>
    <x v="2"/>
    <n v="1"/>
    <s v="Low"/>
  </r>
  <r>
    <n v="37"/>
    <s v="No"/>
    <s v="Travel_Rarely"/>
    <n v="1319"/>
    <x v="1"/>
    <n v="6"/>
    <n v="3"/>
    <s v="Medical"/>
    <n v="474"/>
    <n v="3"/>
    <x v="1"/>
    <n v="51"/>
    <n v="4"/>
    <n v="2"/>
    <x v="1"/>
    <x v="3"/>
    <s v="Divorced"/>
    <n v="5974"/>
    <n v="17001"/>
    <n v="4"/>
    <x v="0"/>
    <n v="13"/>
    <n v="3"/>
    <n v="1"/>
    <n v="2"/>
    <n v="13"/>
    <n v="2"/>
    <n v="3"/>
    <n v="7"/>
    <n v="7"/>
    <n v="6"/>
    <n v="7"/>
    <x v="0"/>
    <n v="0"/>
    <s v="40–49"/>
    <x v="1"/>
    <n v="2"/>
    <s v="Medium"/>
  </r>
  <r>
    <n v="30"/>
    <s v="No"/>
    <s v="Non-Travel"/>
    <n v="641"/>
    <x v="0"/>
    <n v="25"/>
    <n v="2"/>
    <s v="Technical Degree"/>
    <n v="475"/>
    <n v="4"/>
    <x v="0"/>
    <n v="85"/>
    <n v="3"/>
    <n v="2"/>
    <x v="0"/>
    <x v="2"/>
    <s v="Married"/>
    <n v="4736"/>
    <n v="6069"/>
    <n v="7"/>
    <x v="0"/>
    <n v="12"/>
    <n v="3"/>
    <n v="2"/>
    <n v="1"/>
    <n v="4"/>
    <n v="2"/>
    <n v="4"/>
    <n v="2"/>
    <n v="2"/>
    <n v="2"/>
    <n v="2"/>
    <x v="2"/>
    <n v="0"/>
    <s v="30–39"/>
    <x v="2"/>
    <n v="2"/>
    <s v="Medium"/>
  </r>
  <r>
    <n v="26"/>
    <s v="No"/>
    <s v="Travel_Rarely"/>
    <n v="933"/>
    <x v="0"/>
    <n v="1"/>
    <n v="3"/>
    <s v="Life Sciences"/>
    <n v="476"/>
    <n v="3"/>
    <x v="1"/>
    <n v="57"/>
    <n v="3"/>
    <n v="2"/>
    <x v="0"/>
    <x v="2"/>
    <s v="Married"/>
    <n v="5296"/>
    <n v="20156"/>
    <n v="1"/>
    <x v="1"/>
    <n v="17"/>
    <n v="3"/>
    <n v="2"/>
    <n v="1"/>
    <n v="8"/>
    <n v="3"/>
    <n v="3"/>
    <n v="8"/>
    <n v="7"/>
    <n v="7"/>
    <n v="7"/>
    <x v="0"/>
    <n v="0"/>
    <s v="30–39"/>
    <x v="2"/>
    <n v="0"/>
    <s v="Low"/>
  </r>
  <r>
    <n v="42"/>
    <s v="No"/>
    <s v="Travel_Rarely"/>
    <n v="1332"/>
    <x v="1"/>
    <n v="2"/>
    <n v="4"/>
    <s v="Other"/>
    <n v="477"/>
    <n v="1"/>
    <x v="1"/>
    <n v="98"/>
    <n v="2"/>
    <n v="2"/>
    <x v="4"/>
    <x v="0"/>
    <s v="Single"/>
    <n v="6781"/>
    <n v="17078"/>
    <n v="3"/>
    <x v="1"/>
    <n v="23"/>
    <n v="4"/>
    <n v="2"/>
    <n v="0"/>
    <n v="14"/>
    <n v="6"/>
    <n v="3"/>
    <n v="1"/>
    <n v="0"/>
    <n v="0"/>
    <n v="0"/>
    <x v="2"/>
    <n v="0"/>
    <s v="&lt;30"/>
    <x v="0"/>
    <n v="1"/>
    <s v="Low"/>
  </r>
  <r>
    <n v="21"/>
    <s v="Yes"/>
    <s v="Travel_Frequently"/>
    <n v="756"/>
    <x v="0"/>
    <n v="1"/>
    <n v="1"/>
    <s v="Technical Degree"/>
    <n v="478"/>
    <n v="1"/>
    <x v="0"/>
    <n v="99"/>
    <n v="2"/>
    <n v="1"/>
    <x v="6"/>
    <x v="1"/>
    <s v="Single"/>
    <n v="2174"/>
    <n v="9150"/>
    <n v="1"/>
    <x v="0"/>
    <n v="11"/>
    <n v="3"/>
    <n v="3"/>
    <n v="0"/>
    <n v="3"/>
    <n v="3"/>
    <n v="3"/>
    <n v="3"/>
    <n v="2"/>
    <n v="1"/>
    <n v="2"/>
    <x v="2"/>
    <n v="1"/>
    <s v="40–49"/>
    <x v="1"/>
    <n v="3"/>
    <s v="High"/>
  </r>
  <r>
    <n v="36"/>
    <s v="No"/>
    <s v="Non-Travel"/>
    <n v="845"/>
    <x v="0"/>
    <n v="1"/>
    <n v="5"/>
    <s v="Medical"/>
    <n v="479"/>
    <n v="4"/>
    <x v="0"/>
    <n v="45"/>
    <n v="3"/>
    <n v="2"/>
    <x v="0"/>
    <x v="0"/>
    <s v="Single"/>
    <n v="6653"/>
    <n v="15276"/>
    <n v="4"/>
    <x v="1"/>
    <n v="15"/>
    <n v="3"/>
    <n v="2"/>
    <n v="0"/>
    <n v="7"/>
    <n v="6"/>
    <n v="3"/>
    <n v="1"/>
    <n v="0"/>
    <n v="0"/>
    <n v="0"/>
    <x v="2"/>
    <n v="0"/>
    <s v="&lt;30"/>
    <x v="0"/>
    <n v="1"/>
    <s v="Low"/>
  </r>
  <r>
    <n v="36"/>
    <s v="No"/>
    <s v="Travel_Frequently"/>
    <n v="541"/>
    <x v="0"/>
    <n v="3"/>
    <n v="4"/>
    <s v="Medical"/>
    <n v="481"/>
    <n v="1"/>
    <x v="1"/>
    <n v="48"/>
    <n v="2"/>
    <n v="3"/>
    <x v="0"/>
    <x v="0"/>
    <s v="Married"/>
    <n v="9699"/>
    <n v="7246"/>
    <n v="4"/>
    <x v="1"/>
    <n v="11"/>
    <n v="3"/>
    <n v="1"/>
    <n v="1"/>
    <n v="16"/>
    <n v="2"/>
    <n v="3"/>
    <n v="13"/>
    <n v="9"/>
    <n v="1"/>
    <n v="12"/>
    <x v="0"/>
    <n v="0"/>
    <s v="30–39"/>
    <x v="0"/>
    <n v="0"/>
    <s v="Low"/>
  </r>
  <r>
    <n v="57"/>
    <s v="No"/>
    <s v="Travel_Rarely"/>
    <n v="593"/>
    <x v="1"/>
    <n v="1"/>
    <n v="4"/>
    <s v="Medical"/>
    <n v="482"/>
    <n v="4"/>
    <x v="1"/>
    <n v="88"/>
    <n v="3"/>
    <n v="2"/>
    <x v="4"/>
    <x v="2"/>
    <s v="Married"/>
    <n v="6755"/>
    <n v="2967"/>
    <n v="2"/>
    <x v="1"/>
    <n v="11"/>
    <n v="3"/>
    <n v="3"/>
    <n v="0"/>
    <n v="15"/>
    <n v="2"/>
    <n v="3"/>
    <n v="3"/>
    <n v="2"/>
    <n v="1"/>
    <n v="2"/>
    <x v="2"/>
    <n v="0"/>
    <s v="30–39"/>
    <x v="2"/>
    <n v="1"/>
    <s v="Low"/>
  </r>
  <r>
    <n v="40"/>
    <s v="No"/>
    <s v="Travel_Rarely"/>
    <n v="1171"/>
    <x v="1"/>
    <n v="10"/>
    <n v="4"/>
    <s v="Life Sciences"/>
    <n v="483"/>
    <n v="4"/>
    <x v="0"/>
    <n v="46"/>
    <n v="4"/>
    <n v="1"/>
    <x v="2"/>
    <x v="2"/>
    <s v="Married"/>
    <n v="2213"/>
    <n v="22495"/>
    <n v="3"/>
    <x v="0"/>
    <n v="13"/>
    <n v="3"/>
    <n v="3"/>
    <n v="1"/>
    <n v="10"/>
    <n v="3"/>
    <n v="3"/>
    <n v="7"/>
    <n v="7"/>
    <n v="1"/>
    <n v="7"/>
    <x v="0"/>
    <n v="0"/>
    <s v="50+"/>
    <x v="2"/>
    <n v="1"/>
    <s v="Low"/>
  </r>
  <r>
    <n v="21"/>
    <s v="No"/>
    <s v="Non-Travel"/>
    <n v="895"/>
    <x v="0"/>
    <n v="9"/>
    <n v="2"/>
    <s v="Medical"/>
    <n v="484"/>
    <n v="1"/>
    <x v="1"/>
    <n v="39"/>
    <n v="3"/>
    <n v="1"/>
    <x v="6"/>
    <x v="0"/>
    <s v="Single"/>
    <n v="2610"/>
    <n v="2851"/>
    <n v="1"/>
    <x v="1"/>
    <n v="24"/>
    <n v="4"/>
    <n v="3"/>
    <n v="0"/>
    <n v="3"/>
    <n v="3"/>
    <n v="2"/>
    <n v="3"/>
    <n v="2"/>
    <n v="2"/>
    <n v="2"/>
    <x v="2"/>
    <n v="0"/>
    <s v="40–49"/>
    <x v="0"/>
    <n v="1"/>
    <s v="Low"/>
  </r>
  <r>
    <n v="33"/>
    <s v="Yes"/>
    <s v="Travel_Rarely"/>
    <n v="350"/>
    <x v="0"/>
    <n v="5"/>
    <n v="3"/>
    <s v="Marketing"/>
    <n v="485"/>
    <n v="4"/>
    <x v="0"/>
    <n v="34"/>
    <n v="3"/>
    <n v="1"/>
    <x v="6"/>
    <x v="2"/>
    <s v="Single"/>
    <n v="2851"/>
    <n v="9150"/>
    <n v="1"/>
    <x v="0"/>
    <n v="13"/>
    <n v="3"/>
    <n v="2"/>
    <n v="0"/>
    <n v="1"/>
    <n v="2"/>
    <n v="3"/>
    <n v="1"/>
    <n v="0"/>
    <n v="0"/>
    <n v="0"/>
    <x v="2"/>
    <n v="1"/>
    <s v="&lt;30"/>
    <x v="2"/>
    <n v="2"/>
    <s v="Medium"/>
  </r>
  <r>
    <n v="37"/>
    <s v="No"/>
    <s v="Travel_Rarely"/>
    <n v="921"/>
    <x v="1"/>
    <n v="10"/>
    <n v="3"/>
    <s v="Medical"/>
    <n v="486"/>
    <n v="3"/>
    <x v="0"/>
    <n v="98"/>
    <n v="3"/>
    <n v="1"/>
    <x v="2"/>
    <x v="3"/>
    <s v="Married"/>
    <n v="3452"/>
    <n v="17663"/>
    <n v="6"/>
    <x v="1"/>
    <n v="20"/>
    <n v="4"/>
    <n v="2"/>
    <n v="1"/>
    <n v="17"/>
    <n v="3"/>
    <n v="3"/>
    <n v="5"/>
    <n v="4"/>
    <n v="0"/>
    <n v="3"/>
    <x v="3"/>
    <n v="0"/>
    <s v="30–39"/>
    <x v="1"/>
    <n v="1"/>
    <s v="Low"/>
  </r>
  <r>
    <n v="46"/>
    <s v="No"/>
    <s v="Non-Travel"/>
    <n v="1144"/>
    <x v="1"/>
    <n v="7"/>
    <n v="4"/>
    <s v="Medical"/>
    <n v="487"/>
    <n v="3"/>
    <x v="0"/>
    <n v="30"/>
    <n v="3"/>
    <n v="2"/>
    <x v="3"/>
    <x v="2"/>
    <s v="Married"/>
    <n v="5258"/>
    <n v="16044"/>
    <n v="2"/>
    <x v="1"/>
    <n v="14"/>
    <n v="3"/>
    <n v="3"/>
    <n v="0"/>
    <n v="7"/>
    <n v="2"/>
    <n v="4"/>
    <n v="1"/>
    <n v="0"/>
    <n v="0"/>
    <n v="0"/>
    <x v="2"/>
    <n v="0"/>
    <s v="30–39"/>
    <x v="2"/>
    <n v="1"/>
    <s v="Low"/>
  </r>
  <r>
    <n v="41"/>
    <s v="Yes"/>
    <s v="Travel_Frequently"/>
    <n v="143"/>
    <x v="0"/>
    <n v="4"/>
    <n v="3"/>
    <s v="Marketing"/>
    <n v="488"/>
    <n v="1"/>
    <x v="1"/>
    <n v="56"/>
    <n v="3"/>
    <n v="2"/>
    <x v="0"/>
    <x v="1"/>
    <s v="Single"/>
    <n v="9355"/>
    <n v="9558"/>
    <n v="1"/>
    <x v="1"/>
    <n v="18"/>
    <n v="3"/>
    <n v="3"/>
    <n v="0"/>
    <n v="8"/>
    <n v="5"/>
    <n v="3"/>
    <n v="8"/>
    <n v="7"/>
    <n v="7"/>
    <n v="7"/>
    <x v="0"/>
    <n v="1"/>
    <s v="40–49"/>
    <x v="1"/>
    <n v="1"/>
    <s v="Low"/>
  </r>
  <r>
    <n v="50"/>
    <s v="No"/>
    <s v="Travel_Rarely"/>
    <n v="1046"/>
    <x v="1"/>
    <n v="10"/>
    <n v="3"/>
    <s v="Technical Degree"/>
    <n v="491"/>
    <n v="4"/>
    <x v="1"/>
    <n v="100"/>
    <n v="2"/>
    <n v="3"/>
    <x v="4"/>
    <x v="0"/>
    <s v="Single"/>
    <n v="10496"/>
    <n v="2755"/>
    <n v="6"/>
    <x v="1"/>
    <n v="15"/>
    <n v="3"/>
    <n v="4"/>
    <n v="0"/>
    <n v="20"/>
    <n v="2"/>
    <n v="3"/>
    <n v="4"/>
    <n v="3"/>
    <n v="1"/>
    <n v="3"/>
    <x v="3"/>
    <n v="0"/>
    <s v="40–49"/>
    <x v="0"/>
    <n v="0"/>
    <s v="Low"/>
  </r>
  <r>
    <n v="40"/>
    <s v="Yes"/>
    <s v="Travel_Rarely"/>
    <n v="575"/>
    <x v="0"/>
    <n v="22"/>
    <n v="2"/>
    <s v="Marketing"/>
    <n v="492"/>
    <n v="3"/>
    <x v="1"/>
    <n v="68"/>
    <n v="2"/>
    <n v="2"/>
    <x v="0"/>
    <x v="2"/>
    <s v="Married"/>
    <n v="6380"/>
    <n v="6110"/>
    <n v="2"/>
    <x v="0"/>
    <n v="12"/>
    <n v="3"/>
    <n v="1"/>
    <n v="2"/>
    <n v="8"/>
    <n v="6"/>
    <n v="3"/>
    <n v="6"/>
    <n v="4"/>
    <n v="1"/>
    <n v="0"/>
    <x v="0"/>
    <n v="1"/>
    <s v="50+"/>
    <x v="2"/>
    <n v="1"/>
    <s v="Low"/>
  </r>
  <r>
    <n v="31"/>
    <s v="No"/>
    <s v="Travel_Rarely"/>
    <n v="408"/>
    <x v="1"/>
    <n v="9"/>
    <n v="4"/>
    <s v="Life Sciences"/>
    <n v="493"/>
    <n v="3"/>
    <x v="1"/>
    <n v="42"/>
    <n v="2"/>
    <n v="1"/>
    <x v="1"/>
    <x v="1"/>
    <s v="Single"/>
    <n v="2657"/>
    <n v="7551"/>
    <n v="0"/>
    <x v="0"/>
    <n v="16"/>
    <n v="3"/>
    <n v="4"/>
    <n v="0"/>
    <n v="3"/>
    <n v="5"/>
    <n v="3"/>
    <n v="2"/>
    <n v="2"/>
    <n v="2"/>
    <n v="2"/>
    <x v="2"/>
    <n v="0"/>
    <s v="40–49"/>
    <x v="1"/>
    <n v="3"/>
    <s v="High"/>
  </r>
  <r>
    <n v="21"/>
    <s v="Yes"/>
    <s v="Travel_Rarely"/>
    <n v="156"/>
    <x v="0"/>
    <n v="12"/>
    <n v="3"/>
    <s v="Life Sciences"/>
    <n v="494"/>
    <n v="3"/>
    <x v="0"/>
    <n v="90"/>
    <n v="4"/>
    <n v="1"/>
    <x v="6"/>
    <x v="1"/>
    <s v="Single"/>
    <n v="2716"/>
    <n v="25422"/>
    <n v="1"/>
    <x v="1"/>
    <n v="15"/>
    <n v="3"/>
    <n v="4"/>
    <n v="0"/>
    <n v="1"/>
    <n v="0"/>
    <n v="3"/>
    <n v="1"/>
    <n v="0"/>
    <n v="0"/>
    <n v="0"/>
    <x v="2"/>
    <n v="1"/>
    <s v="30–39"/>
    <x v="1"/>
    <n v="2"/>
    <s v="Medium"/>
  </r>
  <r>
    <n v="29"/>
    <s v="No"/>
    <s v="Travel_Rarely"/>
    <n v="1283"/>
    <x v="1"/>
    <n v="23"/>
    <n v="3"/>
    <s v="Life Sciences"/>
    <n v="495"/>
    <n v="4"/>
    <x v="1"/>
    <n v="54"/>
    <n v="3"/>
    <n v="1"/>
    <x v="1"/>
    <x v="0"/>
    <s v="Single"/>
    <n v="2201"/>
    <n v="18168"/>
    <n v="9"/>
    <x v="1"/>
    <n v="16"/>
    <n v="3"/>
    <n v="4"/>
    <n v="0"/>
    <n v="6"/>
    <n v="4"/>
    <n v="3"/>
    <n v="3"/>
    <n v="2"/>
    <n v="1"/>
    <n v="2"/>
    <x v="2"/>
    <n v="0"/>
    <s v="&lt;30"/>
    <x v="0"/>
    <n v="1"/>
    <s v="Low"/>
  </r>
  <r>
    <n v="35"/>
    <s v="No"/>
    <s v="Travel_Rarely"/>
    <n v="755"/>
    <x v="1"/>
    <n v="9"/>
    <n v="4"/>
    <s v="Life Sciences"/>
    <n v="496"/>
    <n v="3"/>
    <x v="1"/>
    <n v="97"/>
    <n v="2"/>
    <n v="2"/>
    <x v="4"/>
    <x v="1"/>
    <s v="Single"/>
    <n v="6540"/>
    <n v="19394"/>
    <n v="9"/>
    <x v="1"/>
    <n v="19"/>
    <n v="3"/>
    <n v="3"/>
    <n v="0"/>
    <n v="10"/>
    <n v="5"/>
    <n v="3"/>
    <n v="1"/>
    <n v="1"/>
    <n v="0"/>
    <n v="0"/>
    <x v="2"/>
    <n v="0"/>
    <s v="&lt;30"/>
    <x v="1"/>
    <n v="2"/>
    <s v="Medium"/>
  </r>
  <r>
    <n v="27"/>
    <s v="No"/>
    <s v="Travel_Rarely"/>
    <n v="1469"/>
    <x v="1"/>
    <n v="1"/>
    <n v="2"/>
    <s v="Medical"/>
    <n v="497"/>
    <n v="4"/>
    <x v="1"/>
    <n v="82"/>
    <n v="3"/>
    <n v="1"/>
    <x v="2"/>
    <x v="1"/>
    <s v="Divorced"/>
    <n v="3816"/>
    <n v="17881"/>
    <n v="1"/>
    <x v="1"/>
    <n v="11"/>
    <n v="3"/>
    <n v="2"/>
    <n v="1"/>
    <n v="5"/>
    <n v="2"/>
    <n v="3"/>
    <n v="5"/>
    <n v="2"/>
    <n v="0"/>
    <n v="4"/>
    <x v="3"/>
    <n v="0"/>
    <s v="30–39"/>
    <x v="1"/>
    <n v="1"/>
    <s v="Low"/>
  </r>
  <r>
    <n v="28"/>
    <s v="No"/>
    <s v="Travel_Rarely"/>
    <n v="304"/>
    <x v="0"/>
    <n v="9"/>
    <n v="4"/>
    <s v="Life Sciences"/>
    <n v="498"/>
    <n v="2"/>
    <x v="1"/>
    <n v="92"/>
    <n v="3"/>
    <n v="2"/>
    <x v="0"/>
    <x v="0"/>
    <s v="Single"/>
    <n v="5253"/>
    <n v="20750"/>
    <n v="1"/>
    <x v="1"/>
    <n v="16"/>
    <n v="3"/>
    <n v="4"/>
    <n v="0"/>
    <n v="7"/>
    <n v="1"/>
    <n v="3"/>
    <n v="7"/>
    <n v="5"/>
    <n v="0"/>
    <n v="7"/>
    <x v="0"/>
    <n v="0"/>
    <s v="&lt;30"/>
    <x v="0"/>
    <n v="0"/>
    <s v="Low"/>
  </r>
  <r>
    <n v="49"/>
    <s v="No"/>
    <s v="Travel_Rarely"/>
    <n v="1261"/>
    <x v="1"/>
    <n v="7"/>
    <n v="3"/>
    <s v="Other"/>
    <n v="499"/>
    <n v="2"/>
    <x v="1"/>
    <n v="31"/>
    <n v="2"/>
    <n v="3"/>
    <x v="4"/>
    <x v="2"/>
    <s v="Single"/>
    <n v="10965"/>
    <n v="12066"/>
    <n v="8"/>
    <x v="1"/>
    <n v="24"/>
    <n v="4"/>
    <n v="3"/>
    <n v="0"/>
    <n v="26"/>
    <n v="2"/>
    <n v="3"/>
    <n v="5"/>
    <n v="2"/>
    <n v="0"/>
    <n v="0"/>
    <x v="3"/>
    <n v="0"/>
    <s v="&lt;30"/>
    <x v="2"/>
    <n v="0"/>
    <s v="Low"/>
  </r>
  <r>
    <n v="51"/>
    <s v="No"/>
    <s v="Travel_Rarely"/>
    <n v="1178"/>
    <x v="0"/>
    <n v="14"/>
    <n v="2"/>
    <s v="Life Sciences"/>
    <n v="500"/>
    <n v="3"/>
    <x v="0"/>
    <n v="87"/>
    <n v="3"/>
    <n v="2"/>
    <x v="0"/>
    <x v="0"/>
    <s v="Married"/>
    <n v="4936"/>
    <n v="14862"/>
    <n v="4"/>
    <x v="1"/>
    <n v="11"/>
    <n v="3"/>
    <n v="3"/>
    <n v="1"/>
    <n v="18"/>
    <n v="2"/>
    <n v="2"/>
    <n v="7"/>
    <n v="7"/>
    <n v="0"/>
    <n v="7"/>
    <x v="0"/>
    <n v="0"/>
    <s v="40–49"/>
    <x v="0"/>
    <n v="0"/>
    <s v="Low"/>
  </r>
  <r>
    <n v="36"/>
    <s v="No"/>
    <s v="Travel_Rarely"/>
    <n v="329"/>
    <x v="1"/>
    <n v="2"/>
    <n v="3"/>
    <s v="Life Sciences"/>
    <n v="501"/>
    <n v="4"/>
    <x v="0"/>
    <n v="96"/>
    <n v="3"/>
    <n v="1"/>
    <x v="1"/>
    <x v="2"/>
    <s v="Married"/>
    <n v="2543"/>
    <n v="11868"/>
    <n v="4"/>
    <x v="1"/>
    <n v="13"/>
    <n v="3"/>
    <n v="2"/>
    <n v="1"/>
    <n v="6"/>
    <n v="3"/>
    <n v="3"/>
    <n v="2"/>
    <n v="2"/>
    <n v="2"/>
    <n v="2"/>
    <x v="2"/>
    <n v="0"/>
    <s v="50+"/>
    <x v="2"/>
    <n v="1"/>
    <s v="Low"/>
  </r>
  <r>
    <n v="34"/>
    <s v="Yes"/>
    <s v="Non-Travel"/>
    <n v="1362"/>
    <x v="0"/>
    <n v="19"/>
    <n v="3"/>
    <s v="Marketing"/>
    <n v="502"/>
    <n v="1"/>
    <x v="1"/>
    <n v="67"/>
    <n v="4"/>
    <n v="2"/>
    <x v="0"/>
    <x v="0"/>
    <s v="Single"/>
    <n v="5304"/>
    <n v="4652"/>
    <n v="8"/>
    <x v="0"/>
    <n v="13"/>
    <n v="3"/>
    <n v="2"/>
    <n v="0"/>
    <n v="9"/>
    <n v="3"/>
    <n v="2"/>
    <n v="5"/>
    <n v="2"/>
    <n v="0"/>
    <n v="4"/>
    <x v="3"/>
    <n v="1"/>
    <s v="30–39"/>
    <x v="0"/>
    <n v="1"/>
    <s v="Low"/>
  </r>
  <r>
    <n v="55"/>
    <s v="No"/>
    <s v="Travel_Rarely"/>
    <n v="1311"/>
    <x v="1"/>
    <n v="2"/>
    <n v="3"/>
    <s v="Life Sciences"/>
    <n v="505"/>
    <n v="3"/>
    <x v="0"/>
    <n v="97"/>
    <n v="3"/>
    <n v="4"/>
    <x v="5"/>
    <x v="0"/>
    <s v="Single"/>
    <n v="16659"/>
    <n v="23258"/>
    <n v="2"/>
    <x v="0"/>
    <n v="13"/>
    <n v="3"/>
    <n v="3"/>
    <n v="0"/>
    <n v="30"/>
    <n v="2"/>
    <n v="3"/>
    <n v="5"/>
    <n v="4"/>
    <n v="1"/>
    <n v="2"/>
    <x v="3"/>
    <n v="0"/>
    <s v="30–39"/>
    <x v="0"/>
    <n v="1"/>
    <s v="Low"/>
  </r>
  <r>
    <n v="24"/>
    <s v="No"/>
    <s v="Travel_Rarely"/>
    <n v="1371"/>
    <x v="0"/>
    <n v="10"/>
    <n v="4"/>
    <s v="Marketing"/>
    <n v="507"/>
    <n v="4"/>
    <x v="0"/>
    <n v="77"/>
    <n v="3"/>
    <n v="2"/>
    <x v="0"/>
    <x v="2"/>
    <s v="Divorced"/>
    <n v="4260"/>
    <n v="5915"/>
    <n v="1"/>
    <x v="0"/>
    <n v="12"/>
    <n v="3"/>
    <n v="4"/>
    <n v="1"/>
    <n v="5"/>
    <n v="2"/>
    <n v="4"/>
    <n v="5"/>
    <n v="2"/>
    <n v="0"/>
    <n v="3"/>
    <x v="3"/>
    <n v="0"/>
    <s v="50+"/>
    <x v="2"/>
    <n v="1"/>
    <s v="Low"/>
  </r>
  <r>
    <n v="30"/>
    <s v="No"/>
    <s v="Travel_Rarely"/>
    <n v="202"/>
    <x v="0"/>
    <n v="2"/>
    <n v="1"/>
    <s v="Technical Degree"/>
    <n v="508"/>
    <n v="3"/>
    <x v="1"/>
    <n v="72"/>
    <n v="3"/>
    <n v="1"/>
    <x v="6"/>
    <x v="1"/>
    <s v="Married"/>
    <n v="2476"/>
    <n v="17434"/>
    <n v="1"/>
    <x v="1"/>
    <n v="18"/>
    <n v="3"/>
    <n v="1"/>
    <n v="1"/>
    <n v="1"/>
    <n v="3"/>
    <n v="3"/>
    <n v="1"/>
    <n v="0"/>
    <n v="0"/>
    <n v="0"/>
    <x v="2"/>
    <n v="0"/>
    <s v="&lt;30"/>
    <x v="1"/>
    <n v="2"/>
    <s v="Medium"/>
  </r>
  <r>
    <n v="26"/>
    <s v="Yes"/>
    <s v="Travel_Frequently"/>
    <n v="575"/>
    <x v="1"/>
    <n v="3"/>
    <n v="1"/>
    <s v="Technical Degree"/>
    <n v="510"/>
    <n v="3"/>
    <x v="1"/>
    <n v="73"/>
    <n v="3"/>
    <n v="1"/>
    <x v="1"/>
    <x v="3"/>
    <s v="Single"/>
    <n v="3102"/>
    <n v="6582"/>
    <n v="0"/>
    <x v="1"/>
    <n v="22"/>
    <n v="4"/>
    <n v="3"/>
    <n v="0"/>
    <n v="7"/>
    <n v="2"/>
    <n v="3"/>
    <n v="6"/>
    <n v="4"/>
    <n v="0"/>
    <n v="4"/>
    <x v="0"/>
    <n v="1"/>
    <s v="30–39"/>
    <x v="1"/>
    <n v="1"/>
    <s v="Low"/>
  </r>
  <r>
    <n v="22"/>
    <s v="No"/>
    <s v="Travel_Rarely"/>
    <n v="253"/>
    <x v="1"/>
    <n v="11"/>
    <n v="3"/>
    <s v="Medical"/>
    <n v="511"/>
    <n v="1"/>
    <x v="0"/>
    <n v="43"/>
    <n v="3"/>
    <n v="1"/>
    <x v="1"/>
    <x v="1"/>
    <s v="Married"/>
    <n v="2244"/>
    <n v="24440"/>
    <n v="1"/>
    <x v="1"/>
    <n v="13"/>
    <n v="3"/>
    <n v="4"/>
    <n v="1"/>
    <n v="2"/>
    <n v="1"/>
    <n v="3"/>
    <n v="2"/>
    <n v="1"/>
    <n v="1"/>
    <n v="2"/>
    <x v="2"/>
    <n v="0"/>
    <s v="&lt;30"/>
    <x v="1"/>
    <n v="2"/>
    <s v="Medium"/>
  </r>
  <r>
    <n v="36"/>
    <s v="No"/>
    <s v="Travel_Rarely"/>
    <n v="164"/>
    <x v="0"/>
    <n v="2"/>
    <n v="2"/>
    <s v="Medical"/>
    <n v="513"/>
    <n v="2"/>
    <x v="1"/>
    <n v="61"/>
    <n v="2"/>
    <n v="3"/>
    <x v="0"/>
    <x v="2"/>
    <s v="Married"/>
    <n v="7596"/>
    <n v="3809"/>
    <n v="1"/>
    <x v="1"/>
    <n v="13"/>
    <n v="3"/>
    <n v="2"/>
    <n v="2"/>
    <n v="10"/>
    <n v="2"/>
    <n v="3"/>
    <n v="10"/>
    <n v="9"/>
    <n v="9"/>
    <n v="0"/>
    <x v="0"/>
    <n v="0"/>
    <s v="&lt;30"/>
    <x v="2"/>
    <n v="0"/>
    <s v="Low"/>
  </r>
  <r>
    <n v="30"/>
    <s v="Yes"/>
    <s v="Travel_Frequently"/>
    <n v="464"/>
    <x v="1"/>
    <n v="4"/>
    <n v="3"/>
    <s v="Technical Degree"/>
    <n v="514"/>
    <n v="3"/>
    <x v="1"/>
    <n v="40"/>
    <n v="3"/>
    <n v="1"/>
    <x v="1"/>
    <x v="0"/>
    <s v="Single"/>
    <n v="2285"/>
    <n v="3427"/>
    <n v="9"/>
    <x v="0"/>
    <n v="23"/>
    <n v="4"/>
    <n v="3"/>
    <n v="0"/>
    <n v="3"/>
    <n v="4"/>
    <n v="3"/>
    <n v="1"/>
    <n v="0"/>
    <n v="0"/>
    <n v="0"/>
    <x v="2"/>
    <n v="1"/>
    <s v="30–39"/>
    <x v="0"/>
    <n v="2"/>
    <s v="Medium"/>
  </r>
  <r>
    <n v="37"/>
    <s v="No"/>
    <s v="Travel_Rarely"/>
    <n v="1107"/>
    <x v="1"/>
    <n v="14"/>
    <n v="3"/>
    <s v="Life Sciences"/>
    <n v="515"/>
    <n v="4"/>
    <x v="0"/>
    <n v="95"/>
    <n v="3"/>
    <n v="1"/>
    <x v="2"/>
    <x v="3"/>
    <s v="Divorced"/>
    <n v="3034"/>
    <n v="26914"/>
    <n v="1"/>
    <x v="1"/>
    <n v="12"/>
    <n v="3"/>
    <n v="3"/>
    <n v="1"/>
    <n v="18"/>
    <n v="2"/>
    <n v="2"/>
    <n v="18"/>
    <n v="7"/>
    <n v="12"/>
    <n v="17"/>
    <x v="0"/>
    <n v="0"/>
    <s v="30–39"/>
    <x v="1"/>
    <n v="1"/>
    <s v="Low"/>
  </r>
  <r>
    <n v="40"/>
    <s v="No"/>
    <s v="Travel_Rarely"/>
    <n v="759"/>
    <x v="0"/>
    <n v="2"/>
    <n v="2"/>
    <s v="Marketing"/>
    <n v="516"/>
    <n v="4"/>
    <x v="0"/>
    <n v="46"/>
    <n v="3"/>
    <n v="2"/>
    <x v="0"/>
    <x v="1"/>
    <s v="Divorced"/>
    <n v="5715"/>
    <n v="22553"/>
    <n v="7"/>
    <x v="1"/>
    <n v="12"/>
    <n v="3"/>
    <n v="3"/>
    <n v="2"/>
    <n v="8"/>
    <n v="5"/>
    <n v="3"/>
    <n v="5"/>
    <n v="4"/>
    <n v="1"/>
    <n v="3"/>
    <x v="3"/>
    <n v="0"/>
    <s v="30–39"/>
    <x v="1"/>
    <n v="1"/>
    <s v="Low"/>
  </r>
  <r>
    <n v="42"/>
    <s v="No"/>
    <s v="Travel_Rarely"/>
    <n v="201"/>
    <x v="1"/>
    <n v="1"/>
    <n v="4"/>
    <s v="Life Sciences"/>
    <n v="517"/>
    <n v="2"/>
    <x v="0"/>
    <n v="95"/>
    <n v="3"/>
    <n v="1"/>
    <x v="2"/>
    <x v="3"/>
    <s v="Divorced"/>
    <n v="2576"/>
    <n v="20490"/>
    <n v="3"/>
    <x v="1"/>
    <n v="16"/>
    <n v="3"/>
    <n v="2"/>
    <n v="1"/>
    <n v="8"/>
    <n v="5"/>
    <n v="3"/>
    <n v="5"/>
    <n v="2"/>
    <n v="1"/>
    <n v="2"/>
    <x v="3"/>
    <n v="0"/>
    <s v="40–49"/>
    <x v="1"/>
    <n v="1"/>
    <s v="Low"/>
  </r>
  <r>
    <n v="37"/>
    <s v="No"/>
    <s v="Travel_Rarely"/>
    <n v="1305"/>
    <x v="1"/>
    <n v="10"/>
    <n v="4"/>
    <s v="Life Sciences"/>
    <n v="518"/>
    <n v="3"/>
    <x v="1"/>
    <n v="49"/>
    <n v="3"/>
    <n v="2"/>
    <x v="3"/>
    <x v="1"/>
    <s v="Single"/>
    <n v="4197"/>
    <n v="21123"/>
    <n v="2"/>
    <x v="0"/>
    <n v="12"/>
    <n v="3"/>
    <n v="4"/>
    <n v="0"/>
    <n v="18"/>
    <n v="2"/>
    <n v="2"/>
    <n v="1"/>
    <n v="0"/>
    <n v="0"/>
    <n v="1"/>
    <x v="2"/>
    <n v="0"/>
    <s v="40–49"/>
    <x v="1"/>
    <n v="3"/>
    <s v="High"/>
  </r>
  <r>
    <n v="43"/>
    <s v="No"/>
    <s v="Travel_Rarely"/>
    <n v="982"/>
    <x v="1"/>
    <n v="12"/>
    <n v="3"/>
    <s v="Life Sciences"/>
    <n v="520"/>
    <n v="1"/>
    <x v="1"/>
    <n v="59"/>
    <n v="2"/>
    <n v="4"/>
    <x v="7"/>
    <x v="1"/>
    <s v="Divorced"/>
    <n v="14336"/>
    <n v="4345"/>
    <n v="1"/>
    <x v="1"/>
    <n v="11"/>
    <n v="3"/>
    <n v="3"/>
    <n v="1"/>
    <n v="25"/>
    <n v="3"/>
    <n v="3"/>
    <n v="25"/>
    <n v="10"/>
    <n v="3"/>
    <n v="9"/>
    <x v="0"/>
    <n v="0"/>
    <s v="30–39"/>
    <x v="1"/>
    <n v="1"/>
    <s v="Low"/>
  </r>
  <r>
    <n v="40"/>
    <s v="No"/>
    <s v="Travel_Rarely"/>
    <n v="555"/>
    <x v="1"/>
    <n v="2"/>
    <n v="3"/>
    <s v="Medical"/>
    <n v="521"/>
    <n v="2"/>
    <x v="0"/>
    <n v="78"/>
    <n v="2"/>
    <n v="2"/>
    <x v="2"/>
    <x v="2"/>
    <s v="Married"/>
    <n v="3448"/>
    <n v="13436"/>
    <n v="6"/>
    <x v="1"/>
    <n v="22"/>
    <n v="4"/>
    <n v="2"/>
    <n v="1"/>
    <n v="20"/>
    <n v="3"/>
    <n v="3"/>
    <n v="1"/>
    <n v="0"/>
    <n v="0"/>
    <n v="0"/>
    <x v="2"/>
    <n v="0"/>
    <s v="40–49"/>
    <x v="2"/>
    <n v="1"/>
    <s v="Low"/>
  </r>
  <r>
    <n v="54"/>
    <s v="No"/>
    <s v="Travel_Rarely"/>
    <n v="821"/>
    <x v="1"/>
    <n v="5"/>
    <n v="2"/>
    <s v="Medical"/>
    <n v="522"/>
    <n v="1"/>
    <x v="1"/>
    <n v="86"/>
    <n v="3"/>
    <n v="5"/>
    <x v="7"/>
    <x v="3"/>
    <s v="Married"/>
    <n v="19406"/>
    <n v="8509"/>
    <n v="4"/>
    <x v="1"/>
    <n v="11"/>
    <n v="3"/>
    <n v="3"/>
    <n v="1"/>
    <n v="24"/>
    <n v="4"/>
    <n v="2"/>
    <n v="4"/>
    <n v="2"/>
    <n v="1"/>
    <n v="2"/>
    <x v="3"/>
    <n v="0"/>
    <s v="40–49"/>
    <x v="1"/>
    <n v="1"/>
    <s v="Low"/>
  </r>
  <r>
    <n v="34"/>
    <s v="No"/>
    <s v="Non-Travel"/>
    <n v="1381"/>
    <x v="0"/>
    <n v="4"/>
    <n v="4"/>
    <s v="Marketing"/>
    <n v="523"/>
    <n v="3"/>
    <x v="0"/>
    <n v="72"/>
    <n v="3"/>
    <n v="2"/>
    <x v="0"/>
    <x v="2"/>
    <s v="Married"/>
    <n v="6538"/>
    <n v="12740"/>
    <n v="9"/>
    <x v="1"/>
    <n v="15"/>
    <n v="3"/>
    <n v="1"/>
    <n v="1"/>
    <n v="6"/>
    <n v="3"/>
    <n v="3"/>
    <n v="3"/>
    <n v="2"/>
    <n v="1"/>
    <n v="2"/>
    <x v="2"/>
    <n v="0"/>
    <s v="50+"/>
    <x v="2"/>
    <n v="1"/>
    <s v="Low"/>
  </r>
  <r>
    <n v="31"/>
    <s v="No"/>
    <s v="Travel_Rarely"/>
    <n v="480"/>
    <x v="1"/>
    <n v="7"/>
    <n v="2"/>
    <s v="Medical"/>
    <n v="524"/>
    <n v="2"/>
    <x v="0"/>
    <n v="31"/>
    <n v="3"/>
    <n v="2"/>
    <x v="3"/>
    <x v="3"/>
    <s v="Married"/>
    <n v="4306"/>
    <n v="4156"/>
    <n v="1"/>
    <x v="1"/>
    <n v="12"/>
    <n v="3"/>
    <n v="2"/>
    <n v="1"/>
    <n v="13"/>
    <n v="5"/>
    <n v="1"/>
    <n v="13"/>
    <n v="10"/>
    <n v="3"/>
    <n v="12"/>
    <x v="0"/>
    <n v="0"/>
    <s v="30–39"/>
    <x v="1"/>
    <n v="1"/>
    <s v="Low"/>
  </r>
  <r>
    <n v="43"/>
    <s v="No"/>
    <s v="Travel_Frequently"/>
    <n v="313"/>
    <x v="1"/>
    <n v="21"/>
    <n v="3"/>
    <s v="Medical"/>
    <n v="525"/>
    <n v="4"/>
    <x v="1"/>
    <n v="61"/>
    <n v="3"/>
    <n v="1"/>
    <x v="2"/>
    <x v="0"/>
    <s v="Married"/>
    <n v="2258"/>
    <n v="15238"/>
    <n v="7"/>
    <x v="1"/>
    <n v="20"/>
    <n v="4"/>
    <n v="1"/>
    <n v="1"/>
    <n v="8"/>
    <n v="1"/>
    <n v="3"/>
    <n v="3"/>
    <n v="2"/>
    <n v="1"/>
    <n v="2"/>
    <x v="2"/>
    <n v="0"/>
    <s v="30–39"/>
    <x v="0"/>
    <n v="1"/>
    <s v="Low"/>
  </r>
  <r>
    <n v="43"/>
    <s v="No"/>
    <s v="Travel_Rarely"/>
    <n v="1473"/>
    <x v="1"/>
    <n v="8"/>
    <n v="4"/>
    <s v="Other"/>
    <n v="526"/>
    <n v="3"/>
    <x v="0"/>
    <n v="74"/>
    <n v="3"/>
    <n v="2"/>
    <x v="4"/>
    <x v="2"/>
    <s v="Divorced"/>
    <n v="4522"/>
    <n v="2227"/>
    <n v="4"/>
    <x v="0"/>
    <n v="14"/>
    <n v="3"/>
    <n v="4"/>
    <n v="0"/>
    <n v="8"/>
    <n v="3"/>
    <n v="3"/>
    <n v="5"/>
    <n v="2"/>
    <n v="0"/>
    <n v="2"/>
    <x v="3"/>
    <n v="0"/>
    <s v="40–49"/>
    <x v="2"/>
    <n v="1"/>
    <s v="Low"/>
  </r>
  <r>
    <n v="25"/>
    <s v="No"/>
    <s v="Travel_Rarely"/>
    <n v="891"/>
    <x v="0"/>
    <n v="4"/>
    <n v="2"/>
    <s v="Life Sciences"/>
    <n v="527"/>
    <n v="2"/>
    <x v="0"/>
    <n v="99"/>
    <n v="2"/>
    <n v="2"/>
    <x v="0"/>
    <x v="0"/>
    <s v="Single"/>
    <n v="4487"/>
    <n v="12090"/>
    <n v="1"/>
    <x v="0"/>
    <n v="11"/>
    <n v="3"/>
    <n v="2"/>
    <n v="0"/>
    <n v="5"/>
    <n v="3"/>
    <n v="3"/>
    <n v="5"/>
    <n v="4"/>
    <n v="1"/>
    <n v="3"/>
    <x v="3"/>
    <n v="0"/>
    <s v="40–49"/>
    <x v="0"/>
    <n v="1"/>
    <s v="Low"/>
  </r>
  <r>
    <n v="37"/>
    <s v="No"/>
    <s v="Non-Travel"/>
    <n v="1063"/>
    <x v="1"/>
    <n v="25"/>
    <n v="5"/>
    <s v="Medical"/>
    <n v="529"/>
    <n v="2"/>
    <x v="0"/>
    <n v="72"/>
    <n v="3"/>
    <n v="2"/>
    <x v="1"/>
    <x v="2"/>
    <s v="Married"/>
    <n v="4449"/>
    <n v="23866"/>
    <n v="3"/>
    <x v="0"/>
    <n v="15"/>
    <n v="3"/>
    <n v="1"/>
    <n v="2"/>
    <n v="15"/>
    <n v="2"/>
    <n v="3"/>
    <n v="13"/>
    <n v="11"/>
    <n v="10"/>
    <n v="7"/>
    <x v="0"/>
    <n v="0"/>
    <s v="&lt;30"/>
    <x v="2"/>
    <n v="1"/>
    <s v="Low"/>
  </r>
  <r>
    <n v="31"/>
    <s v="No"/>
    <s v="Travel_Rarely"/>
    <n v="329"/>
    <x v="1"/>
    <n v="1"/>
    <n v="2"/>
    <s v="Life Sciences"/>
    <n v="530"/>
    <n v="4"/>
    <x v="1"/>
    <n v="98"/>
    <n v="2"/>
    <n v="1"/>
    <x v="2"/>
    <x v="3"/>
    <s v="Married"/>
    <n v="2218"/>
    <n v="16193"/>
    <n v="1"/>
    <x v="1"/>
    <n v="12"/>
    <n v="3"/>
    <n v="3"/>
    <n v="1"/>
    <n v="4"/>
    <n v="3"/>
    <n v="3"/>
    <n v="4"/>
    <n v="2"/>
    <n v="3"/>
    <n v="2"/>
    <x v="3"/>
    <n v="0"/>
    <s v="30–39"/>
    <x v="1"/>
    <n v="1"/>
    <s v="Low"/>
  </r>
  <r>
    <n v="39"/>
    <s v="No"/>
    <s v="Travel_Frequently"/>
    <n v="1218"/>
    <x v="1"/>
    <n v="1"/>
    <n v="1"/>
    <s v="Life Sciences"/>
    <n v="531"/>
    <n v="2"/>
    <x v="1"/>
    <n v="52"/>
    <n v="3"/>
    <n v="5"/>
    <x v="5"/>
    <x v="2"/>
    <s v="Divorced"/>
    <n v="19197"/>
    <n v="8213"/>
    <n v="1"/>
    <x v="0"/>
    <n v="14"/>
    <n v="3"/>
    <n v="3"/>
    <n v="1"/>
    <n v="21"/>
    <n v="3"/>
    <n v="3"/>
    <n v="21"/>
    <n v="8"/>
    <n v="1"/>
    <n v="6"/>
    <x v="0"/>
    <n v="0"/>
    <s v="30–39"/>
    <x v="2"/>
    <n v="1"/>
    <s v="Low"/>
  </r>
  <r>
    <n v="56"/>
    <s v="No"/>
    <s v="Travel_Frequently"/>
    <n v="906"/>
    <x v="0"/>
    <n v="6"/>
    <n v="3"/>
    <s v="Life Sciences"/>
    <n v="532"/>
    <n v="3"/>
    <x v="0"/>
    <n v="86"/>
    <n v="4"/>
    <n v="4"/>
    <x v="0"/>
    <x v="3"/>
    <s v="Married"/>
    <n v="13212"/>
    <n v="18256"/>
    <n v="9"/>
    <x v="1"/>
    <n v="11"/>
    <n v="3"/>
    <n v="4"/>
    <n v="3"/>
    <n v="36"/>
    <n v="0"/>
    <n v="2"/>
    <n v="7"/>
    <n v="7"/>
    <n v="7"/>
    <n v="7"/>
    <x v="0"/>
    <n v="0"/>
    <s v="30–39"/>
    <x v="1"/>
    <n v="1"/>
    <s v="Low"/>
  </r>
  <r>
    <n v="30"/>
    <s v="No"/>
    <s v="Travel_Rarely"/>
    <n v="1082"/>
    <x v="0"/>
    <n v="12"/>
    <n v="3"/>
    <s v="Technical Degree"/>
    <n v="533"/>
    <n v="2"/>
    <x v="0"/>
    <n v="83"/>
    <n v="3"/>
    <n v="2"/>
    <x v="0"/>
    <x v="2"/>
    <s v="Single"/>
    <n v="6577"/>
    <n v="19558"/>
    <n v="0"/>
    <x v="1"/>
    <n v="11"/>
    <n v="3"/>
    <n v="2"/>
    <n v="0"/>
    <n v="6"/>
    <n v="6"/>
    <n v="3"/>
    <n v="5"/>
    <n v="4"/>
    <n v="4"/>
    <n v="4"/>
    <x v="3"/>
    <n v="0"/>
    <s v="50+"/>
    <x v="2"/>
    <n v="0"/>
    <s v="Low"/>
  </r>
  <r>
    <n v="41"/>
    <s v="No"/>
    <s v="Travel_Rarely"/>
    <n v="645"/>
    <x v="0"/>
    <n v="1"/>
    <n v="3"/>
    <s v="Marketing"/>
    <n v="534"/>
    <n v="2"/>
    <x v="1"/>
    <n v="49"/>
    <n v="4"/>
    <n v="3"/>
    <x v="0"/>
    <x v="3"/>
    <s v="Married"/>
    <n v="8392"/>
    <n v="19566"/>
    <n v="1"/>
    <x v="1"/>
    <n v="16"/>
    <n v="3"/>
    <n v="3"/>
    <n v="1"/>
    <n v="10"/>
    <n v="2"/>
    <n v="3"/>
    <n v="10"/>
    <n v="7"/>
    <n v="0"/>
    <n v="7"/>
    <x v="0"/>
    <n v="0"/>
    <s v="30–39"/>
    <x v="1"/>
    <n v="1"/>
    <s v="Low"/>
  </r>
  <r>
    <n v="28"/>
    <s v="No"/>
    <s v="Travel_Rarely"/>
    <n v="1300"/>
    <x v="1"/>
    <n v="17"/>
    <n v="2"/>
    <s v="Medical"/>
    <n v="536"/>
    <n v="3"/>
    <x v="1"/>
    <n v="79"/>
    <n v="3"/>
    <n v="2"/>
    <x v="2"/>
    <x v="3"/>
    <s v="Divorced"/>
    <n v="4558"/>
    <n v="13535"/>
    <n v="1"/>
    <x v="1"/>
    <n v="12"/>
    <n v="3"/>
    <n v="4"/>
    <n v="1"/>
    <n v="10"/>
    <n v="2"/>
    <n v="3"/>
    <n v="10"/>
    <n v="0"/>
    <n v="1"/>
    <n v="8"/>
    <x v="0"/>
    <n v="0"/>
    <s v="40–49"/>
    <x v="1"/>
    <n v="1"/>
    <s v="Low"/>
  </r>
  <r>
    <n v="25"/>
    <s v="Yes"/>
    <s v="Travel_Rarely"/>
    <n v="688"/>
    <x v="1"/>
    <n v="3"/>
    <n v="3"/>
    <s v="Medical"/>
    <n v="538"/>
    <n v="1"/>
    <x v="1"/>
    <n v="91"/>
    <n v="3"/>
    <n v="1"/>
    <x v="2"/>
    <x v="3"/>
    <s v="Married"/>
    <n v="4031"/>
    <n v="9396"/>
    <n v="5"/>
    <x v="1"/>
    <n v="13"/>
    <n v="3"/>
    <n v="3"/>
    <n v="1"/>
    <n v="6"/>
    <n v="5"/>
    <n v="3"/>
    <n v="2"/>
    <n v="2"/>
    <n v="0"/>
    <n v="2"/>
    <x v="2"/>
    <n v="1"/>
    <s v="&lt;30"/>
    <x v="1"/>
    <n v="2"/>
    <s v="Medium"/>
  </r>
  <r>
    <n v="52"/>
    <s v="No"/>
    <s v="Travel_Rarely"/>
    <n v="319"/>
    <x v="1"/>
    <n v="3"/>
    <n v="3"/>
    <s v="Medical"/>
    <n v="543"/>
    <n v="4"/>
    <x v="1"/>
    <n v="39"/>
    <n v="2"/>
    <n v="3"/>
    <x v="3"/>
    <x v="2"/>
    <s v="Married"/>
    <n v="7969"/>
    <n v="19609"/>
    <n v="2"/>
    <x v="0"/>
    <n v="14"/>
    <n v="3"/>
    <n v="3"/>
    <n v="0"/>
    <n v="28"/>
    <n v="4"/>
    <n v="3"/>
    <n v="5"/>
    <n v="4"/>
    <n v="0"/>
    <n v="4"/>
    <x v="3"/>
    <n v="0"/>
    <s v="&lt;30"/>
    <x v="2"/>
    <n v="1"/>
    <s v="Low"/>
  </r>
  <r>
    <n v="45"/>
    <s v="No"/>
    <s v="Travel_Rarely"/>
    <n v="192"/>
    <x v="1"/>
    <n v="10"/>
    <n v="2"/>
    <s v="Life Sciences"/>
    <n v="544"/>
    <n v="1"/>
    <x v="1"/>
    <n v="69"/>
    <n v="3"/>
    <n v="1"/>
    <x v="1"/>
    <x v="0"/>
    <s v="Married"/>
    <n v="2654"/>
    <n v="9655"/>
    <n v="3"/>
    <x v="1"/>
    <n v="21"/>
    <n v="4"/>
    <n v="4"/>
    <n v="2"/>
    <n v="8"/>
    <n v="3"/>
    <n v="2"/>
    <n v="2"/>
    <n v="2"/>
    <n v="0"/>
    <n v="2"/>
    <x v="2"/>
    <n v="0"/>
    <s v="50+"/>
    <x v="0"/>
    <n v="1"/>
    <s v="Low"/>
  </r>
  <r>
    <n v="52"/>
    <s v="No"/>
    <s v="Travel_Rarely"/>
    <n v="1490"/>
    <x v="1"/>
    <n v="4"/>
    <n v="2"/>
    <s v="Life Sciences"/>
    <n v="546"/>
    <n v="4"/>
    <x v="0"/>
    <n v="30"/>
    <n v="3"/>
    <n v="4"/>
    <x v="5"/>
    <x v="0"/>
    <s v="Married"/>
    <n v="16555"/>
    <n v="10310"/>
    <n v="2"/>
    <x v="1"/>
    <n v="13"/>
    <n v="3"/>
    <n v="4"/>
    <n v="0"/>
    <n v="31"/>
    <n v="2"/>
    <n v="1"/>
    <n v="5"/>
    <n v="2"/>
    <n v="1"/>
    <n v="4"/>
    <x v="3"/>
    <n v="0"/>
    <s v="40–49"/>
    <x v="0"/>
    <n v="0"/>
    <s v="Low"/>
  </r>
  <r>
    <n v="42"/>
    <s v="No"/>
    <s v="Travel_Frequently"/>
    <n v="532"/>
    <x v="1"/>
    <n v="29"/>
    <n v="2"/>
    <s v="Life Sciences"/>
    <n v="547"/>
    <n v="1"/>
    <x v="0"/>
    <n v="92"/>
    <n v="3"/>
    <n v="2"/>
    <x v="1"/>
    <x v="2"/>
    <s v="Divorced"/>
    <n v="4556"/>
    <n v="12932"/>
    <n v="2"/>
    <x v="1"/>
    <n v="11"/>
    <n v="3"/>
    <n v="2"/>
    <n v="1"/>
    <n v="19"/>
    <n v="3"/>
    <n v="3"/>
    <n v="5"/>
    <n v="4"/>
    <n v="0"/>
    <n v="2"/>
    <x v="3"/>
    <n v="0"/>
    <s v="50+"/>
    <x v="2"/>
    <n v="0"/>
    <s v="Low"/>
  </r>
  <r>
    <n v="30"/>
    <s v="No"/>
    <s v="Travel_Rarely"/>
    <n v="317"/>
    <x v="1"/>
    <n v="2"/>
    <n v="3"/>
    <s v="Life Sciences"/>
    <n v="548"/>
    <n v="3"/>
    <x v="0"/>
    <n v="43"/>
    <n v="1"/>
    <n v="2"/>
    <x v="3"/>
    <x v="0"/>
    <s v="Single"/>
    <n v="6091"/>
    <n v="24793"/>
    <n v="2"/>
    <x v="1"/>
    <n v="20"/>
    <n v="4"/>
    <n v="3"/>
    <n v="0"/>
    <n v="11"/>
    <n v="2"/>
    <n v="3"/>
    <n v="5"/>
    <n v="4"/>
    <n v="0"/>
    <n v="2"/>
    <x v="3"/>
    <n v="0"/>
    <s v="40–49"/>
    <x v="0"/>
    <n v="0"/>
    <s v="Low"/>
  </r>
  <r>
    <n v="60"/>
    <s v="No"/>
    <s v="Travel_Rarely"/>
    <n v="422"/>
    <x v="1"/>
    <n v="7"/>
    <n v="3"/>
    <s v="Life Sciences"/>
    <n v="549"/>
    <n v="1"/>
    <x v="0"/>
    <n v="41"/>
    <n v="3"/>
    <n v="5"/>
    <x v="5"/>
    <x v="3"/>
    <s v="Married"/>
    <n v="19566"/>
    <n v="3854"/>
    <n v="5"/>
    <x v="1"/>
    <n v="11"/>
    <n v="3"/>
    <n v="4"/>
    <n v="0"/>
    <n v="33"/>
    <n v="5"/>
    <n v="1"/>
    <n v="29"/>
    <n v="8"/>
    <n v="11"/>
    <n v="10"/>
    <x v="0"/>
    <n v="0"/>
    <s v="30–39"/>
    <x v="1"/>
    <n v="1"/>
    <s v="Low"/>
  </r>
  <r>
    <n v="46"/>
    <s v="No"/>
    <s v="Travel_Rarely"/>
    <n v="1485"/>
    <x v="1"/>
    <n v="18"/>
    <n v="3"/>
    <s v="Medical"/>
    <n v="550"/>
    <n v="3"/>
    <x v="0"/>
    <n v="87"/>
    <n v="3"/>
    <n v="2"/>
    <x v="3"/>
    <x v="2"/>
    <s v="Divorced"/>
    <n v="4810"/>
    <n v="26314"/>
    <n v="2"/>
    <x v="1"/>
    <n v="14"/>
    <n v="3"/>
    <n v="3"/>
    <n v="1"/>
    <n v="19"/>
    <n v="5"/>
    <n v="2"/>
    <n v="10"/>
    <n v="7"/>
    <n v="0"/>
    <n v="8"/>
    <x v="0"/>
    <n v="0"/>
    <s v="50+"/>
    <x v="2"/>
    <n v="0"/>
    <s v="Low"/>
  </r>
  <r>
    <n v="42"/>
    <s v="No"/>
    <s v="Travel_Frequently"/>
    <n v="1368"/>
    <x v="1"/>
    <n v="28"/>
    <n v="4"/>
    <s v="Technical Degree"/>
    <n v="551"/>
    <n v="4"/>
    <x v="0"/>
    <n v="88"/>
    <n v="2"/>
    <n v="2"/>
    <x v="4"/>
    <x v="0"/>
    <s v="Married"/>
    <n v="4523"/>
    <n v="4386"/>
    <n v="0"/>
    <x v="1"/>
    <n v="11"/>
    <n v="3"/>
    <n v="4"/>
    <n v="3"/>
    <n v="7"/>
    <n v="4"/>
    <n v="4"/>
    <n v="6"/>
    <n v="5"/>
    <n v="0"/>
    <n v="4"/>
    <x v="0"/>
    <n v="0"/>
    <s v="40–49"/>
    <x v="0"/>
    <n v="0"/>
    <s v="Low"/>
  </r>
  <r>
    <n v="24"/>
    <s v="Yes"/>
    <s v="Travel_Rarely"/>
    <n v="1448"/>
    <x v="0"/>
    <n v="1"/>
    <n v="1"/>
    <s v="Technical Degree"/>
    <n v="554"/>
    <n v="1"/>
    <x v="0"/>
    <n v="62"/>
    <n v="3"/>
    <n v="1"/>
    <x v="6"/>
    <x v="1"/>
    <s v="Single"/>
    <n v="3202"/>
    <n v="21972"/>
    <n v="1"/>
    <x v="0"/>
    <n v="16"/>
    <n v="3"/>
    <n v="2"/>
    <n v="0"/>
    <n v="6"/>
    <n v="4"/>
    <n v="3"/>
    <n v="5"/>
    <n v="3"/>
    <n v="1"/>
    <n v="4"/>
    <x v="3"/>
    <n v="1"/>
    <s v="40–49"/>
    <x v="1"/>
    <n v="2"/>
    <s v="Medium"/>
  </r>
  <r>
    <n v="34"/>
    <s v="Yes"/>
    <s v="Travel_Frequently"/>
    <n v="296"/>
    <x v="0"/>
    <n v="6"/>
    <n v="2"/>
    <s v="Marketing"/>
    <n v="555"/>
    <n v="4"/>
    <x v="0"/>
    <n v="33"/>
    <n v="1"/>
    <n v="1"/>
    <x v="6"/>
    <x v="2"/>
    <s v="Divorced"/>
    <n v="2351"/>
    <n v="12253"/>
    <n v="0"/>
    <x v="1"/>
    <n v="16"/>
    <n v="3"/>
    <n v="4"/>
    <n v="1"/>
    <n v="3"/>
    <n v="3"/>
    <n v="2"/>
    <n v="2"/>
    <n v="2"/>
    <n v="1"/>
    <n v="0"/>
    <x v="2"/>
    <n v="1"/>
    <s v="&lt;30"/>
    <x v="2"/>
    <n v="1"/>
    <s v="Low"/>
  </r>
  <r>
    <n v="38"/>
    <s v="No"/>
    <s v="Travel_Frequently"/>
    <n v="1490"/>
    <x v="1"/>
    <n v="2"/>
    <n v="2"/>
    <s v="Life Sciences"/>
    <n v="556"/>
    <n v="4"/>
    <x v="1"/>
    <n v="42"/>
    <n v="3"/>
    <n v="1"/>
    <x v="2"/>
    <x v="0"/>
    <s v="Married"/>
    <n v="1702"/>
    <n v="12106"/>
    <n v="1"/>
    <x v="0"/>
    <n v="23"/>
    <n v="4"/>
    <n v="3"/>
    <n v="1"/>
    <n v="1"/>
    <n v="3"/>
    <n v="3"/>
    <n v="1"/>
    <n v="0"/>
    <n v="0"/>
    <n v="0"/>
    <x v="2"/>
    <n v="0"/>
    <s v="30–39"/>
    <x v="0"/>
    <n v="2"/>
    <s v="Medium"/>
  </r>
  <r>
    <n v="40"/>
    <s v="No"/>
    <s v="Travel_Rarely"/>
    <n v="1398"/>
    <x v="0"/>
    <n v="2"/>
    <n v="4"/>
    <s v="Life Sciences"/>
    <n v="558"/>
    <n v="3"/>
    <x v="0"/>
    <n v="79"/>
    <n v="3"/>
    <n v="5"/>
    <x v="5"/>
    <x v="2"/>
    <s v="Married"/>
    <n v="18041"/>
    <n v="13022"/>
    <n v="0"/>
    <x v="1"/>
    <n v="14"/>
    <n v="3"/>
    <n v="4"/>
    <n v="0"/>
    <n v="21"/>
    <n v="2"/>
    <n v="3"/>
    <n v="20"/>
    <n v="15"/>
    <n v="1"/>
    <n v="12"/>
    <x v="0"/>
    <n v="0"/>
    <s v="30–39"/>
    <x v="2"/>
    <n v="0"/>
    <s v="Low"/>
  </r>
  <r>
    <n v="26"/>
    <s v="No"/>
    <s v="Travel_Rarely"/>
    <n v="1349"/>
    <x v="1"/>
    <n v="23"/>
    <n v="3"/>
    <s v="Life Sciences"/>
    <n v="560"/>
    <n v="1"/>
    <x v="0"/>
    <n v="90"/>
    <n v="3"/>
    <n v="1"/>
    <x v="1"/>
    <x v="0"/>
    <s v="Divorced"/>
    <n v="2886"/>
    <n v="3032"/>
    <n v="1"/>
    <x v="1"/>
    <n v="22"/>
    <n v="4"/>
    <n v="2"/>
    <n v="2"/>
    <n v="3"/>
    <n v="3"/>
    <n v="1"/>
    <n v="3"/>
    <n v="2"/>
    <n v="0"/>
    <n v="2"/>
    <x v="2"/>
    <n v="0"/>
    <s v="40–49"/>
    <x v="0"/>
    <n v="1"/>
    <s v="Low"/>
  </r>
  <r>
    <n v="30"/>
    <s v="No"/>
    <s v="Non-Travel"/>
    <n v="1400"/>
    <x v="1"/>
    <n v="3"/>
    <n v="3"/>
    <s v="Life Sciences"/>
    <n v="562"/>
    <n v="3"/>
    <x v="1"/>
    <n v="53"/>
    <n v="3"/>
    <n v="1"/>
    <x v="2"/>
    <x v="0"/>
    <s v="Married"/>
    <n v="2097"/>
    <n v="16734"/>
    <n v="4"/>
    <x v="1"/>
    <n v="15"/>
    <n v="3"/>
    <n v="3"/>
    <n v="1"/>
    <n v="9"/>
    <n v="3"/>
    <n v="1"/>
    <n v="5"/>
    <n v="3"/>
    <n v="1"/>
    <n v="4"/>
    <x v="3"/>
    <n v="0"/>
    <s v="&lt;30"/>
    <x v="0"/>
    <n v="0"/>
    <s v="Low"/>
  </r>
  <r>
    <n v="29"/>
    <s v="No"/>
    <s v="Travel_Rarely"/>
    <n v="986"/>
    <x v="1"/>
    <n v="3"/>
    <n v="4"/>
    <s v="Medical"/>
    <n v="564"/>
    <n v="2"/>
    <x v="1"/>
    <n v="93"/>
    <n v="2"/>
    <n v="3"/>
    <x v="7"/>
    <x v="2"/>
    <s v="Married"/>
    <n v="11935"/>
    <n v="21526"/>
    <n v="1"/>
    <x v="1"/>
    <n v="18"/>
    <n v="3"/>
    <n v="3"/>
    <n v="0"/>
    <n v="10"/>
    <n v="2"/>
    <n v="3"/>
    <n v="10"/>
    <n v="2"/>
    <n v="0"/>
    <n v="7"/>
    <x v="0"/>
    <n v="0"/>
    <s v="30–39"/>
    <x v="2"/>
    <n v="0"/>
    <s v="Low"/>
  </r>
  <r>
    <n v="29"/>
    <s v="Yes"/>
    <s v="Travel_Rarely"/>
    <n v="408"/>
    <x v="1"/>
    <n v="25"/>
    <n v="5"/>
    <s v="Technical Degree"/>
    <n v="565"/>
    <n v="3"/>
    <x v="0"/>
    <n v="71"/>
    <n v="2"/>
    <n v="1"/>
    <x v="1"/>
    <x v="1"/>
    <s v="Married"/>
    <n v="2546"/>
    <n v="18300"/>
    <n v="5"/>
    <x v="1"/>
    <n v="16"/>
    <n v="3"/>
    <n v="2"/>
    <n v="0"/>
    <n v="6"/>
    <n v="2"/>
    <n v="4"/>
    <n v="2"/>
    <n v="2"/>
    <n v="1"/>
    <n v="1"/>
    <x v="2"/>
    <n v="1"/>
    <s v="&lt;30"/>
    <x v="1"/>
    <n v="2"/>
    <s v="Medium"/>
  </r>
  <r>
    <n v="19"/>
    <s v="Yes"/>
    <s v="Travel_Rarely"/>
    <n v="489"/>
    <x v="2"/>
    <n v="2"/>
    <n v="2"/>
    <s v="Technical Degree"/>
    <n v="566"/>
    <n v="1"/>
    <x v="1"/>
    <n v="52"/>
    <n v="2"/>
    <n v="1"/>
    <x v="8"/>
    <x v="0"/>
    <s v="Single"/>
    <n v="2564"/>
    <n v="18437"/>
    <n v="1"/>
    <x v="1"/>
    <n v="12"/>
    <n v="3"/>
    <n v="3"/>
    <n v="0"/>
    <n v="1"/>
    <n v="3"/>
    <n v="4"/>
    <n v="1"/>
    <n v="0"/>
    <n v="0"/>
    <n v="0"/>
    <x v="2"/>
    <n v="1"/>
    <s v="&lt;30"/>
    <x v="0"/>
    <n v="1"/>
    <s v="Low"/>
  </r>
  <r>
    <n v="30"/>
    <s v="No"/>
    <s v="Non-Travel"/>
    <n v="1398"/>
    <x v="0"/>
    <n v="22"/>
    <n v="4"/>
    <s v="Other"/>
    <n v="567"/>
    <n v="3"/>
    <x v="0"/>
    <n v="69"/>
    <n v="3"/>
    <n v="3"/>
    <x v="0"/>
    <x v="3"/>
    <s v="Married"/>
    <n v="8412"/>
    <n v="2890"/>
    <n v="0"/>
    <x v="1"/>
    <n v="11"/>
    <n v="3"/>
    <n v="3"/>
    <n v="0"/>
    <n v="10"/>
    <n v="3"/>
    <n v="3"/>
    <n v="9"/>
    <n v="8"/>
    <n v="7"/>
    <n v="8"/>
    <x v="0"/>
    <n v="0"/>
    <s v="&lt;30"/>
    <x v="1"/>
    <n v="1"/>
    <s v="Low"/>
  </r>
  <r>
    <n v="57"/>
    <s v="No"/>
    <s v="Travel_Rarely"/>
    <n v="210"/>
    <x v="0"/>
    <n v="29"/>
    <n v="3"/>
    <s v="Marketing"/>
    <n v="568"/>
    <n v="1"/>
    <x v="1"/>
    <n v="56"/>
    <n v="2"/>
    <n v="4"/>
    <x v="5"/>
    <x v="0"/>
    <s v="Divorced"/>
    <n v="14118"/>
    <n v="22102"/>
    <n v="3"/>
    <x v="1"/>
    <n v="12"/>
    <n v="3"/>
    <n v="3"/>
    <n v="1"/>
    <n v="32"/>
    <n v="3"/>
    <n v="2"/>
    <n v="1"/>
    <n v="0"/>
    <n v="0"/>
    <n v="0"/>
    <x v="2"/>
    <n v="0"/>
    <s v="30–39"/>
    <x v="0"/>
    <n v="1"/>
    <s v="Low"/>
  </r>
  <r>
    <n v="50"/>
    <s v="No"/>
    <s v="Travel_Rarely"/>
    <n v="1099"/>
    <x v="1"/>
    <n v="29"/>
    <n v="4"/>
    <s v="Life Sciences"/>
    <n v="569"/>
    <n v="2"/>
    <x v="1"/>
    <n v="88"/>
    <n v="2"/>
    <n v="4"/>
    <x v="5"/>
    <x v="2"/>
    <s v="Married"/>
    <n v="17046"/>
    <n v="9314"/>
    <n v="0"/>
    <x v="1"/>
    <n v="15"/>
    <n v="3"/>
    <n v="2"/>
    <n v="1"/>
    <n v="28"/>
    <n v="2"/>
    <n v="3"/>
    <n v="27"/>
    <n v="10"/>
    <n v="15"/>
    <n v="7"/>
    <x v="0"/>
    <n v="0"/>
    <s v="50+"/>
    <x v="2"/>
    <n v="0"/>
    <s v="Low"/>
  </r>
  <r>
    <n v="30"/>
    <s v="No"/>
    <s v="Non-Travel"/>
    <n v="1116"/>
    <x v="1"/>
    <n v="2"/>
    <n v="3"/>
    <s v="Medical"/>
    <n v="571"/>
    <n v="3"/>
    <x v="0"/>
    <n v="49"/>
    <n v="3"/>
    <n v="1"/>
    <x v="2"/>
    <x v="0"/>
    <s v="Single"/>
    <n v="2564"/>
    <n v="7181"/>
    <n v="0"/>
    <x v="1"/>
    <n v="14"/>
    <n v="3"/>
    <n v="3"/>
    <n v="0"/>
    <n v="12"/>
    <n v="2"/>
    <n v="2"/>
    <n v="11"/>
    <n v="7"/>
    <n v="6"/>
    <n v="7"/>
    <x v="0"/>
    <n v="0"/>
    <s v="50+"/>
    <x v="0"/>
    <n v="0"/>
    <s v="Low"/>
  </r>
  <r>
    <n v="60"/>
    <s v="No"/>
    <s v="Travel_Frequently"/>
    <n v="1499"/>
    <x v="0"/>
    <n v="28"/>
    <n v="3"/>
    <s v="Marketing"/>
    <n v="573"/>
    <n v="3"/>
    <x v="0"/>
    <n v="80"/>
    <n v="2"/>
    <n v="3"/>
    <x v="0"/>
    <x v="3"/>
    <s v="Married"/>
    <n v="10266"/>
    <n v="2845"/>
    <n v="4"/>
    <x v="1"/>
    <n v="19"/>
    <n v="3"/>
    <n v="4"/>
    <n v="0"/>
    <n v="22"/>
    <n v="5"/>
    <n v="4"/>
    <n v="18"/>
    <n v="13"/>
    <n v="13"/>
    <n v="11"/>
    <x v="0"/>
    <n v="0"/>
    <s v="30–39"/>
    <x v="1"/>
    <n v="1"/>
    <s v="Low"/>
  </r>
  <r>
    <n v="47"/>
    <s v="No"/>
    <s v="Travel_Rarely"/>
    <n v="983"/>
    <x v="1"/>
    <n v="2"/>
    <n v="2"/>
    <s v="Medical"/>
    <n v="574"/>
    <n v="1"/>
    <x v="0"/>
    <n v="65"/>
    <n v="3"/>
    <n v="2"/>
    <x v="3"/>
    <x v="0"/>
    <s v="Divorced"/>
    <n v="5070"/>
    <n v="7389"/>
    <n v="5"/>
    <x v="1"/>
    <n v="13"/>
    <n v="3"/>
    <n v="3"/>
    <n v="3"/>
    <n v="20"/>
    <n v="2"/>
    <n v="3"/>
    <n v="5"/>
    <n v="0"/>
    <n v="0"/>
    <n v="4"/>
    <x v="3"/>
    <n v="0"/>
    <s v="50+"/>
    <x v="0"/>
    <n v="0"/>
    <s v="Low"/>
  </r>
  <r>
    <n v="46"/>
    <s v="No"/>
    <s v="Travel_Rarely"/>
    <n v="1009"/>
    <x v="1"/>
    <n v="2"/>
    <n v="3"/>
    <s v="Life Sciences"/>
    <n v="575"/>
    <n v="1"/>
    <x v="1"/>
    <n v="51"/>
    <n v="3"/>
    <n v="4"/>
    <x v="7"/>
    <x v="2"/>
    <s v="Married"/>
    <n v="17861"/>
    <n v="2288"/>
    <n v="6"/>
    <x v="1"/>
    <n v="13"/>
    <n v="3"/>
    <n v="3"/>
    <n v="0"/>
    <n v="26"/>
    <n v="2"/>
    <n v="1"/>
    <n v="3"/>
    <n v="2"/>
    <n v="0"/>
    <n v="1"/>
    <x v="2"/>
    <n v="0"/>
    <s v="40–49"/>
    <x v="2"/>
    <n v="1"/>
    <s v="Low"/>
  </r>
  <r>
    <n v="35"/>
    <s v="No"/>
    <s v="Travel_Rarely"/>
    <n v="144"/>
    <x v="1"/>
    <n v="22"/>
    <n v="3"/>
    <s v="Life Sciences"/>
    <n v="577"/>
    <n v="4"/>
    <x v="1"/>
    <n v="46"/>
    <n v="1"/>
    <n v="1"/>
    <x v="2"/>
    <x v="2"/>
    <s v="Single"/>
    <n v="4230"/>
    <n v="19225"/>
    <n v="0"/>
    <x v="1"/>
    <n v="15"/>
    <n v="3"/>
    <n v="3"/>
    <n v="0"/>
    <n v="6"/>
    <n v="2"/>
    <n v="3"/>
    <n v="5"/>
    <n v="4"/>
    <n v="4"/>
    <n v="3"/>
    <x v="3"/>
    <n v="0"/>
    <s v="40–49"/>
    <x v="2"/>
    <n v="0"/>
    <s v="Low"/>
  </r>
  <r>
    <n v="54"/>
    <s v="No"/>
    <s v="Travel_Rarely"/>
    <n v="548"/>
    <x v="1"/>
    <n v="8"/>
    <n v="4"/>
    <s v="Life Sciences"/>
    <n v="578"/>
    <n v="3"/>
    <x v="0"/>
    <n v="42"/>
    <n v="3"/>
    <n v="2"/>
    <x v="2"/>
    <x v="2"/>
    <s v="Single"/>
    <n v="3780"/>
    <n v="23428"/>
    <n v="7"/>
    <x v="1"/>
    <n v="11"/>
    <n v="3"/>
    <n v="3"/>
    <n v="0"/>
    <n v="19"/>
    <n v="3"/>
    <n v="3"/>
    <n v="1"/>
    <n v="0"/>
    <n v="0"/>
    <n v="0"/>
    <x v="2"/>
    <n v="0"/>
    <s v="30–39"/>
    <x v="2"/>
    <n v="1"/>
    <s v="Low"/>
  </r>
  <r>
    <n v="34"/>
    <s v="No"/>
    <s v="Travel_Rarely"/>
    <n v="1303"/>
    <x v="1"/>
    <n v="2"/>
    <n v="4"/>
    <s v="Life Sciences"/>
    <n v="579"/>
    <n v="4"/>
    <x v="1"/>
    <n v="62"/>
    <n v="2"/>
    <n v="1"/>
    <x v="1"/>
    <x v="2"/>
    <s v="Divorced"/>
    <n v="2768"/>
    <n v="8416"/>
    <n v="3"/>
    <x v="1"/>
    <n v="12"/>
    <n v="3"/>
    <n v="3"/>
    <n v="1"/>
    <n v="14"/>
    <n v="3"/>
    <n v="3"/>
    <n v="7"/>
    <n v="3"/>
    <n v="5"/>
    <n v="7"/>
    <x v="0"/>
    <n v="0"/>
    <s v="50+"/>
    <x v="2"/>
    <n v="0"/>
    <s v="Low"/>
  </r>
  <r>
    <n v="46"/>
    <s v="No"/>
    <s v="Travel_Rarely"/>
    <n v="1125"/>
    <x v="0"/>
    <n v="10"/>
    <n v="3"/>
    <s v="Marketing"/>
    <n v="580"/>
    <n v="3"/>
    <x v="0"/>
    <n v="94"/>
    <n v="2"/>
    <n v="3"/>
    <x v="0"/>
    <x v="0"/>
    <s v="Married"/>
    <n v="9071"/>
    <n v="11563"/>
    <n v="2"/>
    <x v="0"/>
    <n v="19"/>
    <n v="3"/>
    <n v="3"/>
    <n v="1"/>
    <n v="15"/>
    <n v="3"/>
    <n v="3"/>
    <n v="3"/>
    <n v="2"/>
    <n v="1"/>
    <n v="2"/>
    <x v="2"/>
    <n v="0"/>
    <s v="30–39"/>
    <x v="0"/>
    <n v="2"/>
    <s v="Medium"/>
  </r>
  <r>
    <n v="31"/>
    <s v="No"/>
    <s v="Travel_Rarely"/>
    <n v="1274"/>
    <x v="1"/>
    <n v="9"/>
    <n v="1"/>
    <s v="Life Sciences"/>
    <n v="581"/>
    <n v="3"/>
    <x v="1"/>
    <n v="33"/>
    <n v="3"/>
    <n v="3"/>
    <x v="3"/>
    <x v="1"/>
    <s v="Divorced"/>
    <n v="10648"/>
    <n v="14394"/>
    <n v="1"/>
    <x v="1"/>
    <n v="25"/>
    <n v="4"/>
    <n v="4"/>
    <n v="1"/>
    <n v="13"/>
    <n v="6"/>
    <n v="4"/>
    <n v="13"/>
    <n v="8"/>
    <n v="0"/>
    <n v="8"/>
    <x v="0"/>
    <n v="0"/>
    <s v="40–49"/>
    <x v="1"/>
    <n v="1"/>
    <s v="Low"/>
  </r>
  <r>
    <n v="33"/>
    <s v="Yes"/>
    <s v="Travel_Rarely"/>
    <n v="1277"/>
    <x v="1"/>
    <n v="15"/>
    <n v="1"/>
    <s v="Medical"/>
    <n v="582"/>
    <n v="2"/>
    <x v="1"/>
    <n v="56"/>
    <n v="3"/>
    <n v="3"/>
    <x v="5"/>
    <x v="2"/>
    <s v="Married"/>
    <n v="13610"/>
    <n v="24619"/>
    <n v="7"/>
    <x v="0"/>
    <n v="12"/>
    <n v="3"/>
    <n v="4"/>
    <n v="0"/>
    <n v="15"/>
    <n v="2"/>
    <n v="4"/>
    <n v="7"/>
    <n v="6"/>
    <n v="7"/>
    <n v="7"/>
    <x v="0"/>
    <n v="1"/>
    <s v="30–39"/>
    <x v="2"/>
    <n v="1"/>
    <s v="Low"/>
  </r>
  <r>
    <n v="33"/>
    <s v="Yes"/>
    <s v="Travel_Rarely"/>
    <n v="587"/>
    <x v="1"/>
    <n v="10"/>
    <n v="1"/>
    <s v="Medical"/>
    <n v="584"/>
    <n v="1"/>
    <x v="1"/>
    <n v="38"/>
    <n v="1"/>
    <n v="1"/>
    <x v="2"/>
    <x v="0"/>
    <s v="Divorced"/>
    <n v="3408"/>
    <n v="6705"/>
    <n v="7"/>
    <x v="1"/>
    <n v="13"/>
    <n v="3"/>
    <n v="1"/>
    <n v="3"/>
    <n v="8"/>
    <n v="2"/>
    <n v="3"/>
    <n v="4"/>
    <n v="3"/>
    <n v="1"/>
    <n v="3"/>
    <x v="3"/>
    <n v="1"/>
    <s v="30–39"/>
    <x v="0"/>
    <n v="0"/>
    <s v="Low"/>
  </r>
  <r>
    <n v="30"/>
    <s v="No"/>
    <s v="Travel_Rarely"/>
    <n v="413"/>
    <x v="0"/>
    <n v="7"/>
    <n v="1"/>
    <s v="Marketing"/>
    <n v="585"/>
    <n v="4"/>
    <x v="1"/>
    <n v="57"/>
    <n v="3"/>
    <n v="1"/>
    <x v="6"/>
    <x v="1"/>
    <s v="Single"/>
    <n v="2983"/>
    <n v="18398"/>
    <n v="0"/>
    <x v="1"/>
    <n v="14"/>
    <n v="3"/>
    <n v="1"/>
    <n v="0"/>
    <n v="4"/>
    <n v="3"/>
    <n v="3"/>
    <n v="3"/>
    <n v="2"/>
    <n v="1"/>
    <n v="2"/>
    <x v="2"/>
    <n v="0"/>
    <s v="30–39"/>
    <x v="1"/>
    <n v="2"/>
    <s v="Medium"/>
  </r>
  <r>
    <n v="35"/>
    <s v="No"/>
    <s v="Travel_Rarely"/>
    <n v="1276"/>
    <x v="1"/>
    <n v="16"/>
    <n v="3"/>
    <s v="Life Sciences"/>
    <n v="586"/>
    <n v="4"/>
    <x v="1"/>
    <n v="72"/>
    <n v="3"/>
    <n v="3"/>
    <x v="4"/>
    <x v="2"/>
    <s v="Married"/>
    <n v="7632"/>
    <n v="14295"/>
    <n v="4"/>
    <x v="0"/>
    <n v="12"/>
    <n v="3"/>
    <n v="3"/>
    <n v="0"/>
    <n v="10"/>
    <n v="2"/>
    <n v="3"/>
    <n v="8"/>
    <n v="7"/>
    <n v="0"/>
    <n v="0"/>
    <x v="0"/>
    <n v="0"/>
    <s v="30–39"/>
    <x v="2"/>
    <n v="1"/>
    <s v="Low"/>
  </r>
  <r>
    <n v="31"/>
    <s v="Yes"/>
    <s v="Travel_Frequently"/>
    <n v="534"/>
    <x v="1"/>
    <n v="20"/>
    <n v="3"/>
    <s v="Life Sciences"/>
    <n v="587"/>
    <n v="1"/>
    <x v="1"/>
    <n v="66"/>
    <n v="3"/>
    <n v="3"/>
    <x v="4"/>
    <x v="2"/>
    <s v="Married"/>
    <n v="9824"/>
    <n v="22908"/>
    <n v="3"/>
    <x v="1"/>
    <n v="12"/>
    <n v="3"/>
    <n v="1"/>
    <n v="0"/>
    <n v="12"/>
    <n v="2"/>
    <n v="3"/>
    <n v="1"/>
    <n v="0"/>
    <n v="0"/>
    <n v="0"/>
    <x v="2"/>
    <n v="1"/>
    <s v="30–39"/>
    <x v="2"/>
    <n v="1"/>
    <s v="Low"/>
  </r>
  <r>
    <n v="34"/>
    <s v="Yes"/>
    <s v="Travel_Frequently"/>
    <n v="988"/>
    <x v="2"/>
    <n v="23"/>
    <n v="3"/>
    <s v="Human Resources"/>
    <n v="590"/>
    <n v="2"/>
    <x v="0"/>
    <n v="43"/>
    <n v="3"/>
    <n v="3"/>
    <x v="8"/>
    <x v="3"/>
    <s v="Divorced"/>
    <n v="9950"/>
    <n v="11533"/>
    <n v="9"/>
    <x v="0"/>
    <n v="15"/>
    <n v="3"/>
    <n v="3"/>
    <n v="3"/>
    <n v="11"/>
    <n v="2"/>
    <n v="3"/>
    <n v="3"/>
    <n v="2"/>
    <n v="0"/>
    <n v="2"/>
    <x v="2"/>
    <n v="1"/>
    <s v="30–39"/>
    <x v="1"/>
    <n v="3"/>
    <s v="High"/>
  </r>
  <r>
    <n v="42"/>
    <s v="No"/>
    <s v="Travel_Frequently"/>
    <n v="1474"/>
    <x v="1"/>
    <n v="5"/>
    <n v="2"/>
    <s v="Other"/>
    <n v="591"/>
    <n v="2"/>
    <x v="1"/>
    <n v="97"/>
    <n v="3"/>
    <n v="1"/>
    <x v="2"/>
    <x v="2"/>
    <s v="Married"/>
    <n v="2093"/>
    <n v="9260"/>
    <n v="4"/>
    <x v="1"/>
    <n v="17"/>
    <n v="3"/>
    <n v="4"/>
    <n v="1"/>
    <n v="8"/>
    <n v="4"/>
    <n v="3"/>
    <n v="2"/>
    <n v="2"/>
    <n v="2"/>
    <n v="0"/>
    <x v="2"/>
    <n v="0"/>
    <s v="30–39"/>
    <x v="2"/>
    <n v="1"/>
    <s v="Low"/>
  </r>
  <r>
    <n v="36"/>
    <s v="No"/>
    <s v="Non-Travel"/>
    <n v="635"/>
    <x v="0"/>
    <n v="10"/>
    <n v="4"/>
    <s v="Medical"/>
    <n v="592"/>
    <n v="2"/>
    <x v="1"/>
    <n v="32"/>
    <n v="3"/>
    <n v="3"/>
    <x v="0"/>
    <x v="0"/>
    <s v="Single"/>
    <n v="9980"/>
    <n v="15318"/>
    <n v="1"/>
    <x v="1"/>
    <n v="14"/>
    <n v="3"/>
    <n v="4"/>
    <n v="0"/>
    <n v="10"/>
    <n v="3"/>
    <n v="2"/>
    <n v="10"/>
    <n v="3"/>
    <n v="9"/>
    <n v="7"/>
    <x v="0"/>
    <n v="0"/>
    <s v="40–49"/>
    <x v="0"/>
    <n v="0"/>
    <s v="Low"/>
  </r>
  <r>
    <n v="22"/>
    <s v="Yes"/>
    <s v="Travel_Frequently"/>
    <n v="1368"/>
    <x v="1"/>
    <n v="4"/>
    <n v="1"/>
    <s v="Technical Degree"/>
    <n v="593"/>
    <n v="3"/>
    <x v="1"/>
    <n v="99"/>
    <n v="2"/>
    <n v="1"/>
    <x v="2"/>
    <x v="2"/>
    <s v="Single"/>
    <n v="3894"/>
    <n v="9129"/>
    <n v="5"/>
    <x v="1"/>
    <n v="16"/>
    <n v="3"/>
    <n v="3"/>
    <n v="0"/>
    <n v="4"/>
    <n v="3"/>
    <n v="3"/>
    <n v="2"/>
    <n v="2"/>
    <n v="1"/>
    <n v="2"/>
    <x v="2"/>
    <n v="1"/>
    <s v="30–39"/>
    <x v="2"/>
    <n v="1"/>
    <s v="Low"/>
  </r>
  <r>
    <n v="48"/>
    <s v="No"/>
    <s v="Travel_Rarely"/>
    <n v="163"/>
    <x v="0"/>
    <n v="2"/>
    <n v="5"/>
    <s v="Marketing"/>
    <n v="595"/>
    <n v="2"/>
    <x v="0"/>
    <n v="37"/>
    <n v="3"/>
    <n v="2"/>
    <x v="0"/>
    <x v="0"/>
    <s v="Married"/>
    <n v="4051"/>
    <n v="19658"/>
    <n v="2"/>
    <x v="1"/>
    <n v="14"/>
    <n v="3"/>
    <n v="1"/>
    <n v="1"/>
    <n v="14"/>
    <n v="2"/>
    <n v="3"/>
    <n v="9"/>
    <n v="7"/>
    <n v="6"/>
    <n v="7"/>
    <x v="0"/>
    <n v="0"/>
    <s v="&lt;30"/>
    <x v="0"/>
    <n v="0"/>
    <s v="Low"/>
  </r>
  <r>
    <n v="55"/>
    <s v="No"/>
    <s v="Travel_Rarely"/>
    <n v="1117"/>
    <x v="0"/>
    <n v="18"/>
    <n v="5"/>
    <s v="Life Sciences"/>
    <n v="597"/>
    <n v="1"/>
    <x v="0"/>
    <n v="83"/>
    <n v="3"/>
    <n v="4"/>
    <x v="5"/>
    <x v="1"/>
    <s v="Single"/>
    <n v="16835"/>
    <n v="9873"/>
    <n v="3"/>
    <x v="1"/>
    <n v="23"/>
    <n v="4"/>
    <n v="4"/>
    <n v="0"/>
    <n v="37"/>
    <n v="2"/>
    <n v="3"/>
    <n v="10"/>
    <n v="9"/>
    <n v="7"/>
    <n v="7"/>
    <x v="0"/>
    <n v="0"/>
    <s v="40–49"/>
    <x v="1"/>
    <n v="1"/>
    <s v="Low"/>
  </r>
  <r>
    <n v="41"/>
    <s v="No"/>
    <s v="Non-Travel"/>
    <n v="267"/>
    <x v="0"/>
    <n v="10"/>
    <n v="2"/>
    <s v="Life Sciences"/>
    <n v="599"/>
    <n v="4"/>
    <x v="1"/>
    <n v="56"/>
    <n v="3"/>
    <n v="2"/>
    <x v="0"/>
    <x v="0"/>
    <s v="Single"/>
    <n v="6230"/>
    <n v="13430"/>
    <n v="7"/>
    <x v="1"/>
    <n v="14"/>
    <n v="3"/>
    <n v="4"/>
    <n v="0"/>
    <n v="16"/>
    <n v="3"/>
    <n v="3"/>
    <n v="14"/>
    <n v="3"/>
    <n v="1"/>
    <n v="10"/>
    <x v="0"/>
    <n v="0"/>
    <s v="50+"/>
    <x v="0"/>
    <n v="0"/>
    <s v="Low"/>
  </r>
  <r>
    <n v="35"/>
    <s v="No"/>
    <s v="Travel_Rarely"/>
    <n v="619"/>
    <x v="0"/>
    <n v="1"/>
    <n v="3"/>
    <s v="Marketing"/>
    <n v="600"/>
    <n v="2"/>
    <x v="1"/>
    <n v="85"/>
    <n v="3"/>
    <n v="2"/>
    <x v="0"/>
    <x v="2"/>
    <s v="Married"/>
    <n v="4717"/>
    <n v="18659"/>
    <n v="9"/>
    <x v="1"/>
    <n v="11"/>
    <n v="3"/>
    <n v="3"/>
    <n v="0"/>
    <n v="15"/>
    <n v="2"/>
    <n v="3"/>
    <n v="11"/>
    <n v="9"/>
    <n v="6"/>
    <n v="9"/>
    <x v="0"/>
    <n v="0"/>
    <s v="40–49"/>
    <x v="2"/>
    <n v="0"/>
    <s v="Low"/>
  </r>
  <r>
    <n v="40"/>
    <s v="No"/>
    <s v="Travel_Rarely"/>
    <n v="302"/>
    <x v="1"/>
    <n v="6"/>
    <n v="3"/>
    <s v="Life Sciences"/>
    <n v="601"/>
    <n v="2"/>
    <x v="0"/>
    <n v="75"/>
    <n v="3"/>
    <n v="4"/>
    <x v="3"/>
    <x v="2"/>
    <s v="Single"/>
    <n v="13237"/>
    <n v="20364"/>
    <n v="7"/>
    <x v="1"/>
    <n v="15"/>
    <n v="3"/>
    <n v="3"/>
    <n v="0"/>
    <n v="22"/>
    <n v="3"/>
    <n v="3"/>
    <n v="20"/>
    <n v="6"/>
    <n v="5"/>
    <n v="13"/>
    <x v="0"/>
    <n v="0"/>
    <s v="30–39"/>
    <x v="2"/>
    <n v="0"/>
    <s v="Low"/>
  </r>
  <r>
    <n v="39"/>
    <s v="No"/>
    <s v="Travel_Frequently"/>
    <n v="443"/>
    <x v="1"/>
    <n v="8"/>
    <n v="1"/>
    <s v="Life Sciences"/>
    <n v="602"/>
    <n v="3"/>
    <x v="0"/>
    <n v="48"/>
    <n v="3"/>
    <n v="1"/>
    <x v="2"/>
    <x v="2"/>
    <s v="Married"/>
    <n v="3755"/>
    <n v="17872"/>
    <n v="1"/>
    <x v="1"/>
    <n v="11"/>
    <n v="3"/>
    <n v="1"/>
    <n v="1"/>
    <n v="8"/>
    <n v="3"/>
    <n v="3"/>
    <n v="8"/>
    <n v="3"/>
    <n v="0"/>
    <n v="7"/>
    <x v="0"/>
    <n v="0"/>
    <s v="40–49"/>
    <x v="2"/>
    <n v="0"/>
    <s v="Low"/>
  </r>
  <r>
    <n v="31"/>
    <s v="No"/>
    <s v="Travel_Rarely"/>
    <n v="828"/>
    <x v="0"/>
    <n v="2"/>
    <n v="1"/>
    <s v="Life Sciences"/>
    <n v="604"/>
    <n v="2"/>
    <x v="1"/>
    <n v="77"/>
    <n v="3"/>
    <n v="2"/>
    <x v="0"/>
    <x v="0"/>
    <s v="Single"/>
    <n v="6582"/>
    <n v="8346"/>
    <n v="4"/>
    <x v="0"/>
    <n v="13"/>
    <n v="3"/>
    <n v="3"/>
    <n v="0"/>
    <n v="10"/>
    <n v="2"/>
    <n v="4"/>
    <n v="6"/>
    <n v="5"/>
    <n v="0"/>
    <n v="5"/>
    <x v="0"/>
    <n v="0"/>
    <s v="30–39"/>
    <x v="0"/>
    <n v="1"/>
    <s v="Low"/>
  </r>
  <r>
    <n v="42"/>
    <s v="No"/>
    <s v="Travel_Rarely"/>
    <n v="319"/>
    <x v="1"/>
    <n v="24"/>
    <n v="3"/>
    <s v="Medical"/>
    <n v="605"/>
    <n v="4"/>
    <x v="1"/>
    <n v="56"/>
    <n v="3"/>
    <n v="3"/>
    <x v="3"/>
    <x v="3"/>
    <s v="Married"/>
    <n v="7406"/>
    <n v="6950"/>
    <n v="1"/>
    <x v="0"/>
    <n v="21"/>
    <n v="4"/>
    <n v="4"/>
    <n v="1"/>
    <n v="10"/>
    <n v="5"/>
    <n v="2"/>
    <n v="10"/>
    <n v="9"/>
    <n v="5"/>
    <n v="8"/>
    <x v="0"/>
    <n v="0"/>
    <s v="30–39"/>
    <x v="1"/>
    <n v="2"/>
    <s v="Medium"/>
  </r>
  <r>
    <n v="45"/>
    <s v="No"/>
    <s v="Travel_Rarely"/>
    <n v="561"/>
    <x v="0"/>
    <n v="2"/>
    <n v="3"/>
    <s v="Other"/>
    <n v="606"/>
    <n v="4"/>
    <x v="1"/>
    <n v="61"/>
    <n v="3"/>
    <n v="2"/>
    <x v="0"/>
    <x v="1"/>
    <s v="Married"/>
    <n v="4805"/>
    <n v="16177"/>
    <n v="0"/>
    <x v="1"/>
    <n v="19"/>
    <n v="3"/>
    <n v="2"/>
    <n v="1"/>
    <n v="9"/>
    <n v="3"/>
    <n v="4"/>
    <n v="8"/>
    <n v="7"/>
    <n v="3"/>
    <n v="7"/>
    <x v="0"/>
    <n v="0"/>
    <s v="40–49"/>
    <x v="1"/>
    <n v="1"/>
    <s v="Low"/>
  </r>
  <r>
    <n v="26"/>
    <s v="Yes"/>
    <s v="Travel_Frequently"/>
    <n v="426"/>
    <x v="2"/>
    <n v="17"/>
    <n v="4"/>
    <s v="Life Sciences"/>
    <n v="608"/>
    <n v="2"/>
    <x v="0"/>
    <n v="58"/>
    <n v="3"/>
    <n v="1"/>
    <x v="8"/>
    <x v="2"/>
    <s v="Divorced"/>
    <n v="2741"/>
    <n v="22808"/>
    <n v="0"/>
    <x v="0"/>
    <n v="11"/>
    <n v="3"/>
    <n v="2"/>
    <n v="1"/>
    <n v="8"/>
    <n v="2"/>
    <n v="2"/>
    <n v="7"/>
    <n v="7"/>
    <n v="1"/>
    <n v="0"/>
    <x v="0"/>
    <n v="1"/>
    <s v="40–49"/>
    <x v="2"/>
    <n v="1"/>
    <s v="Low"/>
  </r>
  <r>
    <n v="29"/>
    <s v="No"/>
    <s v="Travel_Rarely"/>
    <n v="232"/>
    <x v="1"/>
    <n v="19"/>
    <n v="3"/>
    <s v="Technical Degree"/>
    <n v="611"/>
    <n v="4"/>
    <x v="1"/>
    <n v="34"/>
    <n v="3"/>
    <n v="2"/>
    <x v="3"/>
    <x v="0"/>
    <s v="Divorced"/>
    <n v="4262"/>
    <n v="22645"/>
    <n v="4"/>
    <x v="1"/>
    <n v="12"/>
    <n v="3"/>
    <n v="2"/>
    <n v="2"/>
    <n v="8"/>
    <n v="2"/>
    <n v="4"/>
    <n v="3"/>
    <n v="2"/>
    <n v="1"/>
    <n v="2"/>
    <x v="2"/>
    <n v="0"/>
    <s v="&lt;30"/>
    <x v="0"/>
    <n v="1"/>
    <s v="Low"/>
  </r>
  <r>
    <n v="33"/>
    <s v="No"/>
    <s v="Travel_Rarely"/>
    <n v="922"/>
    <x v="1"/>
    <n v="1"/>
    <n v="5"/>
    <s v="Medical"/>
    <n v="612"/>
    <n v="1"/>
    <x v="0"/>
    <n v="95"/>
    <n v="4"/>
    <n v="4"/>
    <x v="7"/>
    <x v="2"/>
    <s v="Divorced"/>
    <n v="16184"/>
    <n v="22578"/>
    <n v="4"/>
    <x v="1"/>
    <n v="19"/>
    <n v="3"/>
    <n v="3"/>
    <n v="1"/>
    <n v="10"/>
    <n v="2"/>
    <n v="3"/>
    <n v="6"/>
    <n v="1"/>
    <n v="0"/>
    <n v="5"/>
    <x v="0"/>
    <n v="0"/>
    <s v="&lt;30"/>
    <x v="2"/>
    <n v="0"/>
    <s v="Low"/>
  </r>
  <r>
    <n v="31"/>
    <s v="No"/>
    <s v="Travel_Rarely"/>
    <n v="688"/>
    <x v="0"/>
    <n v="7"/>
    <n v="3"/>
    <s v="Life Sciences"/>
    <n v="613"/>
    <n v="3"/>
    <x v="1"/>
    <n v="44"/>
    <n v="2"/>
    <n v="3"/>
    <x v="5"/>
    <x v="0"/>
    <s v="Divorced"/>
    <n v="11557"/>
    <n v="25291"/>
    <n v="9"/>
    <x v="1"/>
    <n v="21"/>
    <n v="4"/>
    <n v="3"/>
    <n v="1"/>
    <n v="10"/>
    <n v="3"/>
    <n v="2"/>
    <n v="5"/>
    <n v="4"/>
    <n v="0"/>
    <n v="1"/>
    <x v="3"/>
    <n v="0"/>
    <s v="30–39"/>
    <x v="0"/>
    <n v="0"/>
    <s v="Low"/>
  </r>
  <r>
    <n v="18"/>
    <s v="Yes"/>
    <s v="Travel_Frequently"/>
    <n v="1306"/>
    <x v="0"/>
    <n v="5"/>
    <n v="3"/>
    <s v="Marketing"/>
    <n v="614"/>
    <n v="2"/>
    <x v="1"/>
    <n v="69"/>
    <n v="3"/>
    <n v="1"/>
    <x v="6"/>
    <x v="1"/>
    <s v="Single"/>
    <n v="1878"/>
    <n v="8059"/>
    <n v="1"/>
    <x v="0"/>
    <n v="14"/>
    <n v="3"/>
    <n v="4"/>
    <n v="0"/>
    <n v="0"/>
    <n v="3"/>
    <n v="3"/>
    <n v="0"/>
    <n v="0"/>
    <n v="0"/>
    <n v="0"/>
    <x v="1"/>
    <n v="1"/>
    <s v="30–39"/>
    <x v="1"/>
    <n v="3"/>
    <s v="High"/>
  </r>
  <r>
    <n v="40"/>
    <s v="No"/>
    <s v="Non-Travel"/>
    <n v="1094"/>
    <x v="0"/>
    <n v="28"/>
    <n v="3"/>
    <s v="Other"/>
    <n v="615"/>
    <n v="3"/>
    <x v="1"/>
    <n v="58"/>
    <n v="1"/>
    <n v="3"/>
    <x v="0"/>
    <x v="3"/>
    <s v="Divorced"/>
    <n v="10932"/>
    <n v="11373"/>
    <n v="3"/>
    <x v="1"/>
    <n v="15"/>
    <n v="3"/>
    <n v="3"/>
    <n v="1"/>
    <n v="20"/>
    <n v="2"/>
    <n v="3"/>
    <n v="1"/>
    <n v="0"/>
    <n v="0"/>
    <n v="1"/>
    <x v="2"/>
    <n v="0"/>
    <s v="&lt;30"/>
    <x v="1"/>
    <n v="2"/>
    <s v="Medium"/>
  </r>
  <r>
    <n v="41"/>
    <s v="No"/>
    <s v="Non-Travel"/>
    <n v="509"/>
    <x v="1"/>
    <n v="2"/>
    <n v="4"/>
    <s v="Other"/>
    <n v="616"/>
    <n v="1"/>
    <x v="0"/>
    <n v="62"/>
    <n v="2"/>
    <n v="2"/>
    <x v="4"/>
    <x v="2"/>
    <s v="Single"/>
    <n v="6811"/>
    <n v="2112"/>
    <n v="2"/>
    <x v="0"/>
    <n v="17"/>
    <n v="3"/>
    <n v="1"/>
    <n v="0"/>
    <n v="10"/>
    <n v="3"/>
    <n v="3"/>
    <n v="8"/>
    <n v="7"/>
    <n v="0"/>
    <n v="7"/>
    <x v="0"/>
    <n v="0"/>
    <s v="40–49"/>
    <x v="2"/>
    <n v="1"/>
    <s v="Low"/>
  </r>
  <r>
    <n v="26"/>
    <s v="No"/>
    <s v="Travel_Rarely"/>
    <n v="775"/>
    <x v="0"/>
    <n v="29"/>
    <n v="2"/>
    <s v="Medical"/>
    <n v="618"/>
    <n v="1"/>
    <x v="1"/>
    <n v="45"/>
    <n v="3"/>
    <n v="2"/>
    <x v="0"/>
    <x v="2"/>
    <s v="Divorced"/>
    <n v="4306"/>
    <n v="4267"/>
    <n v="5"/>
    <x v="1"/>
    <n v="12"/>
    <n v="3"/>
    <n v="1"/>
    <n v="2"/>
    <n v="8"/>
    <n v="5"/>
    <n v="3"/>
    <n v="0"/>
    <n v="0"/>
    <n v="0"/>
    <n v="0"/>
    <x v="1"/>
    <n v="0"/>
    <s v="40–49"/>
    <x v="2"/>
    <n v="1"/>
    <s v="Low"/>
  </r>
  <r>
    <n v="35"/>
    <s v="No"/>
    <s v="Travel_Rarely"/>
    <n v="195"/>
    <x v="0"/>
    <n v="1"/>
    <n v="3"/>
    <s v="Medical"/>
    <n v="620"/>
    <n v="1"/>
    <x v="0"/>
    <n v="80"/>
    <n v="3"/>
    <n v="2"/>
    <x v="0"/>
    <x v="2"/>
    <s v="Single"/>
    <n v="4859"/>
    <n v="6698"/>
    <n v="1"/>
    <x v="1"/>
    <n v="16"/>
    <n v="3"/>
    <n v="4"/>
    <n v="0"/>
    <n v="5"/>
    <n v="3"/>
    <n v="3"/>
    <n v="5"/>
    <n v="4"/>
    <n v="0"/>
    <n v="3"/>
    <x v="3"/>
    <n v="0"/>
    <s v="&lt;30"/>
    <x v="2"/>
    <n v="0"/>
    <s v="Low"/>
  </r>
  <r>
    <n v="34"/>
    <s v="No"/>
    <s v="Travel_Rarely"/>
    <n v="258"/>
    <x v="0"/>
    <n v="21"/>
    <n v="4"/>
    <s v="Life Sciences"/>
    <n v="621"/>
    <n v="4"/>
    <x v="1"/>
    <n v="74"/>
    <n v="4"/>
    <n v="2"/>
    <x v="0"/>
    <x v="0"/>
    <s v="Single"/>
    <n v="5337"/>
    <n v="19921"/>
    <n v="1"/>
    <x v="1"/>
    <n v="12"/>
    <n v="3"/>
    <n v="4"/>
    <n v="0"/>
    <n v="10"/>
    <n v="3"/>
    <n v="3"/>
    <n v="10"/>
    <n v="7"/>
    <n v="5"/>
    <n v="7"/>
    <x v="0"/>
    <n v="0"/>
    <s v="30–39"/>
    <x v="0"/>
    <n v="0"/>
    <s v="Low"/>
  </r>
  <r>
    <n v="26"/>
    <s v="Yes"/>
    <s v="Travel_Rarely"/>
    <n v="471"/>
    <x v="1"/>
    <n v="24"/>
    <n v="3"/>
    <s v="Technical Degree"/>
    <n v="622"/>
    <n v="3"/>
    <x v="1"/>
    <n v="66"/>
    <n v="1"/>
    <n v="1"/>
    <x v="2"/>
    <x v="0"/>
    <s v="Single"/>
    <n v="2340"/>
    <n v="23213"/>
    <n v="1"/>
    <x v="0"/>
    <n v="18"/>
    <n v="3"/>
    <n v="2"/>
    <n v="0"/>
    <n v="1"/>
    <n v="3"/>
    <n v="1"/>
    <n v="1"/>
    <n v="0"/>
    <n v="0"/>
    <n v="0"/>
    <x v="2"/>
    <n v="1"/>
    <s v="30–39"/>
    <x v="0"/>
    <n v="2"/>
    <s v="Medium"/>
  </r>
  <r>
    <n v="37"/>
    <s v="No"/>
    <s v="Travel_Rarely"/>
    <n v="799"/>
    <x v="1"/>
    <n v="1"/>
    <n v="3"/>
    <s v="Technical Degree"/>
    <n v="623"/>
    <n v="2"/>
    <x v="0"/>
    <n v="59"/>
    <n v="3"/>
    <n v="3"/>
    <x v="3"/>
    <x v="0"/>
    <s v="Single"/>
    <n v="7491"/>
    <n v="23848"/>
    <n v="4"/>
    <x v="1"/>
    <n v="17"/>
    <n v="3"/>
    <n v="4"/>
    <n v="0"/>
    <n v="12"/>
    <n v="3"/>
    <n v="4"/>
    <n v="6"/>
    <n v="5"/>
    <n v="1"/>
    <n v="2"/>
    <x v="0"/>
    <n v="0"/>
    <s v="&lt;30"/>
    <x v="0"/>
    <n v="0"/>
    <s v="Low"/>
  </r>
  <r>
    <n v="46"/>
    <s v="No"/>
    <s v="Travel_Frequently"/>
    <n v="1034"/>
    <x v="1"/>
    <n v="18"/>
    <n v="1"/>
    <s v="Medical"/>
    <n v="624"/>
    <n v="1"/>
    <x v="0"/>
    <n v="86"/>
    <n v="3"/>
    <n v="3"/>
    <x v="4"/>
    <x v="2"/>
    <s v="Married"/>
    <n v="10527"/>
    <n v="8984"/>
    <n v="5"/>
    <x v="1"/>
    <n v="11"/>
    <n v="3"/>
    <n v="4"/>
    <n v="0"/>
    <n v="28"/>
    <n v="3"/>
    <n v="2"/>
    <n v="2"/>
    <n v="2"/>
    <n v="1"/>
    <n v="2"/>
    <x v="2"/>
    <n v="0"/>
    <s v="30–39"/>
    <x v="2"/>
    <n v="1"/>
    <s v="Low"/>
  </r>
  <r>
    <n v="41"/>
    <s v="No"/>
    <s v="Travel_Rarely"/>
    <n v="1276"/>
    <x v="0"/>
    <n v="2"/>
    <n v="5"/>
    <s v="Life Sciences"/>
    <n v="625"/>
    <n v="2"/>
    <x v="0"/>
    <n v="91"/>
    <n v="3"/>
    <n v="4"/>
    <x v="5"/>
    <x v="3"/>
    <s v="Married"/>
    <n v="16595"/>
    <n v="5626"/>
    <n v="7"/>
    <x v="1"/>
    <n v="16"/>
    <n v="3"/>
    <n v="2"/>
    <n v="1"/>
    <n v="22"/>
    <n v="2"/>
    <n v="3"/>
    <n v="18"/>
    <n v="16"/>
    <n v="11"/>
    <n v="8"/>
    <x v="0"/>
    <n v="0"/>
    <s v="40–49"/>
    <x v="1"/>
    <n v="1"/>
    <s v="Low"/>
  </r>
  <r>
    <n v="37"/>
    <s v="No"/>
    <s v="Non-Travel"/>
    <n v="142"/>
    <x v="0"/>
    <n v="9"/>
    <n v="4"/>
    <s v="Medical"/>
    <n v="626"/>
    <n v="1"/>
    <x v="1"/>
    <n v="69"/>
    <n v="3"/>
    <n v="3"/>
    <x v="0"/>
    <x v="1"/>
    <s v="Divorced"/>
    <n v="8834"/>
    <n v="24666"/>
    <n v="1"/>
    <x v="1"/>
    <n v="13"/>
    <n v="3"/>
    <n v="4"/>
    <n v="1"/>
    <n v="9"/>
    <n v="6"/>
    <n v="3"/>
    <n v="9"/>
    <n v="5"/>
    <n v="7"/>
    <n v="7"/>
    <x v="0"/>
    <n v="0"/>
    <s v="40–49"/>
    <x v="1"/>
    <n v="1"/>
    <s v="Low"/>
  </r>
  <r>
    <n v="52"/>
    <s v="No"/>
    <s v="Travel_Rarely"/>
    <n v="956"/>
    <x v="1"/>
    <n v="6"/>
    <n v="2"/>
    <s v="Technical Degree"/>
    <n v="630"/>
    <n v="4"/>
    <x v="1"/>
    <n v="78"/>
    <n v="3"/>
    <n v="2"/>
    <x v="1"/>
    <x v="3"/>
    <s v="Divorced"/>
    <n v="5577"/>
    <n v="22087"/>
    <n v="3"/>
    <x v="0"/>
    <n v="12"/>
    <n v="3"/>
    <n v="2"/>
    <n v="2"/>
    <n v="18"/>
    <n v="3"/>
    <n v="3"/>
    <n v="10"/>
    <n v="9"/>
    <n v="6"/>
    <n v="9"/>
    <x v="0"/>
    <n v="0"/>
    <s v="30–39"/>
    <x v="1"/>
    <n v="2"/>
    <s v="Medium"/>
  </r>
  <r>
    <n v="32"/>
    <s v="Yes"/>
    <s v="Non-Travel"/>
    <n v="1474"/>
    <x v="0"/>
    <n v="11"/>
    <n v="4"/>
    <s v="Other"/>
    <n v="631"/>
    <n v="4"/>
    <x v="1"/>
    <n v="60"/>
    <n v="4"/>
    <n v="2"/>
    <x v="0"/>
    <x v="2"/>
    <s v="Married"/>
    <n v="4707"/>
    <n v="23914"/>
    <n v="8"/>
    <x v="1"/>
    <n v="12"/>
    <n v="3"/>
    <n v="4"/>
    <n v="0"/>
    <n v="6"/>
    <n v="2"/>
    <n v="3"/>
    <n v="4"/>
    <n v="2"/>
    <n v="1"/>
    <n v="2"/>
    <x v="3"/>
    <n v="1"/>
    <s v="50+"/>
    <x v="2"/>
    <n v="0"/>
    <s v="Low"/>
  </r>
  <r>
    <n v="24"/>
    <s v="No"/>
    <s v="Travel_Frequently"/>
    <n v="535"/>
    <x v="0"/>
    <n v="24"/>
    <n v="3"/>
    <s v="Medical"/>
    <n v="632"/>
    <n v="4"/>
    <x v="1"/>
    <n v="38"/>
    <n v="3"/>
    <n v="1"/>
    <x v="6"/>
    <x v="0"/>
    <s v="Married"/>
    <n v="2400"/>
    <n v="5530"/>
    <n v="0"/>
    <x v="1"/>
    <n v="13"/>
    <n v="3"/>
    <n v="3"/>
    <n v="2"/>
    <n v="3"/>
    <n v="3"/>
    <n v="3"/>
    <n v="2"/>
    <n v="2"/>
    <n v="2"/>
    <n v="1"/>
    <x v="2"/>
    <n v="0"/>
    <s v="30–39"/>
    <x v="0"/>
    <n v="1"/>
    <s v="Low"/>
  </r>
  <r>
    <n v="38"/>
    <s v="No"/>
    <s v="Travel_Rarely"/>
    <n v="1495"/>
    <x v="1"/>
    <n v="10"/>
    <n v="3"/>
    <s v="Medical"/>
    <n v="634"/>
    <n v="3"/>
    <x v="0"/>
    <n v="76"/>
    <n v="3"/>
    <n v="2"/>
    <x v="4"/>
    <x v="2"/>
    <s v="Married"/>
    <n v="9824"/>
    <n v="22174"/>
    <n v="3"/>
    <x v="1"/>
    <n v="19"/>
    <n v="3"/>
    <n v="3"/>
    <n v="1"/>
    <n v="18"/>
    <n v="4"/>
    <n v="3"/>
    <n v="1"/>
    <n v="0"/>
    <n v="0"/>
    <n v="0"/>
    <x v="2"/>
    <n v="0"/>
    <s v="&lt;30"/>
    <x v="2"/>
    <n v="1"/>
    <s v="Low"/>
  </r>
  <r>
    <n v="37"/>
    <s v="No"/>
    <s v="Travel_Rarely"/>
    <n v="446"/>
    <x v="1"/>
    <n v="1"/>
    <n v="4"/>
    <s v="Life Sciences"/>
    <n v="635"/>
    <n v="2"/>
    <x v="0"/>
    <n v="65"/>
    <n v="3"/>
    <n v="2"/>
    <x v="3"/>
    <x v="1"/>
    <s v="Married"/>
    <n v="6447"/>
    <n v="15701"/>
    <n v="6"/>
    <x v="1"/>
    <n v="12"/>
    <n v="3"/>
    <n v="2"/>
    <n v="1"/>
    <n v="8"/>
    <n v="2"/>
    <n v="2"/>
    <n v="6"/>
    <n v="5"/>
    <n v="4"/>
    <n v="3"/>
    <x v="0"/>
    <n v="0"/>
    <s v="30–39"/>
    <x v="1"/>
    <n v="1"/>
    <s v="Low"/>
  </r>
  <r>
    <n v="49"/>
    <s v="No"/>
    <s v="Travel_Rarely"/>
    <n v="1245"/>
    <x v="1"/>
    <n v="18"/>
    <n v="4"/>
    <s v="Life Sciences"/>
    <n v="638"/>
    <n v="4"/>
    <x v="1"/>
    <n v="58"/>
    <n v="2"/>
    <n v="5"/>
    <x v="7"/>
    <x v="2"/>
    <s v="Divorced"/>
    <n v="19502"/>
    <n v="2125"/>
    <n v="1"/>
    <x v="0"/>
    <n v="17"/>
    <n v="3"/>
    <n v="3"/>
    <n v="1"/>
    <n v="31"/>
    <n v="5"/>
    <n v="3"/>
    <n v="31"/>
    <n v="9"/>
    <n v="0"/>
    <n v="9"/>
    <x v="0"/>
    <n v="0"/>
    <s v="30–39"/>
    <x v="2"/>
    <n v="1"/>
    <s v="Low"/>
  </r>
  <r>
    <n v="24"/>
    <s v="No"/>
    <s v="Travel_Rarely"/>
    <n v="691"/>
    <x v="1"/>
    <n v="23"/>
    <n v="3"/>
    <s v="Medical"/>
    <n v="639"/>
    <n v="2"/>
    <x v="1"/>
    <n v="89"/>
    <n v="4"/>
    <n v="1"/>
    <x v="1"/>
    <x v="0"/>
    <s v="Married"/>
    <n v="2725"/>
    <n v="21630"/>
    <n v="1"/>
    <x v="0"/>
    <n v="11"/>
    <n v="3"/>
    <n v="2"/>
    <n v="2"/>
    <n v="6"/>
    <n v="3"/>
    <n v="3"/>
    <n v="6"/>
    <n v="5"/>
    <n v="1"/>
    <n v="4"/>
    <x v="0"/>
    <n v="0"/>
    <s v="40–49"/>
    <x v="0"/>
    <n v="1"/>
    <s v="Low"/>
  </r>
  <r>
    <n v="26"/>
    <s v="No"/>
    <s v="Travel_Rarely"/>
    <n v="703"/>
    <x v="0"/>
    <n v="28"/>
    <n v="2"/>
    <s v="Marketing"/>
    <n v="641"/>
    <n v="1"/>
    <x v="1"/>
    <n v="66"/>
    <n v="3"/>
    <n v="2"/>
    <x v="0"/>
    <x v="1"/>
    <s v="Married"/>
    <n v="6272"/>
    <n v="7428"/>
    <n v="1"/>
    <x v="1"/>
    <n v="20"/>
    <n v="4"/>
    <n v="4"/>
    <n v="2"/>
    <n v="6"/>
    <n v="5"/>
    <n v="4"/>
    <n v="5"/>
    <n v="3"/>
    <n v="1"/>
    <n v="4"/>
    <x v="3"/>
    <n v="0"/>
    <s v="&lt;30"/>
    <x v="1"/>
    <n v="1"/>
    <s v="Low"/>
  </r>
  <r>
    <n v="24"/>
    <s v="No"/>
    <s v="Travel_Rarely"/>
    <n v="823"/>
    <x v="1"/>
    <n v="17"/>
    <n v="2"/>
    <s v="Other"/>
    <n v="643"/>
    <n v="4"/>
    <x v="1"/>
    <n v="94"/>
    <n v="2"/>
    <n v="1"/>
    <x v="2"/>
    <x v="1"/>
    <s v="Married"/>
    <n v="2127"/>
    <n v="9100"/>
    <n v="1"/>
    <x v="1"/>
    <n v="21"/>
    <n v="4"/>
    <n v="4"/>
    <n v="1"/>
    <n v="1"/>
    <n v="2"/>
    <n v="3"/>
    <n v="1"/>
    <n v="0"/>
    <n v="0"/>
    <n v="0"/>
    <x v="2"/>
    <n v="0"/>
    <s v="&lt;30"/>
    <x v="1"/>
    <n v="2"/>
    <s v="Medium"/>
  </r>
  <r>
    <n v="50"/>
    <s v="No"/>
    <s v="Travel_Frequently"/>
    <n v="1246"/>
    <x v="2"/>
    <n v="3"/>
    <n v="3"/>
    <s v="Medical"/>
    <n v="644"/>
    <n v="1"/>
    <x v="1"/>
    <n v="99"/>
    <n v="3"/>
    <n v="5"/>
    <x v="5"/>
    <x v="1"/>
    <s v="Married"/>
    <n v="18200"/>
    <n v="7999"/>
    <n v="1"/>
    <x v="1"/>
    <n v="11"/>
    <n v="3"/>
    <n v="3"/>
    <n v="1"/>
    <n v="32"/>
    <n v="2"/>
    <n v="3"/>
    <n v="32"/>
    <n v="5"/>
    <n v="10"/>
    <n v="7"/>
    <x v="0"/>
    <n v="0"/>
    <s v="&lt;30"/>
    <x v="1"/>
    <n v="1"/>
    <s v="Low"/>
  </r>
  <r>
    <n v="25"/>
    <s v="No"/>
    <s v="Travel_Rarely"/>
    <n v="622"/>
    <x v="0"/>
    <n v="13"/>
    <n v="1"/>
    <s v="Medical"/>
    <n v="645"/>
    <n v="2"/>
    <x v="1"/>
    <n v="40"/>
    <n v="3"/>
    <n v="1"/>
    <x v="6"/>
    <x v="2"/>
    <s v="Married"/>
    <n v="2096"/>
    <n v="26376"/>
    <n v="1"/>
    <x v="1"/>
    <n v="11"/>
    <n v="3"/>
    <n v="3"/>
    <n v="0"/>
    <n v="7"/>
    <n v="1"/>
    <n v="3"/>
    <n v="7"/>
    <n v="4"/>
    <n v="0"/>
    <n v="6"/>
    <x v="0"/>
    <n v="0"/>
    <s v="50+"/>
    <x v="2"/>
    <n v="0"/>
    <s v="Low"/>
  </r>
  <r>
    <n v="24"/>
    <s v="Yes"/>
    <s v="Travel_Frequently"/>
    <n v="1287"/>
    <x v="1"/>
    <n v="7"/>
    <n v="3"/>
    <s v="Life Sciences"/>
    <n v="647"/>
    <n v="1"/>
    <x v="0"/>
    <n v="55"/>
    <n v="3"/>
    <n v="1"/>
    <x v="2"/>
    <x v="2"/>
    <s v="Married"/>
    <n v="2886"/>
    <n v="14168"/>
    <n v="1"/>
    <x v="0"/>
    <n v="16"/>
    <n v="3"/>
    <n v="4"/>
    <n v="1"/>
    <n v="6"/>
    <n v="4"/>
    <n v="3"/>
    <n v="6"/>
    <n v="3"/>
    <n v="1"/>
    <n v="2"/>
    <x v="0"/>
    <n v="1"/>
    <s v="&lt;30"/>
    <x v="2"/>
    <n v="1"/>
    <s v="Low"/>
  </r>
  <r>
    <n v="30"/>
    <s v="Yes"/>
    <s v="Travel_Frequently"/>
    <n v="448"/>
    <x v="0"/>
    <n v="12"/>
    <n v="4"/>
    <s v="Life Sciences"/>
    <n v="648"/>
    <n v="2"/>
    <x v="1"/>
    <n v="74"/>
    <n v="2"/>
    <n v="1"/>
    <x v="6"/>
    <x v="3"/>
    <s v="Married"/>
    <n v="2033"/>
    <n v="14470"/>
    <n v="1"/>
    <x v="1"/>
    <n v="18"/>
    <n v="3"/>
    <n v="3"/>
    <n v="1"/>
    <n v="1"/>
    <n v="2"/>
    <n v="4"/>
    <n v="1"/>
    <n v="0"/>
    <n v="0"/>
    <n v="0"/>
    <x v="2"/>
    <n v="1"/>
    <s v="&lt;30"/>
    <x v="1"/>
    <n v="2"/>
    <s v="Medium"/>
  </r>
  <r>
    <n v="34"/>
    <s v="No"/>
    <s v="Travel_Rarely"/>
    <n v="254"/>
    <x v="1"/>
    <n v="1"/>
    <n v="2"/>
    <s v="Life Sciences"/>
    <n v="649"/>
    <n v="2"/>
    <x v="1"/>
    <n v="83"/>
    <n v="2"/>
    <n v="1"/>
    <x v="1"/>
    <x v="0"/>
    <s v="Married"/>
    <n v="3622"/>
    <n v="22794"/>
    <n v="1"/>
    <x v="0"/>
    <n v="13"/>
    <n v="3"/>
    <n v="4"/>
    <n v="1"/>
    <n v="6"/>
    <n v="3"/>
    <n v="3"/>
    <n v="6"/>
    <n v="5"/>
    <n v="1"/>
    <n v="3"/>
    <x v="0"/>
    <n v="0"/>
    <s v="30–39"/>
    <x v="0"/>
    <n v="1"/>
    <s v="Low"/>
  </r>
  <r>
    <n v="31"/>
    <s v="Yes"/>
    <s v="Travel_Rarely"/>
    <n v="1365"/>
    <x v="0"/>
    <n v="13"/>
    <n v="4"/>
    <s v="Medical"/>
    <n v="650"/>
    <n v="2"/>
    <x v="1"/>
    <n v="46"/>
    <n v="3"/>
    <n v="2"/>
    <x v="0"/>
    <x v="3"/>
    <s v="Divorced"/>
    <n v="4233"/>
    <n v="11512"/>
    <n v="2"/>
    <x v="1"/>
    <n v="17"/>
    <n v="3"/>
    <n v="3"/>
    <n v="0"/>
    <n v="9"/>
    <n v="2"/>
    <n v="1"/>
    <n v="3"/>
    <n v="1"/>
    <n v="1"/>
    <n v="2"/>
    <x v="2"/>
    <n v="1"/>
    <s v="30–39"/>
    <x v="1"/>
    <n v="2"/>
    <s v="Medium"/>
  </r>
  <r>
    <n v="35"/>
    <s v="No"/>
    <s v="Travel_Rarely"/>
    <n v="538"/>
    <x v="1"/>
    <n v="25"/>
    <n v="2"/>
    <s v="Other"/>
    <n v="652"/>
    <n v="1"/>
    <x v="1"/>
    <n v="54"/>
    <n v="2"/>
    <n v="2"/>
    <x v="2"/>
    <x v="0"/>
    <s v="Single"/>
    <n v="3681"/>
    <n v="14004"/>
    <n v="4"/>
    <x v="1"/>
    <n v="14"/>
    <n v="3"/>
    <n v="4"/>
    <n v="0"/>
    <n v="9"/>
    <n v="3"/>
    <n v="3"/>
    <n v="3"/>
    <n v="2"/>
    <n v="0"/>
    <n v="2"/>
    <x v="2"/>
    <n v="0"/>
    <s v="30–39"/>
    <x v="0"/>
    <n v="1"/>
    <s v="Low"/>
  </r>
  <r>
    <n v="31"/>
    <s v="No"/>
    <s v="Travel_Rarely"/>
    <n v="525"/>
    <x v="0"/>
    <n v="6"/>
    <n v="4"/>
    <s v="Medical"/>
    <n v="653"/>
    <n v="1"/>
    <x v="1"/>
    <n v="66"/>
    <n v="4"/>
    <n v="2"/>
    <x v="0"/>
    <x v="0"/>
    <s v="Divorced"/>
    <n v="5460"/>
    <n v="6219"/>
    <n v="4"/>
    <x v="1"/>
    <n v="22"/>
    <n v="4"/>
    <n v="4"/>
    <n v="2"/>
    <n v="13"/>
    <n v="4"/>
    <n v="4"/>
    <n v="7"/>
    <n v="7"/>
    <n v="5"/>
    <n v="7"/>
    <x v="0"/>
    <n v="0"/>
    <s v="30–39"/>
    <x v="0"/>
    <n v="0"/>
    <s v="Low"/>
  </r>
  <r>
    <n v="27"/>
    <s v="No"/>
    <s v="Travel_Rarely"/>
    <n v="798"/>
    <x v="1"/>
    <n v="6"/>
    <n v="4"/>
    <s v="Medical"/>
    <n v="655"/>
    <n v="1"/>
    <x v="0"/>
    <n v="66"/>
    <n v="2"/>
    <n v="1"/>
    <x v="1"/>
    <x v="2"/>
    <s v="Divorced"/>
    <n v="2187"/>
    <n v="5013"/>
    <n v="0"/>
    <x v="1"/>
    <n v="12"/>
    <n v="3"/>
    <n v="3"/>
    <n v="2"/>
    <n v="6"/>
    <n v="5"/>
    <n v="2"/>
    <n v="5"/>
    <n v="3"/>
    <n v="0"/>
    <n v="3"/>
    <x v="3"/>
    <n v="0"/>
    <s v="30–39"/>
    <x v="2"/>
    <n v="0"/>
    <s v="Low"/>
  </r>
  <r>
    <n v="37"/>
    <s v="No"/>
    <s v="Travel_Rarely"/>
    <n v="558"/>
    <x v="0"/>
    <n v="2"/>
    <n v="3"/>
    <s v="Marketing"/>
    <n v="656"/>
    <n v="4"/>
    <x v="1"/>
    <n v="75"/>
    <n v="3"/>
    <n v="2"/>
    <x v="0"/>
    <x v="2"/>
    <s v="Married"/>
    <n v="9602"/>
    <n v="3010"/>
    <n v="4"/>
    <x v="0"/>
    <n v="11"/>
    <n v="3"/>
    <n v="3"/>
    <n v="1"/>
    <n v="17"/>
    <n v="3"/>
    <n v="2"/>
    <n v="3"/>
    <n v="0"/>
    <n v="1"/>
    <n v="0"/>
    <x v="2"/>
    <n v="0"/>
    <s v="&lt;30"/>
    <x v="2"/>
    <n v="2"/>
    <s v="Medium"/>
  </r>
  <r>
    <n v="20"/>
    <s v="No"/>
    <s v="Travel_Rarely"/>
    <n v="959"/>
    <x v="1"/>
    <n v="1"/>
    <n v="3"/>
    <s v="Life Sciences"/>
    <n v="657"/>
    <n v="4"/>
    <x v="0"/>
    <n v="83"/>
    <n v="2"/>
    <n v="1"/>
    <x v="1"/>
    <x v="1"/>
    <s v="Single"/>
    <n v="2836"/>
    <n v="11757"/>
    <n v="1"/>
    <x v="1"/>
    <n v="13"/>
    <n v="3"/>
    <n v="4"/>
    <n v="0"/>
    <n v="1"/>
    <n v="0"/>
    <n v="4"/>
    <n v="1"/>
    <n v="0"/>
    <n v="0"/>
    <n v="0"/>
    <x v="2"/>
    <n v="0"/>
    <s v="30–39"/>
    <x v="1"/>
    <n v="2"/>
    <s v="Medium"/>
  </r>
  <r>
    <n v="42"/>
    <s v="No"/>
    <s v="Travel_Rarely"/>
    <n v="622"/>
    <x v="1"/>
    <n v="2"/>
    <n v="4"/>
    <s v="Life Sciences"/>
    <n v="659"/>
    <n v="3"/>
    <x v="0"/>
    <n v="81"/>
    <n v="3"/>
    <n v="2"/>
    <x v="4"/>
    <x v="0"/>
    <s v="Married"/>
    <n v="4089"/>
    <n v="5718"/>
    <n v="1"/>
    <x v="1"/>
    <n v="13"/>
    <n v="3"/>
    <n v="2"/>
    <n v="2"/>
    <n v="10"/>
    <n v="4"/>
    <n v="3"/>
    <n v="10"/>
    <n v="2"/>
    <n v="2"/>
    <n v="2"/>
    <x v="0"/>
    <n v="0"/>
    <s v="&lt;30"/>
    <x v="0"/>
    <n v="0"/>
    <s v="Low"/>
  </r>
  <r>
    <n v="43"/>
    <s v="No"/>
    <s v="Travel_Rarely"/>
    <n v="782"/>
    <x v="1"/>
    <n v="6"/>
    <n v="4"/>
    <s v="Other"/>
    <n v="661"/>
    <n v="2"/>
    <x v="1"/>
    <n v="50"/>
    <n v="2"/>
    <n v="4"/>
    <x v="7"/>
    <x v="0"/>
    <s v="Divorced"/>
    <n v="16627"/>
    <n v="2671"/>
    <n v="4"/>
    <x v="0"/>
    <n v="14"/>
    <n v="3"/>
    <n v="3"/>
    <n v="1"/>
    <n v="21"/>
    <n v="3"/>
    <n v="2"/>
    <n v="1"/>
    <n v="0"/>
    <n v="0"/>
    <n v="0"/>
    <x v="2"/>
    <n v="0"/>
    <s v="40–49"/>
    <x v="0"/>
    <n v="2"/>
    <s v="Medium"/>
  </r>
  <r>
    <n v="38"/>
    <s v="No"/>
    <s v="Travel_Rarely"/>
    <n v="362"/>
    <x v="1"/>
    <n v="1"/>
    <n v="1"/>
    <s v="Life Sciences"/>
    <n v="662"/>
    <n v="3"/>
    <x v="0"/>
    <n v="43"/>
    <n v="3"/>
    <n v="1"/>
    <x v="1"/>
    <x v="3"/>
    <s v="Single"/>
    <n v="2619"/>
    <n v="14561"/>
    <n v="3"/>
    <x v="1"/>
    <n v="17"/>
    <n v="3"/>
    <n v="4"/>
    <n v="0"/>
    <n v="8"/>
    <n v="3"/>
    <n v="2"/>
    <n v="0"/>
    <n v="0"/>
    <n v="0"/>
    <n v="0"/>
    <x v="1"/>
    <n v="0"/>
    <s v="40–49"/>
    <x v="1"/>
    <n v="2"/>
    <s v="Medium"/>
  </r>
  <r>
    <n v="43"/>
    <s v="No"/>
    <s v="Travel_Frequently"/>
    <n v="1001"/>
    <x v="1"/>
    <n v="9"/>
    <n v="5"/>
    <s v="Medical"/>
    <n v="663"/>
    <n v="4"/>
    <x v="1"/>
    <n v="72"/>
    <n v="3"/>
    <n v="2"/>
    <x v="2"/>
    <x v="2"/>
    <s v="Divorced"/>
    <n v="5679"/>
    <n v="19627"/>
    <n v="3"/>
    <x v="0"/>
    <n v="13"/>
    <n v="3"/>
    <n v="2"/>
    <n v="1"/>
    <n v="10"/>
    <n v="3"/>
    <n v="3"/>
    <n v="8"/>
    <n v="7"/>
    <n v="4"/>
    <n v="7"/>
    <x v="0"/>
    <n v="0"/>
    <s v="30–39"/>
    <x v="2"/>
    <n v="1"/>
    <s v="Low"/>
  </r>
  <r>
    <n v="48"/>
    <s v="No"/>
    <s v="Travel_Rarely"/>
    <n v="1236"/>
    <x v="1"/>
    <n v="1"/>
    <n v="4"/>
    <s v="Life Sciences"/>
    <n v="664"/>
    <n v="4"/>
    <x v="0"/>
    <n v="40"/>
    <n v="2"/>
    <n v="4"/>
    <x v="5"/>
    <x v="3"/>
    <s v="Married"/>
    <n v="15402"/>
    <n v="17997"/>
    <n v="7"/>
    <x v="1"/>
    <n v="11"/>
    <n v="3"/>
    <n v="1"/>
    <n v="1"/>
    <n v="21"/>
    <n v="3"/>
    <n v="1"/>
    <n v="3"/>
    <n v="2"/>
    <n v="0"/>
    <n v="2"/>
    <x v="2"/>
    <n v="0"/>
    <s v="40–49"/>
    <x v="1"/>
    <n v="2"/>
    <s v="Medium"/>
  </r>
  <r>
    <n v="44"/>
    <s v="No"/>
    <s v="Travel_Rarely"/>
    <n v="1112"/>
    <x v="2"/>
    <n v="1"/>
    <n v="4"/>
    <s v="Life Sciences"/>
    <n v="665"/>
    <n v="1"/>
    <x v="0"/>
    <n v="50"/>
    <n v="2"/>
    <n v="2"/>
    <x v="8"/>
    <x v="2"/>
    <s v="Single"/>
    <n v="5985"/>
    <n v="26894"/>
    <n v="4"/>
    <x v="1"/>
    <n v="11"/>
    <n v="3"/>
    <n v="2"/>
    <n v="0"/>
    <n v="10"/>
    <n v="1"/>
    <n v="4"/>
    <n v="2"/>
    <n v="2"/>
    <n v="0"/>
    <n v="2"/>
    <x v="2"/>
    <n v="0"/>
    <s v="40–49"/>
    <x v="2"/>
    <n v="1"/>
    <s v="Low"/>
  </r>
  <r>
    <n v="34"/>
    <s v="No"/>
    <s v="Travel_Rarely"/>
    <n v="204"/>
    <x v="0"/>
    <n v="14"/>
    <n v="3"/>
    <s v="Technical Degree"/>
    <n v="666"/>
    <n v="3"/>
    <x v="0"/>
    <n v="31"/>
    <n v="3"/>
    <n v="1"/>
    <x v="6"/>
    <x v="2"/>
    <s v="Divorced"/>
    <n v="2579"/>
    <n v="2912"/>
    <n v="1"/>
    <x v="0"/>
    <n v="18"/>
    <n v="3"/>
    <n v="4"/>
    <n v="2"/>
    <n v="8"/>
    <n v="3"/>
    <n v="3"/>
    <n v="8"/>
    <n v="2"/>
    <n v="0"/>
    <n v="6"/>
    <x v="0"/>
    <n v="0"/>
    <s v="40–49"/>
    <x v="2"/>
    <n v="1"/>
    <s v="Low"/>
  </r>
  <r>
    <n v="27"/>
    <s v="Yes"/>
    <s v="Travel_Rarely"/>
    <n v="1420"/>
    <x v="0"/>
    <n v="2"/>
    <n v="1"/>
    <s v="Marketing"/>
    <n v="667"/>
    <n v="3"/>
    <x v="1"/>
    <n v="85"/>
    <n v="3"/>
    <n v="1"/>
    <x v="6"/>
    <x v="3"/>
    <s v="Divorced"/>
    <n v="3041"/>
    <n v="16346"/>
    <n v="0"/>
    <x v="1"/>
    <n v="11"/>
    <n v="3"/>
    <n v="2"/>
    <n v="1"/>
    <n v="5"/>
    <n v="3"/>
    <n v="3"/>
    <n v="4"/>
    <n v="3"/>
    <n v="0"/>
    <n v="2"/>
    <x v="3"/>
    <n v="1"/>
    <s v="30–39"/>
    <x v="1"/>
    <n v="1"/>
    <s v="Low"/>
  </r>
  <r>
    <n v="21"/>
    <s v="No"/>
    <s v="Travel_Rarely"/>
    <n v="1343"/>
    <x v="0"/>
    <n v="22"/>
    <n v="1"/>
    <s v="Technical Degree"/>
    <n v="669"/>
    <n v="3"/>
    <x v="1"/>
    <n v="49"/>
    <n v="3"/>
    <n v="1"/>
    <x v="6"/>
    <x v="2"/>
    <s v="Single"/>
    <n v="3447"/>
    <n v="24444"/>
    <n v="1"/>
    <x v="1"/>
    <n v="11"/>
    <n v="3"/>
    <n v="3"/>
    <n v="0"/>
    <n v="3"/>
    <n v="2"/>
    <n v="3"/>
    <n v="3"/>
    <n v="2"/>
    <n v="1"/>
    <n v="2"/>
    <x v="2"/>
    <n v="0"/>
    <s v="&lt;30"/>
    <x v="2"/>
    <n v="1"/>
    <s v="Low"/>
  </r>
  <r>
    <n v="44"/>
    <s v="No"/>
    <s v="Travel_Rarely"/>
    <n v="1315"/>
    <x v="1"/>
    <n v="3"/>
    <n v="4"/>
    <s v="Other"/>
    <n v="671"/>
    <n v="4"/>
    <x v="1"/>
    <n v="35"/>
    <n v="3"/>
    <n v="5"/>
    <x v="5"/>
    <x v="0"/>
    <s v="Married"/>
    <n v="19513"/>
    <n v="9358"/>
    <n v="4"/>
    <x v="0"/>
    <n v="12"/>
    <n v="3"/>
    <n v="1"/>
    <n v="1"/>
    <n v="26"/>
    <n v="2"/>
    <n v="4"/>
    <n v="2"/>
    <n v="2"/>
    <n v="0"/>
    <n v="1"/>
    <x v="2"/>
    <n v="0"/>
    <s v="&lt;30"/>
    <x v="0"/>
    <n v="2"/>
    <s v="Medium"/>
  </r>
  <r>
    <n v="22"/>
    <s v="No"/>
    <s v="Travel_Rarely"/>
    <n v="604"/>
    <x v="1"/>
    <n v="6"/>
    <n v="1"/>
    <s v="Medical"/>
    <n v="675"/>
    <n v="1"/>
    <x v="1"/>
    <n v="69"/>
    <n v="3"/>
    <n v="1"/>
    <x v="1"/>
    <x v="2"/>
    <s v="Married"/>
    <n v="2773"/>
    <n v="12145"/>
    <n v="0"/>
    <x v="1"/>
    <n v="20"/>
    <n v="4"/>
    <n v="4"/>
    <n v="0"/>
    <n v="3"/>
    <n v="3"/>
    <n v="3"/>
    <n v="2"/>
    <n v="2"/>
    <n v="2"/>
    <n v="2"/>
    <x v="2"/>
    <n v="0"/>
    <s v="40–49"/>
    <x v="2"/>
    <n v="1"/>
    <s v="Low"/>
  </r>
  <r>
    <n v="33"/>
    <s v="No"/>
    <s v="Travel_Rarely"/>
    <n v="1216"/>
    <x v="0"/>
    <n v="8"/>
    <n v="4"/>
    <s v="Marketing"/>
    <n v="677"/>
    <n v="3"/>
    <x v="1"/>
    <n v="39"/>
    <n v="3"/>
    <n v="2"/>
    <x v="0"/>
    <x v="2"/>
    <s v="Divorced"/>
    <n v="7104"/>
    <n v="20431"/>
    <n v="0"/>
    <x v="1"/>
    <n v="12"/>
    <n v="3"/>
    <n v="4"/>
    <n v="0"/>
    <n v="6"/>
    <n v="3"/>
    <n v="3"/>
    <n v="5"/>
    <n v="0"/>
    <n v="1"/>
    <n v="2"/>
    <x v="3"/>
    <n v="0"/>
    <s v="&lt;30"/>
    <x v="2"/>
    <n v="0"/>
    <s v="Low"/>
  </r>
  <r>
    <n v="32"/>
    <s v="No"/>
    <s v="Travel_Rarely"/>
    <n v="646"/>
    <x v="1"/>
    <n v="9"/>
    <n v="4"/>
    <s v="Life Sciences"/>
    <n v="679"/>
    <n v="1"/>
    <x v="0"/>
    <n v="92"/>
    <n v="3"/>
    <n v="2"/>
    <x v="1"/>
    <x v="0"/>
    <s v="Married"/>
    <n v="6322"/>
    <n v="18089"/>
    <n v="1"/>
    <x v="0"/>
    <n v="12"/>
    <n v="3"/>
    <n v="4"/>
    <n v="1"/>
    <n v="6"/>
    <n v="2"/>
    <n v="2"/>
    <n v="6"/>
    <n v="4"/>
    <n v="0"/>
    <n v="5"/>
    <x v="0"/>
    <n v="0"/>
    <s v="30–39"/>
    <x v="0"/>
    <n v="1"/>
    <s v="Low"/>
  </r>
  <r>
    <n v="30"/>
    <s v="No"/>
    <s v="Travel_Frequently"/>
    <n v="160"/>
    <x v="1"/>
    <n v="3"/>
    <n v="3"/>
    <s v="Medical"/>
    <n v="680"/>
    <n v="3"/>
    <x v="0"/>
    <n v="71"/>
    <n v="3"/>
    <n v="1"/>
    <x v="1"/>
    <x v="2"/>
    <s v="Divorced"/>
    <n v="2083"/>
    <n v="22653"/>
    <n v="1"/>
    <x v="1"/>
    <n v="20"/>
    <n v="4"/>
    <n v="3"/>
    <n v="1"/>
    <n v="1"/>
    <n v="2"/>
    <n v="3"/>
    <n v="1"/>
    <n v="0"/>
    <n v="0"/>
    <n v="0"/>
    <x v="2"/>
    <n v="0"/>
    <s v="30–39"/>
    <x v="2"/>
    <n v="1"/>
    <s v="Low"/>
  </r>
  <r>
    <n v="53"/>
    <s v="No"/>
    <s v="Travel_Rarely"/>
    <n v="238"/>
    <x v="0"/>
    <n v="1"/>
    <n v="1"/>
    <s v="Medical"/>
    <n v="682"/>
    <n v="4"/>
    <x v="0"/>
    <n v="34"/>
    <n v="3"/>
    <n v="2"/>
    <x v="0"/>
    <x v="3"/>
    <s v="Single"/>
    <n v="8381"/>
    <n v="7507"/>
    <n v="7"/>
    <x v="1"/>
    <n v="20"/>
    <n v="4"/>
    <n v="4"/>
    <n v="0"/>
    <n v="18"/>
    <n v="2"/>
    <n v="4"/>
    <n v="14"/>
    <n v="7"/>
    <n v="8"/>
    <n v="10"/>
    <x v="0"/>
    <n v="0"/>
    <s v="30–39"/>
    <x v="1"/>
    <n v="1"/>
    <s v="Low"/>
  </r>
  <r>
    <n v="34"/>
    <s v="No"/>
    <s v="Travel_Rarely"/>
    <n v="1397"/>
    <x v="1"/>
    <n v="1"/>
    <n v="5"/>
    <s v="Life Sciences"/>
    <n v="683"/>
    <n v="2"/>
    <x v="1"/>
    <n v="42"/>
    <n v="3"/>
    <n v="1"/>
    <x v="1"/>
    <x v="0"/>
    <s v="Married"/>
    <n v="2691"/>
    <n v="7660"/>
    <n v="1"/>
    <x v="1"/>
    <n v="12"/>
    <n v="3"/>
    <n v="4"/>
    <n v="1"/>
    <n v="10"/>
    <n v="4"/>
    <n v="2"/>
    <n v="10"/>
    <n v="9"/>
    <n v="8"/>
    <n v="8"/>
    <x v="0"/>
    <n v="0"/>
    <s v="50+"/>
    <x v="0"/>
    <n v="0"/>
    <s v="Low"/>
  </r>
  <r>
    <n v="45"/>
    <s v="Yes"/>
    <s v="Travel_Frequently"/>
    <n v="306"/>
    <x v="0"/>
    <n v="26"/>
    <n v="4"/>
    <s v="Life Sciences"/>
    <n v="684"/>
    <n v="1"/>
    <x v="0"/>
    <n v="100"/>
    <n v="3"/>
    <n v="2"/>
    <x v="0"/>
    <x v="3"/>
    <s v="Married"/>
    <n v="4286"/>
    <n v="5630"/>
    <n v="2"/>
    <x v="1"/>
    <n v="14"/>
    <n v="3"/>
    <n v="4"/>
    <n v="2"/>
    <n v="5"/>
    <n v="4"/>
    <n v="3"/>
    <n v="1"/>
    <n v="1"/>
    <n v="0"/>
    <n v="0"/>
    <x v="2"/>
    <n v="1"/>
    <s v="30–39"/>
    <x v="1"/>
    <n v="2"/>
    <s v="Medium"/>
  </r>
  <r>
    <n v="26"/>
    <s v="No"/>
    <s v="Travel_Rarely"/>
    <n v="991"/>
    <x v="1"/>
    <n v="6"/>
    <n v="3"/>
    <s v="Life Sciences"/>
    <n v="686"/>
    <n v="3"/>
    <x v="0"/>
    <n v="71"/>
    <n v="3"/>
    <n v="1"/>
    <x v="2"/>
    <x v="0"/>
    <s v="Married"/>
    <n v="2659"/>
    <n v="17759"/>
    <n v="1"/>
    <x v="0"/>
    <n v="13"/>
    <n v="3"/>
    <n v="3"/>
    <n v="1"/>
    <n v="3"/>
    <n v="2"/>
    <n v="3"/>
    <n v="3"/>
    <n v="2"/>
    <n v="0"/>
    <n v="2"/>
    <x v="2"/>
    <n v="0"/>
    <s v="40–49"/>
    <x v="0"/>
    <n v="2"/>
    <s v="Medium"/>
  </r>
  <r>
    <n v="37"/>
    <s v="No"/>
    <s v="Travel_Rarely"/>
    <n v="482"/>
    <x v="1"/>
    <n v="3"/>
    <n v="3"/>
    <s v="Other"/>
    <n v="689"/>
    <n v="3"/>
    <x v="1"/>
    <n v="36"/>
    <n v="3"/>
    <n v="3"/>
    <x v="3"/>
    <x v="2"/>
    <s v="Married"/>
    <n v="9434"/>
    <n v="9606"/>
    <n v="1"/>
    <x v="1"/>
    <n v="15"/>
    <n v="3"/>
    <n v="3"/>
    <n v="1"/>
    <n v="10"/>
    <n v="2"/>
    <n v="3"/>
    <n v="10"/>
    <n v="7"/>
    <n v="7"/>
    <n v="8"/>
    <x v="0"/>
    <n v="0"/>
    <s v="&lt;30"/>
    <x v="2"/>
    <n v="0"/>
    <s v="Low"/>
  </r>
  <r>
    <n v="29"/>
    <s v="No"/>
    <s v="Travel_Rarely"/>
    <n v="1176"/>
    <x v="0"/>
    <n v="3"/>
    <n v="2"/>
    <s v="Medical"/>
    <n v="690"/>
    <n v="2"/>
    <x v="0"/>
    <n v="62"/>
    <n v="3"/>
    <n v="2"/>
    <x v="0"/>
    <x v="2"/>
    <s v="Married"/>
    <n v="5561"/>
    <n v="3487"/>
    <n v="1"/>
    <x v="1"/>
    <n v="14"/>
    <n v="3"/>
    <n v="1"/>
    <n v="1"/>
    <n v="6"/>
    <n v="5"/>
    <n v="2"/>
    <n v="6"/>
    <n v="0"/>
    <n v="1"/>
    <n v="2"/>
    <x v="0"/>
    <n v="0"/>
    <s v="30–39"/>
    <x v="2"/>
    <n v="0"/>
    <s v="Low"/>
  </r>
  <r>
    <n v="35"/>
    <s v="No"/>
    <s v="Travel_Rarely"/>
    <n v="1017"/>
    <x v="1"/>
    <n v="6"/>
    <n v="4"/>
    <s v="Life Sciences"/>
    <n v="691"/>
    <n v="2"/>
    <x v="1"/>
    <n v="82"/>
    <n v="1"/>
    <n v="2"/>
    <x v="1"/>
    <x v="0"/>
    <s v="Single"/>
    <n v="6646"/>
    <n v="19368"/>
    <n v="1"/>
    <x v="1"/>
    <n v="13"/>
    <n v="3"/>
    <n v="2"/>
    <n v="0"/>
    <n v="17"/>
    <n v="3"/>
    <n v="3"/>
    <n v="17"/>
    <n v="11"/>
    <n v="11"/>
    <n v="8"/>
    <x v="0"/>
    <n v="0"/>
    <s v="&lt;30"/>
    <x v="0"/>
    <n v="0"/>
    <s v="Low"/>
  </r>
  <r>
    <n v="33"/>
    <s v="No"/>
    <s v="Travel_Frequently"/>
    <n v="1296"/>
    <x v="1"/>
    <n v="6"/>
    <n v="3"/>
    <s v="Life Sciences"/>
    <n v="692"/>
    <n v="3"/>
    <x v="1"/>
    <n v="30"/>
    <n v="3"/>
    <n v="2"/>
    <x v="4"/>
    <x v="0"/>
    <s v="Divorced"/>
    <n v="7725"/>
    <n v="5335"/>
    <n v="3"/>
    <x v="1"/>
    <n v="23"/>
    <n v="4"/>
    <n v="3"/>
    <n v="1"/>
    <n v="15"/>
    <n v="2"/>
    <n v="1"/>
    <n v="13"/>
    <n v="11"/>
    <n v="4"/>
    <n v="7"/>
    <x v="0"/>
    <n v="0"/>
    <s v="30–39"/>
    <x v="0"/>
    <n v="0"/>
    <s v="Low"/>
  </r>
  <r>
    <n v="54"/>
    <s v="No"/>
    <s v="Travel_Rarely"/>
    <n v="397"/>
    <x v="2"/>
    <n v="19"/>
    <n v="4"/>
    <s v="Medical"/>
    <n v="698"/>
    <n v="3"/>
    <x v="1"/>
    <n v="88"/>
    <n v="3"/>
    <n v="3"/>
    <x v="8"/>
    <x v="1"/>
    <s v="Married"/>
    <n v="10725"/>
    <n v="6729"/>
    <n v="2"/>
    <x v="1"/>
    <n v="15"/>
    <n v="3"/>
    <n v="3"/>
    <n v="1"/>
    <n v="16"/>
    <n v="1"/>
    <n v="4"/>
    <n v="9"/>
    <n v="7"/>
    <n v="7"/>
    <n v="1"/>
    <x v="0"/>
    <n v="0"/>
    <s v="30–39"/>
    <x v="1"/>
    <n v="1"/>
    <s v="Low"/>
  </r>
  <r>
    <n v="36"/>
    <s v="No"/>
    <s v="Travel_Rarely"/>
    <n v="913"/>
    <x v="1"/>
    <n v="9"/>
    <n v="2"/>
    <s v="Medical"/>
    <n v="699"/>
    <n v="2"/>
    <x v="1"/>
    <n v="48"/>
    <n v="2"/>
    <n v="2"/>
    <x v="3"/>
    <x v="1"/>
    <s v="Divorced"/>
    <n v="8847"/>
    <n v="13934"/>
    <n v="2"/>
    <x v="0"/>
    <n v="11"/>
    <n v="3"/>
    <n v="3"/>
    <n v="1"/>
    <n v="13"/>
    <n v="2"/>
    <n v="3"/>
    <n v="3"/>
    <n v="2"/>
    <n v="0"/>
    <n v="2"/>
    <x v="2"/>
    <n v="0"/>
    <s v="50+"/>
    <x v="1"/>
    <n v="3"/>
    <s v="High"/>
  </r>
  <r>
    <n v="27"/>
    <s v="No"/>
    <s v="Travel_Rarely"/>
    <n v="1115"/>
    <x v="1"/>
    <n v="3"/>
    <n v="4"/>
    <s v="Medical"/>
    <n v="700"/>
    <n v="1"/>
    <x v="1"/>
    <n v="54"/>
    <n v="2"/>
    <n v="1"/>
    <x v="1"/>
    <x v="0"/>
    <s v="Single"/>
    <n v="2045"/>
    <n v="15174"/>
    <n v="0"/>
    <x v="1"/>
    <n v="13"/>
    <n v="3"/>
    <n v="4"/>
    <n v="0"/>
    <n v="5"/>
    <n v="0"/>
    <n v="3"/>
    <n v="4"/>
    <n v="2"/>
    <n v="1"/>
    <n v="1"/>
    <x v="3"/>
    <n v="0"/>
    <s v="30–39"/>
    <x v="0"/>
    <n v="0"/>
    <s v="Low"/>
  </r>
  <r>
    <n v="20"/>
    <s v="Yes"/>
    <s v="Travel_Rarely"/>
    <n v="1362"/>
    <x v="1"/>
    <n v="10"/>
    <n v="1"/>
    <s v="Medical"/>
    <n v="701"/>
    <n v="4"/>
    <x v="1"/>
    <n v="32"/>
    <n v="3"/>
    <n v="1"/>
    <x v="1"/>
    <x v="2"/>
    <s v="Single"/>
    <n v="1009"/>
    <n v="26999"/>
    <n v="1"/>
    <x v="0"/>
    <n v="11"/>
    <n v="3"/>
    <n v="4"/>
    <n v="0"/>
    <n v="1"/>
    <n v="5"/>
    <n v="3"/>
    <n v="1"/>
    <n v="0"/>
    <n v="1"/>
    <n v="1"/>
    <x v="2"/>
    <n v="1"/>
    <s v="&lt;30"/>
    <x v="2"/>
    <n v="2"/>
    <s v="Medium"/>
  </r>
  <r>
    <n v="33"/>
    <s v="Yes"/>
    <s v="Travel_Frequently"/>
    <n v="1076"/>
    <x v="1"/>
    <n v="3"/>
    <n v="3"/>
    <s v="Life Sciences"/>
    <n v="702"/>
    <n v="1"/>
    <x v="1"/>
    <n v="70"/>
    <n v="3"/>
    <n v="1"/>
    <x v="1"/>
    <x v="3"/>
    <s v="Single"/>
    <n v="3348"/>
    <n v="3164"/>
    <n v="1"/>
    <x v="0"/>
    <n v="11"/>
    <n v="3"/>
    <n v="1"/>
    <n v="0"/>
    <n v="10"/>
    <n v="3"/>
    <n v="3"/>
    <n v="10"/>
    <n v="8"/>
    <n v="9"/>
    <n v="7"/>
    <x v="0"/>
    <n v="1"/>
    <s v="&lt;30"/>
    <x v="1"/>
    <n v="2"/>
    <s v="Medium"/>
  </r>
  <r>
    <n v="35"/>
    <s v="No"/>
    <s v="Non-Travel"/>
    <n v="727"/>
    <x v="1"/>
    <n v="3"/>
    <n v="3"/>
    <s v="Life Sciences"/>
    <n v="704"/>
    <n v="3"/>
    <x v="1"/>
    <n v="41"/>
    <n v="2"/>
    <n v="1"/>
    <x v="2"/>
    <x v="2"/>
    <s v="Married"/>
    <n v="1281"/>
    <n v="16900"/>
    <n v="1"/>
    <x v="1"/>
    <n v="18"/>
    <n v="3"/>
    <n v="3"/>
    <n v="2"/>
    <n v="1"/>
    <n v="3"/>
    <n v="3"/>
    <n v="1"/>
    <n v="0"/>
    <n v="0"/>
    <n v="0"/>
    <x v="2"/>
    <n v="0"/>
    <s v="30–39"/>
    <x v="2"/>
    <n v="1"/>
    <s v="Low"/>
  </r>
  <r>
    <n v="23"/>
    <s v="No"/>
    <s v="Travel_Rarely"/>
    <n v="885"/>
    <x v="1"/>
    <n v="4"/>
    <n v="3"/>
    <s v="Medical"/>
    <n v="705"/>
    <n v="1"/>
    <x v="1"/>
    <n v="58"/>
    <n v="4"/>
    <n v="1"/>
    <x v="1"/>
    <x v="3"/>
    <s v="Married"/>
    <n v="2819"/>
    <n v="8544"/>
    <n v="2"/>
    <x v="1"/>
    <n v="16"/>
    <n v="3"/>
    <n v="1"/>
    <n v="1"/>
    <n v="5"/>
    <n v="3"/>
    <n v="4"/>
    <n v="3"/>
    <n v="2"/>
    <n v="0"/>
    <n v="2"/>
    <x v="2"/>
    <n v="0"/>
    <s v="30–39"/>
    <x v="1"/>
    <n v="2"/>
    <s v="Medium"/>
  </r>
  <r>
    <n v="25"/>
    <s v="No"/>
    <s v="Travel_Rarely"/>
    <n v="810"/>
    <x v="0"/>
    <n v="8"/>
    <n v="3"/>
    <s v="Life Sciences"/>
    <n v="707"/>
    <n v="4"/>
    <x v="1"/>
    <n v="57"/>
    <n v="4"/>
    <n v="2"/>
    <x v="0"/>
    <x v="1"/>
    <s v="Married"/>
    <n v="4851"/>
    <n v="15678"/>
    <n v="0"/>
    <x v="1"/>
    <n v="22"/>
    <n v="4"/>
    <n v="3"/>
    <n v="1"/>
    <n v="4"/>
    <n v="4"/>
    <n v="3"/>
    <n v="3"/>
    <n v="2"/>
    <n v="1"/>
    <n v="2"/>
    <x v="2"/>
    <n v="0"/>
    <s v="&lt;30"/>
    <x v="1"/>
    <n v="2"/>
    <s v="Medium"/>
  </r>
  <r>
    <n v="38"/>
    <s v="No"/>
    <s v="Travel_Rarely"/>
    <n v="243"/>
    <x v="0"/>
    <n v="7"/>
    <n v="4"/>
    <s v="Marketing"/>
    <n v="709"/>
    <n v="4"/>
    <x v="0"/>
    <n v="46"/>
    <n v="2"/>
    <n v="2"/>
    <x v="0"/>
    <x v="0"/>
    <s v="Single"/>
    <n v="4028"/>
    <n v="7791"/>
    <n v="0"/>
    <x v="1"/>
    <n v="20"/>
    <n v="4"/>
    <n v="1"/>
    <n v="0"/>
    <n v="8"/>
    <n v="2"/>
    <n v="3"/>
    <n v="7"/>
    <n v="7"/>
    <n v="0"/>
    <n v="5"/>
    <x v="0"/>
    <n v="0"/>
    <s v="&lt;30"/>
    <x v="0"/>
    <n v="0"/>
    <s v="Low"/>
  </r>
  <r>
    <n v="29"/>
    <s v="No"/>
    <s v="Travel_Frequently"/>
    <n v="806"/>
    <x v="1"/>
    <n v="1"/>
    <n v="4"/>
    <s v="Life Sciences"/>
    <n v="710"/>
    <n v="2"/>
    <x v="1"/>
    <n v="76"/>
    <n v="1"/>
    <n v="1"/>
    <x v="1"/>
    <x v="0"/>
    <s v="Divorced"/>
    <n v="2720"/>
    <n v="18959"/>
    <n v="1"/>
    <x v="1"/>
    <n v="18"/>
    <n v="3"/>
    <n v="4"/>
    <n v="1"/>
    <n v="10"/>
    <n v="5"/>
    <n v="3"/>
    <n v="10"/>
    <n v="7"/>
    <n v="2"/>
    <n v="8"/>
    <x v="0"/>
    <n v="0"/>
    <s v="30–39"/>
    <x v="0"/>
    <n v="0"/>
    <s v="Low"/>
  </r>
  <r>
    <n v="48"/>
    <s v="No"/>
    <s v="Travel_Rarely"/>
    <n v="817"/>
    <x v="0"/>
    <n v="2"/>
    <n v="1"/>
    <s v="Marketing"/>
    <n v="712"/>
    <n v="2"/>
    <x v="1"/>
    <n v="56"/>
    <n v="4"/>
    <n v="2"/>
    <x v="0"/>
    <x v="1"/>
    <s v="Married"/>
    <n v="8120"/>
    <n v="18597"/>
    <n v="3"/>
    <x v="1"/>
    <n v="12"/>
    <n v="3"/>
    <n v="4"/>
    <n v="0"/>
    <n v="12"/>
    <n v="3"/>
    <n v="3"/>
    <n v="2"/>
    <n v="2"/>
    <n v="2"/>
    <n v="2"/>
    <x v="2"/>
    <n v="0"/>
    <s v="&lt;30"/>
    <x v="1"/>
    <n v="2"/>
    <s v="Medium"/>
  </r>
  <r>
    <n v="27"/>
    <s v="No"/>
    <s v="Travel_Frequently"/>
    <n v="1410"/>
    <x v="0"/>
    <n v="3"/>
    <n v="1"/>
    <s v="Medical"/>
    <n v="714"/>
    <n v="4"/>
    <x v="0"/>
    <n v="71"/>
    <n v="4"/>
    <n v="2"/>
    <x v="0"/>
    <x v="0"/>
    <s v="Divorced"/>
    <n v="4647"/>
    <n v="16673"/>
    <n v="1"/>
    <x v="0"/>
    <n v="20"/>
    <n v="4"/>
    <n v="2"/>
    <n v="2"/>
    <n v="6"/>
    <n v="3"/>
    <n v="3"/>
    <n v="6"/>
    <n v="5"/>
    <n v="0"/>
    <n v="4"/>
    <x v="0"/>
    <n v="0"/>
    <s v="40–49"/>
    <x v="0"/>
    <n v="1"/>
    <s v="Low"/>
  </r>
  <r>
    <n v="37"/>
    <s v="No"/>
    <s v="Travel_Rarely"/>
    <n v="1225"/>
    <x v="1"/>
    <n v="10"/>
    <n v="2"/>
    <s v="Life Sciences"/>
    <n v="715"/>
    <n v="4"/>
    <x v="1"/>
    <n v="80"/>
    <n v="4"/>
    <n v="1"/>
    <x v="1"/>
    <x v="0"/>
    <s v="Single"/>
    <n v="4680"/>
    <n v="15232"/>
    <n v="3"/>
    <x v="1"/>
    <n v="17"/>
    <n v="3"/>
    <n v="1"/>
    <n v="0"/>
    <n v="4"/>
    <n v="2"/>
    <n v="3"/>
    <n v="1"/>
    <n v="0"/>
    <n v="0"/>
    <n v="0"/>
    <x v="2"/>
    <n v="0"/>
    <s v="&lt;30"/>
    <x v="0"/>
    <n v="1"/>
    <s v="Low"/>
  </r>
  <r>
    <n v="50"/>
    <s v="No"/>
    <s v="Travel_Rarely"/>
    <n v="1207"/>
    <x v="1"/>
    <n v="28"/>
    <n v="1"/>
    <s v="Medical"/>
    <n v="716"/>
    <n v="4"/>
    <x v="1"/>
    <n v="74"/>
    <n v="4"/>
    <n v="1"/>
    <x v="2"/>
    <x v="2"/>
    <s v="Married"/>
    <n v="3221"/>
    <n v="3297"/>
    <n v="1"/>
    <x v="0"/>
    <n v="11"/>
    <n v="3"/>
    <n v="3"/>
    <n v="3"/>
    <n v="20"/>
    <n v="3"/>
    <n v="3"/>
    <n v="20"/>
    <n v="8"/>
    <n v="3"/>
    <n v="8"/>
    <x v="0"/>
    <n v="0"/>
    <s v="30–39"/>
    <x v="2"/>
    <n v="1"/>
    <s v="Low"/>
  </r>
  <r>
    <n v="34"/>
    <s v="No"/>
    <s v="Travel_Rarely"/>
    <n v="1442"/>
    <x v="1"/>
    <n v="9"/>
    <n v="3"/>
    <s v="Medical"/>
    <n v="717"/>
    <n v="4"/>
    <x v="0"/>
    <n v="46"/>
    <n v="2"/>
    <n v="3"/>
    <x v="4"/>
    <x v="1"/>
    <s v="Single"/>
    <n v="8621"/>
    <n v="17654"/>
    <n v="1"/>
    <x v="1"/>
    <n v="14"/>
    <n v="3"/>
    <n v="2"/>
    <n v="0"/>
    <n v="9"/>
    <n v="3"/>
    <n v="4"/>
    <n v="8"/>
    <n v="7"/>
    <n v="7"/>
    <n v="7"/>
    <x v="0"/>
    <n v="0"/>
    <s v="50+"/>
    <x v="1"/>
    <n v="1"/>
    <s v="Low"/>
  </r>
  <r>
    <n v="24"/>
    <s v="Yes"/>
    <s v="Travel_Rarely"/>
    <n v="693"/>
    <x v="0"/>
    <n v="3"/>
    <n v="2"/>
    <s v="Life Sciences"/>
    <n v="720"/>
    <n v="1"/>
    <x v="0"/>
    <n v="65"/>
    <n v="3"/>
    <n v="2"/>
    <x v="0"/>
    <x v="2"/>
    <s v="Single"/>
    <n v="4577"/>
    <n v="24785"/>
    <n v="9"/>
    <x v="1"/>
    <n v="14"/>
    <n v="3"/>
    <n v="1"/>
    <n v="0"/>
    <n v="4"/>
    <n v="3"/>
    <n v="3"/>
    <n v="2"/>
    <n v="2"/>
    <n v="2"/>
    <n v="0"/>
    <x v="2"/>
    <n v="1"/>
    <s v="30–39"/>
    <x v="2"/>
    <n v="1"/>
    <s v="Low"/>
  </r>
  <r>
    <n v="39"/>
    <s v="No"/>
    <s v="Travel_Rarely"/>
    <n v="408"/>
    <x v="1"/>
    <n v="2"/>
    <n v="4"/>
    <s v="Technical Degree"/>
    <n v="721"/>
    <n v="4"/>
    <x v="0"/>
    <n v="80"/>
    <n v="2"/>
    <n v="2"/>
    <x v="4"/>
    <x v="2"/>
    <s v="Single"/>
    <n v="4553"/>
    <n v="20978"/>
    <n v="1"/>
    <x v="1"/>
    <n v="11"/>
    <n v="3"/>
    <n v="1"/>
    <n v="0"/>
    <n v="20"/>
    <n v="4"/>
    <n v="3"/>
    <n v="20"/>
    <n v="7"/>
    <n v="11"/>
    <n v="10"/>
    <x v="0"/>
    <n v="0"/>
    <s v="&lt;30"/>
    <x v="2"/>
    <n v="0"/>
    <s v="Low"/>
  </r>
  <r>
    <n v="32"/>
    <s v="No"/>
    <s v="Travel_Rarely"/>
    <n v="929"/>
    <x v="0"/>
    <n v="10"/>
    <n v="3"/>
    <s v="Marketing"/>
    <n v="722"/>
    <n v="4"/>
    <x v="1"/>
    <n v="55"/>
    <n v="3"/>
    <n v="2"/>
    <x v="0"/>
    <x v="0"/>
    <s v="Single"/>
    <n v="5396"/>
    <n v="21703"/>
    <n v="1"/>
    <x v="1"/>
    <n v="12"/>
    <n v="3"/>
    <n v="4"/>
    <n v="0"/>
    <n v="10"/>
    <n v="2"/>
    <n v="2"/>
    <n v="10"/>
    <n v="7"/>
    <n v="0"/>
    <n v="8"/>
    <x v="0"/>
    <n v="0"/>
    <s v="30–39"/>
    <x v="0"/>
    <n v="0"/>
    <s v="Low"/>
  </r>
  <r>
    <n v="50"/>
    <s v="Yes"/>
    <s v="Travel_Frequently"/>
    <n v="562"/>
    <x v="0"/>
    <n v="8"/>
    <n v="2"/>
    <s v="Technical Degree"/>
    <n v="723"/>
    <n v="2"/>
    <x v="1"/>
    <n v="50"/>
    <n v="3"/>
    <n v="2"/>
    <x v="0"/>
    <x v="2"/>
    <s v="Married"/>
    <n v="6796"/>
    <n v="23452"/>
    <n v="3"/>
    <x v="0"/>
    <n v="14"/>
    <n v="3"/>
    <n v="1"/>
    <n v="1"/>
    <n v="18"/>
    <n v="4"/>
    <n v="3"/>
    <n v="4"/>
    <n v="3"/>
    <n v="1"/>
    <n v="3"/>
    <x v="3"/>
    <n v="1"/>
    <s v="30–39"/>
    <x v="2"/>
    <n v="1"/>
    <s v="Low"/>
  </r>
  <r>
    <n v="38"/>
    <s v="No"/>
    <s v="Travel_Rarely"/>
    <n v="827"/>
    <x v="1"/>
    <n v="1"/>
    <n v="4"/>
    <s v="Life Sciences"/>
    <n v="724"/>
    <n v="2"/>
    <x v="0"/>
    <n v="33"/>
    <n v="4"/>
    <n v="2"/>
    <x v="4"/>
    <x v="0"/>
    <s v="Single"/>
    <n v="7625"/>
    <n v="19383"/>
    <n v="0"/>
    <x v="1"/>
    <n v="13"/>
    <n v="3"/>
    <n v="3"/>
    <n v="0"/>
    <n v="10"/>
    <n v="4"/>
    <n v="2"/>
    <n v="9"/>
    <n v="7"/>
    <n v="1"/>
    <n v="8"/>
    <x v="0"/>
    <n v="0"/>
    <s v="50+"/>
    <x v="0"/>
    <n v="0"/>
    <s v="Low"/>
  </r>
  <r>
    <n v="27"/>
    <s v="No"/>
    <s v="Travel_Rarely"/>
    <n v="608"/>
    <x v="1"/>
    <n v="1"/>
    <n v="2"/>
    <s v="Life Sciences"/>
    <n v="725"/>
    <n v="3"/>
    <x v="0"/>
    <n v="68"/>
    <n v="3"/>
    <n v="3"/>
    <x v="3"/>
    <x v="3"/>
    <s v="Married"/>
    <n v="7412"/>
    <n v="6009"/>
    <n v="1"/>
    <x v="1"/>
    <n v="11"/>
    <n v="3"/>
    <n v="4"/>
    <n v="0"/>
    <n v="9"/>
    <n v="3"/>
    <n v="3"/>
    <n v="9"/>
    <n v="7"/>
    <n v="0"/>
    <n v="7"/>
    <x v="0"/>
    <n v="0"/>
    <s v="30–39"/>
    <x v="1"/>
    <n v="1"/>
    <s v="Low"/>
  </r>
  <r>
    <n v="32"/>
    <s v="No"/>
    <s v="Travel_Rarely"/>
    <n v="1018"/>
    <x v="1"/>
    <n v="3"/>
    <n v="2"/>
    <s v="Life Sciences"/>
    <n v="727"/>
    <n v="3"/>
    <x v="0"/>
    <n v="39"/>
    <n v="3"/>
    <n v="3"/>
    <x v="7"/>
    <x v="0"/>
    <s v="Single"/>
    <n v="11159"/>
    <n v="19373"/>
    <n v="3"/>
    <x v="1"/>
    <n v="15"/>
    <n v="3"/>
    <n v="4"/>
    <n v="0"/>
    <n v="10"/>
    <n v="6"/>
    <n v="3"/>
    <n v="7"/>
    <n v="7"/>
    <n v="7"/>
    <n v="7"/>
    <x v="0"/>
    <n v="0"/>
    <s v="&lt;30"/>
    <x v="0"/>
    <n v="0"/>
    <s v="Low"/>
  </r>
  <r>
    <n v="47"/>
    <s v="No"/>
    <s v="Travel_Rarely"/>
    <n v="703"/>
    <x v="0"/>
    <n v="14"/>
    <n v="4"/>
    <s v="Marketing"/>
    <n v="728"/>
    <n v="4"/>
    <x v="1"/>
    <n v="42"/>
    <n v="3"/>
    <n v="2"/>
    <x v="0"/>
    <x v="3"/>
    <s v="Single"/>
    <n v="4960"/>
    <n v="11825"/>
    <n v="2"/>
    <x v="1"/>
    <n v="12"/>
    <n v="3"/>
    <n v="4"/>
    <n v="0"/>
    <n v="20"/>
    <n v="2"/>
    <n v="3"/>
    <n v="7"/>
    <n v="7"/>
    <n v="1"/>
    <n v="7"/>
    <x v="0"/>
    <n v="0"/>
    <s v="30–39"/>
    <x v="1"/>
    <n v="1"/>
    <s v="Low"/>
  </r>
  <r>
    <n v="40"/>
    <s v="No"/>
    <s v="Travel_Frequently"/>
    <n v="580"/>
    <x v="0"/>
    <n v="5"/>
    <n v="4"/>
    <s v="Life Sciences"/>
    <n v="729"/>
    <n v="4"/>
    <x v="1"/>
    <n v="48"/>
    <n v="2"/>
    <n v="3"/>
    <x v="0"/>
    <x v="3"/>
    <s v="Married"/>
    <n v="10475"/>
    <n v="23772"/>
    <n v="5"/>
    <x v="0"/>
    <n v="21"/>
    <n v="4"/>
    <n v="3"/>
    <n v="1"/>
    <n v="20"/>
    <n v="2"/>
    <n v="3"/>
    <n v="18"/>
    <n v="13"/>
    <n v="1"/>
    <n v="12"/>
    <x v="0"/>
    <n v="0"/>
    <s v="40–49"/>
    <x v="1"/>
    <n v="2"/>
    <s v="Medium"/>
  </r>
  <r>
    <n v="53"/>
    <s v="No"/>
    <s v="Travel_Rarely"/>
    <n v="970"/>
    <x v="1"/>
    <n v="7"/>
    <n v="3"/>
    <s v="Life Sciences"/>
    <n v="730"/>
    <n v="3"/>
    <x v="1"/>
    <n v="59"/>
    <n v="4"/>
    <n v="4"/>
    <x v="7"/>
    <x v="2"/>
    <s v="Married"/>
    <n v="14814"/>
    <n v="13514"/>
    <n v="3"/>
    <x v="1"/>
    <n v="19"/>
    <n v="3"/>
    <n v="3"/>
    <n v="0"/>
    <n v="32"/>
    <n v="3"/>
    <n v="3"/>
    <n v="5"/>
    <n v="1"/>
    <n v="1"/>
    <n v="3"/>
    <x v="3"/>
    <n v="0"/>
    <s v="40–49"/>
    <x v="2"/>
    <n v="0"/>
    <s v="Low"/>
  </r>
  <r>
    <n v="41"/>
    <s v="No"/>
    <s v="Travel_Rarely"/>
    <n v="427"/>
    <x v="2"/>
    <n v="10"/>
    <n v="4"/>
    <s v="Human Resources"/>
    <n v="731"/>
    <n v="2"/>
    <x v="1"/>
    <n v="73"/>
    <n v="2"/>
    <n v="5"/>
    <x v="5"/>
    <x v="0"/>
    <s v="Divorced"/>
    <n v="19141"/>
    <n v="8861"/>
    <n v="3"/>
    <x v="1"/>
    <n v="15"/>
    <n v="3"/>
    <n v="2"/>
    <n v="3"/>
    <n v="23"/>
    <n v="2"/>
    <n v="2"/>
    <n v="21"/>
    <n v="6"/>
    <n v="12"/>
    <n v="6"/>
    <x v="0"/>
    <n v="0"/>
    <s v="50+"/>
    <x v="0"/>
    <n v="0"/>
    <s v="Low"/>
  </r>
  <r>
    <n v="60"/>
    <s v="No"/>
    <s v="Travel_Rarely"/>
    <n v="1179"/>
    <x v="0"/>
    <n v="16"/>
    <n v="4"/>
    <s v="Marketing"/>
    <n v="732"/>
    <n v="1"/>
    <x v="1"/>
    <n v="84"/>
    <n v="3"/>
    <n v="2"/>
    <x v="0"/>
    <x v="3"/>
    <s v="Single"/>
    <n v="5405"/>
    <n v="11924"/>
    <n v="8"/>
    <x v="1"/>
    <n v="14"/>
    <n v="3"/>
    <n v="4"/>
    <n v="0"/>
    <n v="10"/>
    <n v="1"/>
    <n v="3"/>
    <n v="2"/>
    <n v="2"/>
    <n v="2"/>
    <n v="2"/>
    <x v="2"/>
    <n v="0"/>
    <s v="40–49"/>
    <x v="1"/>
    <n v="2"/>
    <s v="Medium"/>
  </r>
  <r>
    <n v="27"/>
    <s v="No"/>
    <s v="Travel_Frequently"/>
    <n v="294"/>
    <x v="1"/>
    <n v="10"/>
    <n v="2"/>
    <s v="Life Sciences"/>
    <n v="733"/>
    <n v="4"/>
    <x v="1"/>
    <n v="32"/>
    <n v="3"/>
    <n v="3"/>
    <x v="3"/>
    <x v="3"/>
    <s v="Divorced"/>
    <n v="8793"/>
    <n v="4809"/>
    <n v="1"/>
    <x v="1"/>
    <n v="21"/>
    <n v="4"/>
    <n v="3"/>
    <n v="2"/>
    <n v="9"/>
    <n v="4"/>
    <n v="2"/>
    <n v="9"/>
    <n v="7"/>
    <n v="1"/>
    <n v="7"/>
    <x v="0"/>
    <n v="0"/>
    <s v="50+"/>
    <x v="1"/>
    <n v="1"/>
    <s v="Low"/>
  </r>
  <r>
    <n v="41"/>
    <s v="No"/>
    <s v="Travel_Rarely"/>
    <n v="314"/>
    <x v="2"/>
    <n v="1"/>
    <n v="3"/>
    <s v="Human Resources"/>
    <n v="734"/>
    <n v="4"/>
    <x v="1"/>
    <n v="59"/>
    <n v="2"/>
    <n v="5"/>
    <x v="5"/>
    <x v="2"/>
    <s v="Married"/>
    <n v="19189"/>
    <n v="19562"/>
    <n v="1"/>
    <x v="1"/>
    <n v="12"/>
    <n v="3"/>
    <n v="2"/>
    <n v="1"/>
    <n v="22"/>
    <n v="3"/>
    <n v="3"/>
    <n v="22"/>
    <n v="7"/>
    <n v="2"/>
    <n v="10"/>
    <x v="0"/>
    <n v="0"/>
    <s v="&lt;30"/>
    <x v="2"/>
    <n v="0"/>
    <s v="Low"/>
  </r>
  <r>
    <n v="50"/>
    <s v="No"/>
    <s v="Travel_Rarely"/>
    <n v="316"/>
    <x v="0"/>
    <n v="8"/>
    <n v="4"/>
    <s v="Marketing"/>
    <n v="738"/>
    <n v="4"/>
    <x v="1"/>
    <n v="54"/>
    <n v="3"/>
    <n v="1"/>
    <x v="6"/>
    <x v="1"/>
    <s v="Married"/>
    <n v="3875"/>
    <n v="9983"/>
    <n v="7"/>
    <x v="1"/>
    <n v="15"/>
    <n v="3"/>
    <n v="4"/>
    <n v="1"/>
    <n v="4"/>
    <n v="2"/>
    <n v="3"/>
    <n v="2"/>
    <n v="2"/>
    <n v="2"/>
    <n v="2"/>
    <x v="2"/>
    <n v="0"/>
    <s v="40–49"/>
    <x v="1"/>
    <n v="2"/>
    <s v="Medium"/>
  </r>
  <r>
    <n v="28"/>
    <s v="Yes"/>
    <s v="Travel_Rarely"/>
    <n v="654"/>
    <x v="1"/>
    <n v="1"/>
    <n v="2"/>
    <s v="Life Sciences"/>
    <n v="741"/>
    <n v="1"/>
    <x v="0"/>
    <n v="67"/>
    <n v="1"/>
    <n v="1"/>
    <x v="1"/>
    <x v="1"/>
    <s v="Single"/>
    <n v="2216"/>
    <n v="3872"/>
    <n v="7"/>
    <x v="0"/>
    <n v="13"/>
    <n v="3"/>
    <n v="4"/>
    <n v="0"/>
    <n v="10"/>
    <n v="4"/>
    <n v="3"/>
    <n v="7"/>
    <n v="7"/>
    <n v="3"/>
    <n v="7"/>
    <x v="0"/>
    <n v="1"/>
    <s v="50+"/>
    <x v="1"/>
    <n v="2"/>
    <s v="Medium"/>
  </r>
  <r>
    <n v="36"/>
    <s v="No"/>
    <s v="Non-Travel"/>
    <n v="427"/>
    <x v="1"/>
    <n v="8"/>
    <n v="3"/>
    <s v="Life Sciences"/>
    <n v="742"/>
    <n v="1"/>
    <x v="0"/>
    <n v="63"/>
    <n v="4"/>
    <n v="3"/>
    <x v="7"/>
    <x v="3"/>
    <s v="Married"/>
    <n v="11713"/>
    <n v="20335"/>
    <n v="9"/>
    <x v="1"/>
    <n v="14"/>
    <n v="3"/>
    <n v="1"/>
    <n v="1"/>
    <n v="10"/>
    <n v="2"/>
    <n v="3"/>
    <n v="8"/>
    <n v="7"/>
    <n v="0"/>
    <n v="5"/>
    <x v="0"/>
    <n v="0"/>
    <s v="&lt;30"/>
    <x v="1"/>
    <n v="1"/>
    <s v="Low"/>
  </r>
  <r>
    <n v="38"/>
    <s v="No"/>
    <s v="Travel_Rarely"/>
    <n v="168"/>
    <x v="1"/>
    <n v="1"/>
    <n v="3"/>
    <s v="Life Sciences"/>
    <n v="743"/>
    <n v="3"/>
    <x v="0"/>
    <n v="81"/>
    <n v="3"/>
    <n v="3"/>
    <x v="3"/>
    <x v="2"/>
    <s v="Single"/>
    <n v="7861"/>
    <n v="15397"/>
    <n v="4"/>
    <x v="0"/>
    <n v="14"/>
    <n v="3"/>
    <n v="4"/>
    <n v="0"/>
    <n v="10"/>
    <n v="4"/>
    <n v="4"/>
    <n v="1"/>
    <n v="0"/>
    <n v="0"/>
    <n v="0"/>
    <x v="2"/>
    <n v="0"/>
    <s v="30–39"/>
    <x v="2"/>
    <n v="2"/>
    <s v="Medium"/>
  </r>
  <r>
    <n v="44"/>
    <s v="No"/>
    <s v="Non-Travel"/>
    <n v="381"/>
    <x v="1"/>
    <n v="24"/>
    <n v="3"/>
    <s v="Medical"/>
    <n v="744"/>
    <n v="1"/>
    <x v="1"/>
    <n v="49"/>
    <n v="1"/>
    <n v="1"/>
    <x v="2"/>
    <x v="2"/>
    <s v="Single"/>
    <n v="3708"/>
    <n v="2104"/>
    <n v="2"/>
    <x v="1"/>
    <n v="14"/>
    <n v="3"/>
    <n v="3"/>
    <n v="0"/>
    <n v="9"/>
    <n v="5"/>
    <n v="3"/>
    <n v="5"/>
    <n v="2"/>
    <n v="1"/>
    <n v="4"/>
    <x v="3"/>
    <n v="0"/>
    <s v="30–39"/>
    <x v="2"/>
    <n v="0"/>
    <s v="Low"/>
  </r>
  <r>
    <n v="47"/>
    <s v="No"/>
    <s v="Travel_Frequently"/>
    <n v="217"/>
    <x v="0"/>
    <n v="3"/>
    <n v="3"/>
    <s v="Medical"/>
    <n v="746"/>
    <n v="4"/>
    <x v="0"/>
    <n v="49"/>
    <n v="3"/>
    <n v="4"/>
    <x v="0"/>
    <x v="2"/>
    <s v="Divorced"/>
    <n v="13770"/>
    <n v="10225"/>
    <n v="9"/>
    <x v="0"/>
    <n v="12"/>
    <n v="3"/>
    <n v="4"/>
    <n v="2"/>
    <n v="28"/>
    <n v="2"/>
    <n v="2"/>
    <n v="22"/>
    <n v="2"/>
    <n v="11"/>
    <n v="13"/>
    <x v="0"/>
    <n v="0"/>
    <s v="40–49"/>
    <x v="2"/>
    <n v="1"/>
    <s v="Low"/>
  </r>
  <r>
    <n v="30"/>
    <s v="No"/>
    <s v="Travel_Rarely"/>
    <n v="501"/>
    <x v="0"/>
    <n v="27"/>
    <n v="5"/>
    <s v="Marketing"/>
    <n v="747"/>
    <n v="3"/>
    <x v="1"/>
    <n v="99"/>
    <n v="3"/>
    <n v="2"/>
    <x v="0"/>
    <x v="0"/>
    <s v="Divorced"/>
    <n v="5304"/>
    <n v="25275"/>
    <n v="7"/>
    <x v="1"/>
    <n v="23"/>
    <n v="4"/>
    <n v="4"/>
    <n v="1"/>
    <n v="10"/>
    <n v="2"/>
    <n v="2"/>
    <n v="8"/>
    <n v="7"/>
    <n v="7"/>
    <n v="7"/>
    <x v="0"/>
    <n v="0"/>
    <s v="40–49"/>
    <x v="0"/>
    <n v="0"/>
    <s v="Low"/>
  </r>
  <r>
    <n v="29"/>
    <s v="No"/>
    <s v="Travel_Rarely"/>
    <n v="1396"/>
    <x v="0"/>
    <n v="10"/>
    <n v="3"/>
    <s v="Life Sciences"/>
    <n v="749"/>
    <n v="3"/>
    <x v="1"/>
    <n v="99"/>
    <n v="3"/>
    <n v="1"/>
    <x v="6"/>
    <x v="2"/>
    <s v="Single"/>
    <n v="2642"/>
    <n v="2755"/>
    <n v="1"/>
    <x v="1"/>
    <n v="11"/>
    <n v="3"/>
    <n v="3"/>
    <n v="0"/>
    <n v="1"/>
    <n v="6"/>
    <n v="3"/>
    <n v="1"/>
    <n v="0"/>
    <n v="0"/>
    <n v="0"/>
    <x v="2"/>
    <n v="0"/>
    <s v="30–39"/>
    <x v="2"/>
    <n v="1"/>
    <s v="Low"/>
  </r>
  <r>
    <n v="42"/>
    <s v="Yes"/>
    <s v="Travel_Frequently"/>
    <n v="933"/>
    <x v="1"/>
    <n v="19"/>
    <n v="3"/>
    <s v="Medical"/>
    <n v="752"/>
    <n v="3"/>
    <x v="1"/>
    <n v="57"/>
    <n v="4"/>
    <n v="1"/>
    <x v="1"/>
    <x v="2"/>
    <s v="Divorced"/>
    <n v="2759"/>
    <n v="20366"/>
    <n v="6"/>
    <x v="0"/>
    <n v="12"/>
    <n v="3"/>
    <n v="4"/>
    <n v="0"/>
    <n v="7"/>
    <n v="2"/>
    <n v="3"/>
    <n v="2"/>
    <n v="2"/>
    <n v="2"/>
    <n v="2"/>
    <x v="2"/>
    <n v="1"/>
    <s v="&lt;30"/>
    <x v="2"/>
    <n v="2"/>
    <s v="Medium"/>
  </r>
  <r>
    <n v="43"/>
    <s v="No"/>
    <s v="Travel_Frequently"/>
    <n v="775"/>
    <x v="0"/>
    <n v="15"/>
    <n v="3"/>
    <s v="Life Sciences"/>
    <n v="754"/>
    <n v="4"/>
    <x v="1"/>
    <n v="47"/>
    <n v="2"/>
    <n v="2"/>
    <x v="0"/>
    <x v="0"/>
    <s v="Married"/>
    <n v="6804"/>
    <n v="23683"/>
    <n v="3"/>
    <x v="1"/>
    <n v="18"/>
    <n v="3"/>
    <n v="3"/>
    <n v="1"/>
    <n v="7"/>
    <n v="5"/>
    <n v="3"/>
    <n v="2"/>
    <n v="2"/>
    <n v="2"/>
    <n v="2"/>
    <x v="2"/>
    <n v="0"/>
    <s v="40–49"/>
    <x v="0"/>
    <n v="1"/>
    <s v="Low"/>
  </r>
  <r>
    <n v="34"/>
    <s v="No"/>
    <s v="Travel_Rarely"/>
    <n v="970"/>
    <x v="1"/>
    <n v="8"/>
    <n v="2"/>
    <s v="Medical"/>
    <n v="757"/>
    <n v="2"/>
    <x v="0"/>
    <n v="96"/>
    <n v="3"/>
    <n v="2"/>
    <x v="4"/>
    <x v="2"/>
    <s v="Single"/>
    <n v="6142"/>
    <n v="7360"/>
    <n v="3"/>
    <x v="1"/>
    <n v="11"/>
    <n v="3"/>
    <n v="4"/>
    <n v="0"/>
    <n v="10"/>
    <n v="2"/>
    <n v="3"/>
    <n v="5"/>
    <n v="1"/>
    <n v="4"/>
    <n v="3"/>
    <x v="3"/>
    <n v="0"/>
    <s v="40–49"/>
    <x v="2"/>
    <n v="0"/>
    <s v="Low"/>
  </r>
  <r>
    <n v="23"/>
    <s v="No"/>
    <s v="Travel_Rarely"/>
    <n v="650"/>
    <x v="1"/>
    <n v="9"/>
    <n v="1"/>
    <s v="Medical"/>
    <n v="758"/>
    <n v="2"/>
    <x v="1"/>
    <n v="37"/>
    <n v="3"/>
    <n v="1"/>
    <x v="2"/>
    <x v="3"/>
    <s v="Married"/>
    <n v="2500"/>
    <n v="4344"/>
    <n v="1"/>
    <x v="1"/>
    <n v="14"/>
    <n v="3"/>
    <n v="4"/>
    <n v="1"/>
    <n v="5"/>
    <n v="2"/>
    <n v="4"/>
    <n v="4"/>
    <n v="3"/>
    <n v="0"/>
    <n v="2"/>
    <x v="3"/>
    <n v="0"/>
    <s v="30–39"/>
    <x v="1"/>
    <n v="1"/>
    <s v="Low"/>
  </r>
  <r>
    <n v="39"/>
    <s v="No"/>
    <s v="Travel_Rarely"/>
    <n v="141"/>
    <x v="2"/>
    <n v="3"/>
    <n v="3"/>
    <s v="Human Resources"/>
    <n v="760"/>
    <n v="3"/>
    <x v="0"/>
    <n v="44"/>
    <n v="4"/>
    <n v="2"/>
    <x v="8"/>
    <x v="1"/>
    <s v="Married"/>
    <n v="6389"/>
    <n v="18767"/>
    <n v="9"/>
    <x v="1"/>
    <n v="15"/>
    <n v="3"/>
    <n v="3"/>
    <n v="1"/>
    <n v="12"/>
    <n v="3"/>
    <n v="1"/>
    <n v="8"/>
    <n v="3"/>
    <n v="3"/>
    <n v="6"/>
    <x v="0"/>
    <n v="0"/>
    <s v="&lt;30"/>
    <x v="1"/>
    <n v="1"/>
    <s v="Low"/>
  </r>
  <r>
    <n v="56"/>
    <s v="No"/>
    <s v="Travel_Rarely"/>
    <n v="832"/>
    <x v="1"/>
    <n v="9"/>
    <n v="3"/>
    <s v="Medical"/>
    <n v="762"/>
    <n v="3"/>
    <x v="1"/>
    <n v="81"/>
    <n v="3"/>
    <n v="4"/>
    <x v="4"/>
    <x v="0"/>
    <s v="Married"/>
    <n v="11103"/>
    <n v="20420"/>
    <n v="7"/>
    <x v="1"/>
    <n v="11"/>
    <n v="3"/>
    <n v="3"/>
    <n v="0"/>
    <n v="30"/>
    <n v="1"/>
    <n v="2"/>
    <n v="10"/>
    <n v="7"/>
    <n v="1"/>
    <n v="1"/>
    <x v="0"/>
    <n v="0"/>
    <s v="30–39"/>
    <x v="0"/>
    <n v="0"/>
    <s v="Low"/>
  </r>
  <r>
    <n v="40"/>
    <s v="No"/>
    <s v="Travel_Rarely"/>
    <n v="804"/>
    <x v="1"/>
    <n v="2"/>
    <n v="1"/>
    <s v="Medical"/>
    <n v="763"/>
    <n v="4"/>
    <x v="0"/>
    <n v="86"/>
    <n v="2"/>
    <n v="1"/>
    <x v="1"/>
    <x v="0"/>
    <s v="Single"/>
    <n v="2342"/>
    <n v="22929"/>
    <n v="0"/>
    <x v="0"/>
    <n v="20"/>
    <n v="4"/>
    <n v="4"/>
    <n v="0"/>
    <n v="5"/>
    <n v="2"/>
    <n v="2"/>
    <n v="4"/>
    <n v="2"/>
    <n v="2"/>
    <n v="3"/>
    <x v="3"/>
    <n v="0"/>
    <s v="50+"/>
    <x v="0"/>
    <n v="1"/>
    <s v="Low"/>
  </r>
  <r>
    <n v="27"/>
    <s v="No"/>
    <s v="Travel_Rarely"/>
    <n v="975"/>
    <x v="1"/>
    <n v="7"/>
    <n v="3"/>
    <s v="Medical"/>
    <n v="764"/>
    <n v="4"/>
    <x v="0"/>
    <n v="55"/>
    <n v="2"/>
    <n v="2"/>
    <x v="4"/>
    <x v="3"/>
    <s v="Single"/>
    <n v="6811"/>
    <n v="23398"/>
    <n v="8"/>
    <x v="1"/>
    <n v="19"/>
    <n v="3"/>
    <n v="1"/>
    <n v="0"/>
    <n v="9"/>
    <n v="2"/>
    <n v="1"/>
    <n v="7"/>
    <n v="6"/>
    <n v="0"/>
    <n v="7"/>
    <x v="0"/>
    <n v="0"/>
    <s v="40–49"/>
    <x v="1"/>
    <n v="1"/>
    <s v="Low"/>
  </r>
  <r>
    <n v="29"/>
    <s v="No"/>
    <s v="Travel_Rarely"/>
    <n v="1090"/>
    <x v="0"/>
    <n v="10"/>
    <n v="3"/>
    <s v="Marketing"/>
    <n v="766"/>
    <n v="4"/>
    <x v="1"/>
    <n v="83"/>
    <n v="3"/>
    <n v="1"/>
    <x v="6"/>
    <x v="1"/>
    <s v="Divorced"/>
    <n v="2297"/>
    <n v="17967"/>
    <n v="1"/>
    <x v="1"/>
    <n v="14"/>
    <n v="3"/>
    <n v="4"/>
    <n v="2"/>
    <n v="2"/>
    <n v="2"/>
    <n v="3"/>
    <n v="2"/>
    <n v="2"/>
    <n v="2"/>
    <n v="2"/>
    <x v="2"/>
    <n v="0"/>
    <s v="&lt;30"/>
    <x v="1"/>
    <n v="2"/>
    <s v="Medium"/>
  </r>
  <r>
    <n v="53"/>
    <s v="No"/>
    <s v="Travel_Rarely"/>
    <n v="346"/>
    <x v="1"/>
    <n v="6"/>
    <n v="3"/>
    <s v="Life Sciences"/>
    <n v="769"/>
    <n v="4"/>
    <x v="1"/>
    <n v="86"/>
    <n v="3"/>
    <n v="2"/>
    <x v="2"/>
    <x v="0"/>
    <s v="Single"/>
    <n v="2450"/>
    <n v="10919"/>
    <n v="2"/>
    <x v="1"/>
    <n v="17"/>
    <n v="3"/>
    <n v="4"/>
    <n v="0"/>
    <n v="19"/>
    <n v="4"/>
    <n v="3"/>
    <n v="2"/>
    <n v="2"/>
    <n v="2"/>
    <n v="2"/>
    <x v="2"/>
    <n v="0"/>
    <s v="&lt;30"/>
    <x v="0"/>
    <n v="1"/>
    <s v="Low"/>
  </r>
  <r>
    <n v="35"/>
    <s v="No"/>
    <s v="Non-Travel"/>
    <n v="1225"/>
    <x v="1"/>
    <n v="2"/>
    <n v="4"/>
    <s v="Life Sciences"/>
    <n v="771"/>
    <n v="4"/>
    <x v="0"/>
    <n v="61"/>
    <n v="3"/>
    <n v="2"/>
    <x v="4"/>
    <x v="3"/>
    <s v="Divorced"/>
    <n v="5093"/>
    <n v="4761"/>
    <n v="2"/>
    <x v="1"/>
    <n v="11"/>
    <n v="3"/>
    <n v="1"/>
    <n v="1"/>
    <n v="16"/>
    <n v="2"/>
    <n v="4"/>
    <n v="1"/>
    <n v="0"/>
    <n v="0"/>
    <n v="0"/>
    <x v="2"/>
    <n v="0"/>
    <s v="50+"/>
    <x v="1"/>
    <n v="2"/>
    <s v="Medium"/>
  </r>
  <r>
    <n v="32"/>
    <s v="No"/>
    <s v="Travel_Frequently"/>
    <n v="430"/>
    <x v="1"/>
    <n v="24"/>
    <n v="4"/>
    <s v="Life Sciences"/>
    <n v="772"/>
    <n v="1"/>
    <x v="1"/>
    <n v="80"/>
    <n v="3"/>
    <n v="2"/>
    <x v="2"/>
    <x v="0"/>
    <s v="Married"/>
    <n v="5309"/>
    <n v="21146"/>
    <n v="1"/>
    <x v="1"/>
    <n v="15"/>
    <n v="3"/>
    <n v="4"/>
    <n v="2"/>
    <n v="10"/>
    <n v="2"/>
    <n v="3"/>
    <n v="10"/>
    <n v="8"/>
    <n v="4"/>
    <n v="7"/>
    <x v="0"/>
    <n v="0"/>
    <s v="30–39"/>
    <x v="0"/>
    <n v="0"/>
    <s v="Low"/>
  </r>
  <r>
    <n v="38"/>
    <s v="No"/>
    <s v="Travel_Rarely"/>
    <n v="268"/>
    <x v="1"/>
    <n v="2"/>
    <n v="5"/>
    <s v="Medical"/>
    <n v="773"/>
    <n v="4"/>
    <x v="1"/>
    <n v="92"/>
    <n v="3"/>
    <n v="1"/>
    <x v="1"/>
    <x v="2"/>
    <s v="Married"/>
    <n v="3057"/>
    <n v="20471"/>
    <n v="6"/>
    <x v="0"/>
    <n v="13"/>
    <n v="3"/>
    <n v="2"/>
    <n v="1"/>
    <n v="6"/>
    <n v="0"/>
    <n v="1"/>
    <n v="1"/>
    <n v="0"/>
    <n v="0"/>
    <n v="1"/>
    <x v="2"/>
    <n v="0"/>
    <s v="30–39"/>
    <x v="2"/>
    <n v="2"/>
    <s v="Medium"/>
  </r>
  <r>
    <n v="34"/>
    <s v="No"/>
    <s v="Travel_Rarely"/>
    <n v="167"/>
    <x v="1"/>
    <n v="8"/>
    <n v="5"/>
    <s v="Life Sciences"/>
    <n v="775"/>
    <n v="2"/>
    <x v="0"/>
    <n v="32"/>
    <n v="3"/>
    <n v="2"/>
    <x v="3"/>
    <x v="3"/>
    <s v="Divorced"/>
    <n v="5121"/>
    <n v="4187"/>
    <n v="3"/>
    <x v="1"/>
    <n v="14"/>
    <n v="3"/>
    <n v="3"/>
    <n v="1"/>
    <n v="7"/>
    <n v="3"/>
    <n v="3"/>
    <n v="0"/>
    <n v="0"/>
    <n v="0"/>
    <n v="0"/>
    <x v="1"/>
    <n v="0"/>
    <s v="30–39"/>
    <x v="1"/>
    <n v="2"/>
    <s v="Medium"/>
  </r>
  <r>
    <n v="52"/>
    <s v="No"/>
    <s v="Travel_Rarely"/>
    <n v="621"/>
    <x v="0"/>
    <n v="3"/>
    <n v="4"/>
    <s v="Marketing"/>
    <n v="776"/>
    <n v="3"/>
    <x v="1"/>
    <n v="31"/>
    <n v="2"/>
    <n v="4"/>
    <x v="5"/>
    <x v="3"/>
    <s v="Married"/>
    <n v="16856"/>
    <n v="10084"/>
    <n v="1"/>
    <x v="1"/>
    <n v="11"/>
    <n v="3"/>
    <n v="1"/>
    <n v="0"/>
    <n v="34"/>
    <n v="3"/>
    <n v="4"/>
    <n v="34"/>
    <n v="6"/>
    <n v="1"/>
    <n v="16"/>
    <x v="0"/>
    <n v="0"/>
    <s v="30–39"/>
    <x v="1"/>
    <n v="1"/>
    <s v="Low"/>
  </r>
  <r>
    <n v="33"/>
    <s v="Yes"/>
    <s v="Travel_Rarely"/>
    <n v="527"/>
    <x v="1"/>
    <n v="1"/>
    <n v="4"/>
    <s v="Other"/>
    <n v="780"/>
    <n v="4"/>
    <x v="1"/>
    <n v="63"/>
    <n v="3"/>
    <n v="1"/>
    <x v="1"/>
    <x v="0"/>
    <s v="Single"/>
    <n v="2686"/>
    <n v="5207"/>
    <n v="1"/>
    <x v="0"/>
    <n v="13"/>
    <n v="3"/>
    <n v="3"/>
    <n v="0"/>
    <n v="10"/>
    <n v="2"/>
    <n v="2"/>
    <n v="10"/>
    <n v="9"/>
    <n v="7"/>
    <n v="8"/>
    <x v="0"/>
    <n v="1"/>
    <s v="50+"/>
    <x v="0"/>
    <n v="1"/>
    <s v="Low"/>
  </r>
  <r>
    <n v="25"/>
    <s v="No"/>
    <s v="Travel_Rarely"/>
    <n v="883"/>
    <x v="0"/>
    <n v="26"/>
    <n v="1"/>
    <s v="Medical"/>
    <n v="781"/>
    <n v="3"/>
    <x v="0"/>
    <n v="32"/>
    <n v="3"/>
    <n v="2"/>
    <x v="0"/>
    <x v="0"/>
    <s v="Single"/>
    <n v="6180"/>
    <n v="22807"/>
    <n v="1"/>
    <x v="1"/>
    <n v="23"/>
    <n v="4"/>
    <n v="2"/>
    <n v="0"/>
    <n v="6"/>
    <n v="5"/>
    <n v="2"/>
    <n v="6"/>
    <n v="5"/>
    <n v="1"/>
    <n v="4"/>
    <x v="0"/>
    <n v="0"/>
    <s v="30–39"/>
    <x v="0"/>
    <n v="0"/>
    <s v="Low"/>
  </r>
  <r>
    <n v="45"/>
    <s v="No"/>
    <s v="Travel_Rarely"/>
    <n v="954"/>
    <x v="0"/>
    <n v="2"/>
    <n v="2"/>
    <s v="Technical Degree"/>
    <n v="783"/>
    <n v="2"/>
    <x v="1"/>
    <n v="46"/>
    <n v="1"/>
    <n v="2"/>
    <x v="6"/>
    <x v="2"/>
    <s v="Single"/>
    <n v="6632"/>
    <n v="12388"/>
    <n v="0"/>
    <x v="1"/>
    <n v="13"/>
    <n v="3"/>
    <n v="1"/>
    <n v="0"/>
    <n v="9"/>
    <n v="3"/>
    <n v="3"/>
    <n v="8"/>
    <n v="7"/>
    <n v="3"/>
    <n v="1"/>
    <x v="0"/>
    <n v="0"/>
    <s v="&lt;30"/>
    <x v="2"/>
    <n v="0"/>
    <s v="Low"/>
  </r>
  <r>
    <n v="23"/>
    <s v="No"/>
    <s v="Travel_Rarely"/>
    <n v="310"/>
    <x v="1"/>
    <n v="10"/>
    <n v="1"/>
    <s v="Medical"/>
    <n v="784"/>
    <n v="1"/>
    <x v="1"/>
    <n v="79"/>
    <n v="4"/>
    <n v="1"/>
    <x v="1"/>
    <x v="2"/>
    <s v="Single"/>
    <n v="3505"/>
    <n v="19630"/>
    <n v="1"/>
    <x v="1"/>
    <n v="18"/>
    <n v="3"/>
    <n v="4"/>
    <n v="0"/>
    <n v="2"/>
    <n v="3"/>
    <n v="3"/>
    <n v="2"/>
    <n v="2"/>
    <n v="0"/>
    <n v="2"/>
    <x v="2"/>
    <n v="0"/>
    <s v="40–49"/>
    <x v="2"/>
    <n v="1"/>
    <s v="Low"/>
  </r>
  <r>
    <n v="47"/>
    <s v="Yes"/>
    <s v="Travel_Frequently"/>
    <n v="719"/>
    <x v="0"/>
    <n v="27"/>
    <n v="2"/>
    <s v="Life Sciences"/>
    <n v="785"/>
    <n v="2"/>
    <x v="0"/>
    <n v="77"/>
    <n v="4"/>
    <n v="2"/>
    <x v="0"/>
    <x v="2"/>
    <s v="Single"/>
    <n v="6397"/>
    <n v="10339"/>
    <n v="4"/>
    <x v="0"/>
    <n v="12"/>
    <n v="3"/>
    <n v="4"/>
    <n v="0"/>
    <n v="8"/>
    <n v="2"/>
    <n v="3"/>
    <n v="5"/>
    <n v="4"/>
    <n v="1"/>
    <n v="3"/>
    <x v="3"/>
    <n v="1"/>
    <s v="&lt;30"/>
    <x v="2"/>
    <n v="1"/>
    <s v="Low"/>
  </r>
  <r>
    <n v="34"/>
    <s v="No"/>
    <s v="Travel_Rarely"/>
    <n v="304"/>
    <x v="0"/>
    <n v="2"/>
    <n v="3"/>
    <s v="Other"/>
    <n v="786"/>
    <n v="4"/>
    <x v="1"/>
    <n v="60"/>
    <n v="3"/>
    <n v="2"/>
    <x v="0"/>
    <x v="0"/>
    <s v="Single"/>
    <n v="6274"/>
    <n v="18686"/>
    <n v="1"/>
    <x v="1"/>
    <n v="22"/>
    <n v="4"/>
    <n v="3"/>
    <n v="0"/>
    <n v="6"/>
    <n v="5"/>
    <n v="3"/>
    <n v="6"/>
    <n v="5"/>
    <n v="1"/>
    <n v="4"/>
    <x v="0"/>
    <n v="0"/>
    <s v="40–49"/>
    <x v="0"/>
    <n v="0"/>
    <s v="Low"/>
  </r>
  <r>
    <n v="55"/>
    <s v="Yes"/>
    <s v="Travel_Rarely"/>
    <n v="725"/>
    <x v="1"/>
    <n v="2"/>
    <n v="3"/>
    <s v="Medical"/>
    <n v="787"/>
    <n v="4"/>
    <x v="1"/>
    <n v="78"/>
    <n v="3"/>
    <n v="5"/>
    <x v="5"/>
    <x v="3"/>
    <s v="Married"/>
    <n v="19859"/>
    <n v="21199"/>
    <n v="5"/>
    <x v="0"/>
    <n v="13"/>
    <n v="3"/>
    <n v="4"/>
    <n v="1"/>
    <n v="24"/>
    <n v="2"/>
    <n v="3"/>
    <n v="5"/>
    <n v="2"/>
    <n v="1"/>
    <n v="4"/>
    <x v="3"/>
    <n v="1"/>
    <s v="30–39"/>
    <x v="1"/>
    <n v="2"/>
    <s v="Medium"/>
  </r>
  <r>
    <n v="36"/>
    <s v="No"/>
    <s v="Non-Travel"/>
    <n v="1434"/>
    <x v="0"/>
    <n v="8"/>
    <n v="4"/>
    <s v="Life Sciences"/>
    <n v="789"/>
    <n v="1"/>
    <x v="1"/>
    <n v="76"/>
    <n v="2"/>
    <n v="3"/>
    <x v="0"/>
    <x v="3"/>
    <s v="Single"/>
    <n v="7587"/>
    <n v="14229"/>
    <n v="1"/>
    <x v="1"/>
    <n v="15"/>
    <n v="3"/>
    <n v="2"/>
    <n v="0"/>
    <n v="10"/>
    <n v="1"/>
    <n v="3"/>
    <n v="10"/>
    <n v="7"/>
    <n v="0"/>
    <n v="9"/>
    <x v="0"/>
    <n v="0"/>
    <s v="50+"/>
    <x v="1"/>
    <n v="1"/>
    <s v="Low"/>
  </r>
  <r>
    <n v="52"/>
    <s v="No"/>
    <s v="Non-Travel"/>
    <n v="715"/>
    <x v="1"/>
    <n v="19"/>
    <n v="4"/>
    <s v="Medical"/>
    <n v="791"/>
    <n v="4"/>
    <x v="1"/>
    <n v="41"/>
    <n v="3"/>
    <n v="1"/>
    <x v="1"/>
    <x v="0"/>
    <s v="Married"/>
    <n v="4258"/>
    <n v="26589"/>
    <n v="0"/>
    <x v="1"/>
    <n v="18"/>
    <n v="3"/>
    <n v="1"/>
    <n v="1"/>
    <n v="5"/>
    <n v="3"/>
    <n v="3"/>
    <n v="4"/>
    <n v="3"/>
    <n v="1"/>
    <n v="2"/>
    <x v="3"/>
    <n v="0"/>
    <s v="30–39"/>
    <x v="0"/>
    <n v="0"/>
    <s v="Low"/>
  </r>
  <r>
    <n v="26"/>
    <s v="No"/>
    <s v="Travel_Frequently"/>
    <n v="575"/>
    <x v="1"/>
    <n v="1"/>
    <n v="2"/>
    <s v="Life Sciences"/>
    <n v="792"/>
    <n v="1"/>
    <x v="0"/>
    <n v="71"/>
    <n v="1"/>
    <n v="1"/>
    <x v="2"/>
    <x v="0"/>
    <s v="Divorced"/>
    <n v="4364"/>
    <n v="5288"/>
    <n v="3"/>
    <x v="1"/>
    <n v="14"/>
    <n v="3"/>
    <n v="1"/>
    <n v="1"/>
    <n v="5"/>
    <n v="2"/>
    <n v="3"/>
    <n v="2"/>
    <n v="2"/>
    <n v="2"/>
    <n v="0"/>
    <x v="2"/>
    <n v="0"/>
    <s v="50+"/>
    <x v="0"/>
    <n v="1"/>
    <s v="Low"/>
  </r>
  <r>
    <n v="29"/>
    <s v="No"/>
    <s v="Travel_Rarely"/>
    <n v="657"/>
    <x v="1"/>
    <n v="27"/>
    <n v="3"/>
    <s v="Medical"/>
    <n v="793"/>
    <n v="2"/>
    <x v="0"/>
    <n v="66"/>
    <n v="3"/>
    <n v="2"/>
    <x v="4"/>
    <x v="2"/>
    <s v="Married"/>
    <n v="4335"/>
    <n v="25549"/>
    <n v="4"/>
    <x v="1"/>
    <n v="12"/>
    <n v="3"/>
    <n v="1"/>
    <n v="1"/>
    <n v="11"/>
    <n v="3"/>
    <n v="2"/>
    <n v="8"/>
    <n v="7"/>
    <n v="1"/>
    <n v="1"/>
    <x v="0"/>
    <n v="0"/>
    <s v="&lt;30"/>
    <x v="2"/>
    <n v="0"/>
    <s v="Low"/>
  </r>
  <r>
    <n v="26"/>
    <s v="Yes"/>
    <s v="Travel_Rarely"/>
    <n v="1146"/>
    <x v="0"/>
    <n v="8"/>
    <n v="3"/>
    <s v="Technical Degree"/>
    <n v="796"/>
    <n v="4"/>
    <x v="1"/>
    <n v="38"/>
    <n v="2"/>
    <n v="2"/>
    <x v="0"/>
    <x v="3"/>
    <s v="Single"/>
    <n v="5326"/>
    <n v="3064"/>
    <n v="6"/>
    <x v="1"/>
    <n v="17"/>
    <n v="3"/>
    <n v="3"/>
    <n v="0"/>
    <n v="6"/>
    <n v="2"/>
    <n v="2"/>
    <n v="4"/>
    <n v="3"/>
    <n v="1"/>
    <n v="2"/>
    <x v="3"/>
    <n v="1"/>
    <s v="&lt;30"/>
    <x v="1"/>
    <n v="1"/>
    <s v="Low"/>
  </r>
  <r>
    <n v="34"/>
    <s v="No"/>
    <s v="Travel_Rarely"/>
    <n v="182"/>
    <x v="1"/>
    <n v="1"/>
    <n v="4"/>
    <s v="Life Sciences"/>
    <n v="797"/>
    <n v="2"/>
    <x v="0"/>
    <n v="72"/>
    <n v="4"/>
    <n v="1"/>
    <x v="1"/>
    <x v="0"/>
    <s v="Single"/>
    <n v="3280"/>
    <n v="13551"/>
    <n v="2"/>
    <x v="1"/>
    <n v="16"/>
    <n v="3"/>
    <n v="3"/>
    <n v="0"/>
    <n v="10"/>
    <n v="2"/>
    <n v="3"/>
    <n v="4"/>
    <n v="2"/>
    <n v="1"/>
    <n v="3"/>
    <x v="3"/>
    <n v="0"/>
    <s v="&lt;30"/>
    <x v="0"/>
    <n v="0"/>
    <s v="Low"/>
  </r>
  <r>
    <n v="54"/>
    <s v="No"/>
    <s v="Travel_Rarely"/>
    <n v="376"/>
    <x v="1"/>
    <n v="19"/>
    <n v="4"/>
    <s v="Medical"/>
    <n v="799"/>
    <n v="4"/>
    <x v="0"/>
    <n v="95"/>
    <n v="3"/>
    <n v="2"/>
    <x v="3"/>
    <x v="3"/>
    <s v="Divorced"/>
    <n v="5485"/>
    <n v="22670"/>
    <n v="9"/>
    <x v="0"/>
    <n v="11"/>
    <n v="3"/>
    <n v="2"/>
    <n v="2"/>
    <n v="9"/>
    <n v="4"/>
    <n v="3"/>
    <n v="5"/>
    <n v="3"/>
    <n v="1"/>
    <n v="4"/>
    <x v="3"/>
    <n v="0"/>
    <s v="30–39"/>
    <x v="1"/>
    <n v="2"/>
    <s v="Medium"/>
  </r>
  <r>
    <n v="27"/>
    <s v="No"/>
    <s v="Travel_Frequently"/>
    <n v="829"/>
    <x v="0"/>
    <n v="8"/>
    <n v="1"/>
    <s v="Marketing"/>
    <n v="800"/>
    <n v="3"/>
    <x v="1"/>
    <n v="84"/>
    <n v="3"/>
    <n v="2"/>
    <x v="0"/>
    <x v="0"/>
    <s v="Married"/>
    <n v="4342"/>
    <n v="24008"/>
    <n v="0"/>
    <x v="1"/>
    <n v="19"/>
    <n v="3"/>
    <n v="2"/>
    <n v="1"/>
    <n v="5"/>
    <n v="3"/>
    <n v="3"/>
    <n v="4"/>
    <n v="2"/>
    <n v="1"/>
    <n v="1"/>
    <x v="3"/>
    <n v="0"/>
    <s v="50+"/>
    <x v="0"/>
    <n v="0"/>
    <s v="Low"/>
  </r>
  <r>
    <n v="37"/>
    <s v="No"/>
    <s v="Travel_Rarely"/>
    <n v="571"/>
    <x v="1"/>
    <n v="10"/>
    <n v="1"/>
    <s v="Life Sciences"/>
    <n v="802"/>
    <n v="4"/>
    <x v="0"/>
    <n v="82"/>
    <n v="3"/>
    <n v="1"/>
    <x v="1"/>
    <x v="3"/>
    <s v="Divorced"/>
    <n v="2782"/>
    <n v="19905"/>
    <n v="0"/>
    <x v="0"/>
    <n v="13"/>
    <n v="3"/>
    <n v="2"/>
    <n v="2"/>
    <n v="6"/>
    <n v="3"/>
    <n v="2"/>
    <n v="5"/>
    <n v="3"/>
    <n v="4"/>
    <n v="3"/>
    <x v="3"/>
    <n v="0"/>
    <s v="&lt;30"/>
    <x v="1"/>
    <n v="2"/>
    <s v="Medium"/>
  </r>
  <r>
    <n v="38"/>
    <s v="No"/>
    <s v="Travel_Frequently"/>
    <n v="240"/>
    <x v="1"/>
    <n v="2"/>
    <n v="4"/>
    <s v="Life Sciences"/>
    <n v="803"/>
    <n v="1"/>
    <x v="0"/>
    <n v="75"/>
    <n v="4"/>
    <n v="2"/>
    <x v="3"/>
    <x v="3"/>
    <s v="Single"/>
    <n v="5980"/>
    <n v="26085"/>
    <n v="6"/>
    <x v="0"/>
    <n v="12"/>
    <n v="3"/>
    <n v="4"/>
    <n v="0"/>
    <n v="17"/>
    <n v="2"/>
    <n v="3"/>
    <n v="15"/>
    <n v="7"/>
    <n v="4"/>
    <n v="12"/>
    <x v="0"/>
    <n v="0"/>
    <s v="30–39"/>
    <x v="1"/>
    <n v="2"/>
    <s v="Medium"/>
  </r>
  <r>
    <n v="34"/>
    <s v="No"/>
    <s v="Travel_Rarely"/>
    <n v="121"/>
    <x v="1"/>
    <n v="2"/>
    <n v="4"/>
    <s v="Medical"/>
    <n v="804"/>
    <n v="3"/>
    <x v="0"/>
    <n v="86"/>
    <n v="2"/>
    <n v="1"/>
    <x v="1"/>
    <x v="3"/>
    <s v="Single"/>
    <n v="4381"/>
    <n v="7530"/>
    <n v="1"/>
    <x v="1"/>
    <n v="11"/>
    <n v="3"/>
    <n v="3"/>
    <n v="0"/>
    <n v="6"/>
    <n v="3"/>
    <n v="3"/>
    <n v="6"/>
    <n v="5"/>
    <n v="1"/>
    <n v="3"/>
    <x v="0"/>
    <n v="0"/>
    <s v="30–39"/>
    <x v="1"/>
    <n v="1"/>
    <s v="Low"/>
  </r>
  <r>
    <n v="35"/>
    <s v="No"/>
    <s v="Travel_Rarely"/>
    <n v="384"/>
    <x v="0"/>
    <n v="8"/>
    <n v="4"/>
    <s v="Life Sciences"/>
    <n v="805"/>
    <n v="1"/>
    <x v="0"/>
    <n v="72"/>
    <n v="3"/>
    <n v="1"/>
    <x v="6"/>
    <x v="0"/>
    <s v="Married"/>
    <n v="2572"/>
    <n v="20317"/>
    <n v="1"/>
    <x v="1"/>
    <n v="16"/>
    <n v="3"/>
    <n v="2"/>
    <n v="1"/>
    <n v="3"/>
    <n v="1"/>
    <n v="2"/>
    <n v="3"/>
    <n v="2"/>
    <n v="0"/>
    <n v="2"/>
    <x v="2"/>
    <n v="0"/>
    <s v="30–39"/>
    <x v="0"/>
    <n v="1"/>
    <s v="Low"/>
  </r>
  <r>
    <n v="30"/>
    <s v="No"/>
    <s v="Travel_Rarely"/>
    <n v="921"/>
    <x v="1"/>
    <n v="1"/>
    <n v="3"/>
    <s v="Life Sciences"/>
    <n v="806"/>
    <n v="4"/>
    <x v="1"/>
    <n v="38"/>
    <n v="1"/>
    <n v="1"/>
    <x v="2"/>
    <x v="2"/>
    <s v="Married"/>
    <n v="3833"/>
    <n v="24375"/>
    <n v="3"/>
    <x v="1"/>
    <n v="21"/>
    <n v="4"/>
    <n v="3"/>
    <n v="2"/>
    <n v="7"/>
    <n v="2"/>
    <n v="3"/>
    <n v="2"/>
    <n v="2"/>
    <n v="0"/>
    <n v="2"/>
    <x v="2"/>
    <n v="0"/>
    <s v="30–39"/>
    <x v="2"/>
    <n v="1"/>
    <s v="Low"/>
  </r>
  <r>
    <n v="40"/>
    <s v="No"/>
    <s v="Travel_Frequently"/>
    <n v="791"/>
    <x v="1"/>
    <n v="2"/>
    <n v="2"/>
    <s v="Medical"/>
    <n v="807"/>
    <n v="3"/>
    <x v="0"/>
    <n v="38"/>
    <n v="4"/>
    <n v="2"/>
    <x v="4"/>
    <x v="1"/>
    <s v="Married"/>
    <n v="4244"/>
    <n v="9931"/>
    <n v="1"/>
    <x v="1"/>
    <n v="24"/>
    <n v="4"/>
    <n v="4"/>
    <n v="1"/>
    <n v="8"/>
    <n v="2"/>
    <n v="3"/>
    <n v="8"/>
    <n v="7"/>
    <n v="3"/>
    <n v="7"/>
    <x v="0"/>
    <n v="0"/>
    <s v="30–39"/>
    <x v="1"/>
    <n v="1"/>
    <s v="Low"/>
  </r>
  <r>
    <n v="34"/>
    <s v="No"/>
    <s v="Travel_Rarely"/>
    <n v="1111"/>
    <x v="0"/>
    <n v="8"/>
    <n v="2"/>
    <s v="Life Sciences"/>
    <n v="808"/>
    <n v="3"/>
    <x v="0"/>
    <n v="93"/>
    <n v="3"/>
    <n v="2"/>
    <x v="0"/>
    <x v="3"/>
    <s v="Married"/>
    <n v="6500"/>
    <n v="13305"/>
    <n v="5"/>
    <x v="1"/>
    <n v="17"/>
    <n v="3"/>
    <n v="2"/>
    <n v="1"/>
    <n v="6"/>
    <n v="1"/>
    <n v="3"/>
    <n v="3"/>
    <n v="2"/>
    <n v="1"/>
    <n v="2"/>
    <x v="2"/>
    <n v="0"/>
    <s v="40–49"/>
    <x v="1"/>
    <n v="2"/>
    <s v="Medium"/>
  </r>
  <r>
    <n v="42"/>
    <s v="No"/>
    <s v="Travel_Frequently"/>
    <n v="570"/>
    <x v="1"/>
    <n v="8"/>
    <n v="3"/>
    <s v="Life Sciences"/>
    <n v="809"/>
    <n v="2"/>
    <x v="1"/>
    <n v="66"/>
    <n v="3"/>
    <n v="5"/>
    <x v="5"/>
    <x v="0"/>
    <s v="Divorced"/>
    <n v="18430"/>
    <n v="16225"/>
    <n v="1"/>
    <x v="1"/>
    <n v="13"/>
    <n v="3"/>
    <n v="2"/>
    <n v="1"/>
    <n v="24"/>
    <n v="4"/>
    <n v="2"/>
    <n v="24"/>
    <n v="7"/>
    <n v="14"/>
    <n v="9"/>
    <x v="0"/>
    <n v="0"/>
    <s v="30–39"/>
    <x v="0"/>
    <n v="0"/>
    <s v="Low"/>
  </r>
  <r>
    <n v="23"/>
    <s v="Yes"/>
    <s v="Travel_Rarely"/>
    <n v="1243"/>
    <x v="1"/>
    <n v="6"/>
    <n v="3"/>
    <s v="Life Sciences"/>
    <n v="811"/>
    <n v="3"/>
    <x v="1"/>
    <n v="63"/>
    <n v="4"/>
    <n v="1"/>
    <x v="2"/>
    <x v="3"/>
    <s v="Married"/>
    <n v="1601"/>
    <n v="3445"/>
    <n v="1"/>
    <x v="0"/>
    <n v="21"/>
    <n v="4"/>
    <n v="3"/>
    <n v="2"/>
    <n v="1"/>
    <n v="2"/>
    <n v="3"/>
    <n v="0"/>
    <n v="0"/>
    <n v="0"/>
    <n v="0"/>
    <x v="1"/>
    <n v="1"/>
    <s v="40–49"/>
    <x v="1"/>
    <n v="3"/>
    <s v="High"/>
  </r>
  <r>
    <n v="24"/>
    <s v="No"/>
    <s v="Non-Travel"/>
    <n v="1092"/>
    <x v="1"/>
    <n v="9"/>
    <n v="3"/>
    <s v="Life Sciences"/>
    <n v="812"/>
    <n v="3"/>
    <x v="1"/>
    <n v="60"/>
    <n v="2"/>
    <n v="1"/>
    <x v="2"/>
    <x v="1"/>
    <s v="Divorced"/>
    <n v="2694"/>
    <n v="26551"/>
    <n v="1"/>
    <x v="1"/>
    <n v="11"/>
    <n v="3"/>
    <n v="3"/>
    <n v="3"/>
    <n v="1"/>
    <n v="4"/>
    <n v="3"/>
    <n v="1"/>
    <n v="0"/>
    <n v="0"/>
    <n v="0"/>
    <x v="2"/>
    <n v="0"/>
    <s v="&lt;30"/>
    <x v="1"/>
    <n v="2"/>
    <s v="Medium"/>
  </r>
  <r>
    <n v="52"/>
    <s v="No"/>
    <s v="Travel_Rarely"/>
    <n v="1325"/>
    <x v="1"/>
    <n v="11"/>
    <n v="4"/>
    <s v="Life Sciences"/>
    <n v="813"/>
    <n v="4"/>
    <x v="0"/>
    <n v="82"/>
    <n v="3"/>
    <n v="2"/>
    <x v="2"/>
    <x v="2"/>
    <s v="Married"/>
    <n v="3149"/>
    <n v="21821"/>
    <n v="8"/>
    <x v="1"/>
    <n v="20"/>
    <n v="4"/>
    <n v="2"/>
    <n v="1"/>
    <n v="9"/>
    <n v="3"/>
    <n v="3"/>
    <n v="5"/>
    <n v="2"/>
    <n v="1"/>
    <n v="4"/>
    <x v="3"/>
    <n v="0"/>
    <s v="&lt;30"/>
    <x v="2"/>
    <n v="0"/>
    <s v="Low"/>
  </r>
  <r>
    <n v="50"/>
    <s v="No"/>
    <s v="Travel_Rarely"/>
    <n v="691"/>
    <x v="1"/>
    <n v="2"/>
    <n v="3"/>
    <s v="Medical"/>
    <n v="815"/>
    <n v="3"/>
    <x v="1"/>
    <n v="64"/>
    <n v="3"/>
    <n v="4"/>
    <x v="7"/>
    <x v="2"/>
    <s v="Married"/>
    <n v="17639"/>
    <n v="6881"/>
    <n v="5"/>
    <x v="1"/>
    <n v="16"/>
    <n v="3"/>
    <n v="4"/>
    <n v="0"/>
    <n v="30"/>
    <n v="3"/>
    <n v="3"/>
    <n v="4"/>
    <n v="3"/>
    <n v="0"/>
    <n v="3"/>
    <x v="3"/>
    <n v="0"/>
    <s v="50+"/>
    <x v="2"/>
    <n v="0"/>
    <s v="Low"/>
  </r>
  <r>
    <n v="29"/>
    <s v="Yes"/>
    <s v="Travel_Rarely"/>
    <n v="805"/>
    <x v="1"/>
    <n v="1"/>
    <n v="2"/>
    <s v="Life Sciences"/>
    <n v="816"/>
    <n v="2"/>
    <x v="0"/>
    <n v="36"/>
    <n v="2"/>
    <n v="1"/>
    <x v="2"/>
    <x v="3"/>
    <s v="Married"/>
    <n v="2319"/>
    <n v="6689"/>
    <n v="1"/>
    <x v="0"/>
    <n v="11"/>
    <n v="3"/>
    <n v="4"/>
    <n v="1"/>
    <n v="1"/>
    <n v="1"/>
    <n v="3"/>
    <n v="1"/>
    <n v="0"/>
    <n v="0"/>
    <n v="0"/>
    <x v="2"/>
    <n v="1"/>
    <s v="50+"/>
    <x v="1"/>
    <n v="3"/>
    <s v="High"/>
  </r>
  <r>
    <n v="33"/>
    <s v="No"/>
    <s v="Travel_Rarely"/>
    <n v="213"/>
    <x v="1"/>
    <n v="7"/>
    <n v="3"/>
    <s v="Medical"/>
    <n v="817"/>
    <n v="3"/>
    <x v="1"/>
    <n v="49"/>
    <n v="3"/>
    <n v="3"/>
    <x v="7"/>
    <x v="2"/>
    <s v="Married"/>
    <n v="11691"/>
    <n v="25995"/>
    <n v="0"/>
    <x v="1"/>
    <n v="11"/>
    <n v="3"/>
    <n v="4"/>
    <n v="0"/>
    <n v="14"/>
    <n v="3"/>
    <n v="4"/>
    <n v="13"/>
    <n v="9"/>
    <n v="3"/>
    <n v="7"/>
    <x v="0"/>
    <n v="0"/>
    <s v="&lt;30"/>
    <x v="2"/>
    <n v="0"/>
    <s v="Low"/>
  </r>
  <r>
    <n v="33"/>
    <s v="Yes"/>
    <s v="Travel_Rarely"/>
    <n v="118"/>
    <x v="0"/>
    <n v="16"/>
    <n v="3"/>
    <s v="Marketing"/>
    <n v="819"/>
    <n v="1"/>
    <x v="0"/>
    <n v="69"/>
    <n v="3"/>
    <n v="2"/>
    <x v="0"/>
    <x v="3"/>
    <s v="Single"/>
    <n v="5324"/>
    <n v="26507"/>
    <n v="5"/>
    <x v="1"/>
    <n v="15"/>
    <n v="3"/>
    <n v="3"/>
    <n v="0"/>
    <n v="6"/>
    <n v="3"/>
    <n v="3"/>
    <n v="3"/>
    <n v="2"/>
    <n v="0"/>
    <n v="2"/>
    <x v="2"/>
    <n v="1"/>
    <s v="30–39"/>
    <x v="1"/>
    <n v="2"/>
    <s v="Medium"/>
  </r>
  <r>
    <n v="47"/>
    <s v="No"/>
    <s v="Travel_Rarely"/>
    <n v="202"/>
    <x v="1"/>
    <n v="2"/>
    <n v="2"/>
    <s v="Other"/>
    <n v="820"/>
    <n v="3"/>
    <x v="0"/>
    <n v="33"/>
    <n v="3"/>
    <n v="4"/>
    <x v="5"/>
    <x v="0"/>
    <s v="Married"/>
    <n v="16752"/>
    <n v="12982"/>
    <n v="1"/>
    <x v="0"/>
    <n v="11"/>
    <n v="3"/>
    <n v="3"/>
    <n v="1"/>
    <n v="26"/>
    <n v="3"/>
    <n v="2"/>
    <n v="26"/>
    <n v="14"/>
    <n v="3"/>
    <n v="0"/>
    <x v="0"/>
    <n v="0"/>
    <s v="30–39"/>
    <x v="0"/>
    <n v="1"/>
    <s v="Low"/>
  </r>
  <r>
    <n v="36"/>
    <s v="No"/>
    <s v="Travel_Rarely"/>
    <n v="676"/>
    <x v="1"/>
    <n v="1"/>
    <n v="3"/>
    <s v="Other"/>
    <n v="823"/>
    <n v="3"/>
    <x v="0"/>
    <n v="35"/>
    <n v="3"/>
    <n v="2"/>
    <x v="3"/>
    <x v="1"/>
    <s v="Married"/>
    <n v="5228"/>
    <n v="23361"/>
    <n v="0"/>
    <x v="1"/>
    <n v="15"/>
    <n v="3"/>
    <n v="1"/>
    <n v="1"/>
    <n v="10"/>
    <n v="2"/>
    <n v="3"/>
    <n v="9"/>
    <n v="7"/>
    <n v="0"/>
    <n v="5"/>
    <x v="0"/>
    <n v="0"/>
    <s v="40–49"/>
    <x v="1"/>
    <n v="1"/>
    <s v="Low"/>
  </r>
  <r>
    <n v="29"/>
    <s v="No"/>
    <s v="Travel_Rarely"/>
    <n v="1252"/>
    <x v="1"/>
    <n v="23"/>
    <n v="2"/>
    <s v="Life Sciences"/>
    <n v="824"/>
    <n v="3"/>
    <x v="1"/>
    <n v="81"/>
    <n v="4"/>
    <n v="1"/>
    <x v="1"/>
    <x v="2"/>
    <s v="Married"/>
    <n v="2700"/>
    <n v="23779"/>
    <n v="1"/>
    <x v="1"/>
    <n v="24"/>
    <n v="4"/>
    <n v="3"/>
    <n v="1"/>
    <n v="10"/>
    <n v="3"/>
    <n v="3"/>
    <n v="10"/>
    <n v="7"/>
    <n v="0"/>
    <n v="7"/>
    <x v="0"/>
    <n v="0"/>
    <s v="30–39"/>
    <x v="2"/>
    <n v="0"/>
    <s v="Low"/>
  </r>
  <r>
    <n v="58"/>
    <s v="Yes"/>
    <s v="Travel_Rarely"/>
    <n v="286"/>
    <x v="1"/>
    <n v="2"/>
    <n v="4"/>
    <s v="Life Sciences"/>
    <n v="825"/>
    <n v="4"/>
    <x v="1"/>
    <n v="31"/>
    <n v="3"/>
    <n v="5"/>
    <x v="7"/>
    <x v="1"/>
    <s v="Single"/>
    <n v="19246"/>
    <n v="25761"/>
    <n v="7"/>
    <x v="0"/>
    <n v="12"/>
    <n v="3"/>
    <n v="4"/>
    <n v="0"/>
    <n v="40"/>
    <n v="2"/>
    <n v="3"/>
    <n v="31"/>
    <n v="15"/>
    <n v="13"/>
    <n v="8"/>
    <x v="0"/>
    <n v="1"/>
    <s v="&lt;30"/>
    <x v="1"/>
    <n v="2"/>
    <s v="Medium"/>
  </r>
  <r>
    <n v="35"/>
    <s v="No"/>
    <s v="Travel_Rarely"/>
    <n v="1258"/>
    <x v="1"/>
    <n v="1"/>
    <n v="4"/>
    <s v="Life Sciences"/>
    <n v="826"/>
    <n v="4"/>
    <x v="0"/>
    <n v="40"/>
    <n v="4"/>
    <n v="1"/>
    <x v="1"/>
    <x v="2"/>
    <s v="Single"/>
    <n v="2506"/>
    <n v="13301"/>
    <n v="3"/>
    <x v="1"/>
    <n v="13"/>
    <n v="3"/>
    <n v="3"/>
    <n v="0"/>
    <n v="7"/>
    <n v="0"/>
    <n v="3"/>
    <n v="2"/>
    <n v="2"/>
    <n v="2"/>
    <n v="2"/>
    <x v="2"/>
    <n v="0"/>
    <s v="50+"/>
    <x v="2"/>
    <n v="1"/>
    <s v="Low"/>
  </r>
  <r>
    <n v="42"/>
    <s v="No"/>
    <s v="Travel_Rarely"/>
    <n v="932"/>
    <x v="1"/>
    <n v="1"/>
    <n v="2"/>
    <s v="Life Sciences"/>
    <n v="827"/>
    <n v="4"/>
    <x v="0"/>
    <n v="43"/>
    <n v="2"/>
    <n v="2"/>
    <x v="3"/>
    <x v="0"/>
    <s v="Married"/>
    <n v="6062"/>
    <n v="4051"/>
    <n v="9"/>
    <x v="0"/>
    <n v="13"/>
    <n v="3"/>
    <n v="4"/>
    <n v="1"/>
    <n v="8"/>
    <n v="4"/>
    <n v="3"/>
    <n v="4"/>
    <n v="3"/>
    <n v="0"/>
    <n v="2"/>
    <x v="3"/>
    <n v="0"/>
    <s v="30–39"/>
    <x v="0"/>
    <n v="1"/>
    <s v="Low"/>
  </r>
  <r>
    <n v="28"/>
    <s v="Yes"/>
    <s v="Travel_Rarely"/>
    <n v="890"/>
    <x v="1"/>
    <n v="2"/>
    <n v="4"/>
    <s v="Medical"/>
    <n v="828"/>
    <n v="3"/>
    <x v="1"/>
    <n v="46"/>
    <n v="3"/>
    <n v="1"/>
    <x v="1"/>
    <x v="2"/>
    <s v="Single"/>
    <n v="4382"/>
    <n v="16374"/>
    <n v="6"/>
    <x v="1"/>
    <n v="17"/>
    <n v="3"/>
    <n v="4"/>
    <n v="0"/>
    <n v="5"/>
    <n v="3"/>
    <n v="2"/>
    <n v="2"/>
    <n v="2"/>
    <n v="2"/>
    <n v="1"/>
    <x v="2"/>
    <n v="1"/>
    <s v="40–49"/>
    <x v="2"/>
    <n v="1"/>
    <s v="Low"/>
  </r>
  <r>
    <n v="36"/>
    <s v="No"/>
    <s v="Travel_Rarely"/>
    <n v="1041"/>
    <x v="2"/>
    <n v="13"/>
    <n v="3"/>
    <s v="Human Resources"/>
    <n v="829"/>
    <n v="3"/>
    <x v="1"/>
    <n v="36"/>
    <n v="3"/>
    <n v="1"/>
    <x v="8"/>
    <x v="1"/>
    <s v="Married"/>
    <n v="2143"/>
    <n v="25527"/>
    <n v="4"/>
    <x v="1"/>
    <n v="13"/>
    <n v="3"/>
    <n v="2"/>
    <n v="1"/>
    <n v="8"/>
    <n v="2"/>
    <n v="3"/>
    <n v="5"/>
    <n v="2"/>
    <n v="0"/>
    <n v="4"/>
    <x v="3"/>
    <n v="0"/>
    <s v="&lt;30"/>
    <x v="1"/>
    <n v="1"/>
    <s v="Low"/>
  </r>
  <r>
    <n v="32"/>
    <s v="No"/>
    <s v="Travel_Rarely"/>
    <n v="859"/>
    <x v="1"/>
    <n v="4"/>
    <n v="3"/>
    <s v="Life Sciences"/>
    <n v="830"/>
    <n v="3"/>
    <x v="0"/>
    <n v="98"/>
    <n v="2"/>
    <n v="2"/>
    <x v="3"/>
    <x v="2"/>
    <s v="Married"/>
    <n v="6162"/>
    <n v="19124"/>
    <n v="1"/>
    <x v="1"/>
    <n v="12"/>
    <n v="3"/>
    <n v="3"/>
    <n v="1"/>
    <n v="14"/>
    <n v="3"/>
    <n v="3"/>
    <n v="14"/>
    <n v="13"/>
    <n v="6"/>
    <n v="8"/>
    <x v="0"/>
    <n v="0"/>
    <s v="30–39"/>
    <x v="2"/>
    <n v="0"/>
    <s v="Low"/>
  </r>
  <r>
    <n v="40"/>
    <s v="No"/>
    <s v="Travel_Frequently"/>
    <n v="720"/>
    <x v="1"/>
    <n v="16"/>
    <n v="4"/>
    <s v="Medical"/>
    <n v="832"/>
    <n v="1"/>
    <x v="1"/>
    <n v="51"/>
    <n v="2"/>
    <n v="2"/>
    <x v="2"/>
    <x v="2"/>
    <s v="Single"/>
    <n v="5094"/>
    <n v="11983"/>
    <n v="6"/>
    <x v="1"/>
    <n v="14"/>
    <n v="3"/>
    <n v="4"/>
    <n v="0"/>
    <n v="10"/>
    <n v="6"/>
    <n v="3"/>
    <n v="1"/>
    <n v="0"/>
    <n v="0"/>
    <n v="0"/>
    <x v="2"/>
    <n v="0"/>
    <s v="30–39"/>
    <x v="2"/>
    <n v="1"/>
    <s v="Low"/>
  </r>
  <r>
    <n v="30"/>
    <s v="No"/>
    <s v="Travel_Rarely"/>
    <n v="946"/>
    <x v="1"/>
    <n v="2"/>
    <n v="3"/>
    <s v="Medical"/>
    <n v="833"/>
    <n v="3"/>
    <x v="0"/>
    <n v="52"/>
    <n v="2"/>
    <n v="2"/>
    <x v="3"/>
    <x v="0"/>
    <s v="Single"/>
    <n v="6877"/>
    <n v="20234"/>
    <n v="5"/>
    <x v="0"/>
    <n v="24"/>
    <n v="4"/>
    <n v="2"/>
    <n v="0"/>
    <n v="12"/>
    <n v="4"/>
    <n v="2"/>
    <n v="0"/>
    <n v="0"/>
    <n v="0"/>
    <n v="0"/>
    <x v="1"/>
    <n v="0"/>
    <s v="40–49"/>
    <x v="0"/>
    <n v="2"/>
    <s v="Medium"/>
  </r>
  <r>
    <n v="45"/>
    <s v="No"/>
    <s v="Travel_Rarely"/>
    <n v="252"/>
    <x v="1"/>
    <n v="2"/>
    <n v="3"/>
    <s v="Life Sciences"/>
    <n v="834"/>
    <n v="2"/>
    <x v="0"/>
    <n v="95"/>
    <n v="2"/>
    <n v="1"/>
    <x v="1"/>
    <x v="2"/>
    <s v="Single"/>
    <n v="2274"/>
    <n v="6153"/>
    <n v="1"/>
    <x v="1"/>
    <n v="14"/>
    <n v="3"/>
    <n v="4"/>
    <n v="0"/>
    <n v="1"/>
    <n v="3"/>
    <n v="3"/>
    <n v="1"/>
    <n v="0"/>
    <n v="0"/>
    <n v="0"/>
    <x v="2"/>
    <n v="0"/>
    <s v="30–39"/>
    <x v="2"/>
    <n v="1"/>
    <s v="Low"/>
  </r>
  <r>
    <n v="42"/>
    <s v="No"/>
    <s v="Travel_Rarely"/>
    <n v="933"/>
    <x v="1"/>
    <n v="29"/>
    <n v="3"/>
    <s v="Life Sciences"/>
    <n v="836"/>
    <n v="2"/>
    <x v="1"/>
    <n v="98"/>
    <n v="3"/>
    <n v="2"/>
    <x v="3"/>
    <x v="1"/>
    <s v="Married"/>
    <n v="4434"/>
    <n v="11806"/>
    <n v="1"/>
    <x v="1"/>
    <n v="13"/>
    <n v="3"/>
    <n v="4"/>
    <n v="1"/>
    <n v="10"/>
    <n v="3"/>
    <n v="2"/>
    <n v="9"/>
    <n v="8"/>
    <n v="7"/>
    <n v="8"/>
    <x v="0"/>
    <n v="0"/>
    <s v="40–49"/>
    <x v="1"/>
    <n v="1"/>
    <s v="Low"/>
  </r>
  <r>
    <n v="38"/>
    <s v="No"/>
    <s v="Travel_Frequently"/>
    <n v="471"/>
    <x v="1"/>
    <n v="12"/>
    <n v="3"/>
    <s v="Life Sciences"/>
    <n v="837"/>
    <n v="1"/>
    <x v="1"/>
    <n v="45"/>
    <n v="2"/>
    <n v="2"/>
    <x v="4"/>
    <x v="3"/>
    <s v="Divorced"/>
    <n v="6288"/>
    <n v="4284"/>
    <n v="2"/>
    <x v="1"/>
    <n v="15"/>
    <n v="3"/>
    <n v="3"/>
    <n v="1"/>
    <n v="13"/>
    <n v="3"/>
    <n v="2"/>
    <n v="4"/>
    <n v="3"/>
    <n v="1"/>
    <n v="2"/>
    <x v="3"/>
    <n v="0"/>
    <s v="40–49"/>
    <x v="1"/>
    <n v="1"/>
    <s v="Low"/>
  </r>
  <r>
    <n v="34"/>
    <s v="No"/>
    <s v="Travel_Frequently"/>
    <n v="702"/>
    <x v="1"/>
    <n v="16"/>
    <n v="4"/>
    <s v="Life Sciences"/>
    <n v="838"/>
    <n v="3"/>
    <x v="0"/>
    <n v="100"/>
    <n v="2"/>
    <n v="1"/>
    <x v="1"/>
    <x v="0"/>
    <s v="Single"/>
    <n v="2553"/>
    <n v="8306"/>
    <n v="1"/>
    <x v="1"/>
    <n v="16"/>
    <n v="3"/>
    <n v="3"/>
    <n v="0"/>
    <n v="6"/>
    <n v="3"/>
    <n v="3"/>
    <n v="5"/>
    <n v="2"/>
    <n v="1"/>
    <n v="3"/>
    <x v="3"/>
    <n v="0"/>
    <s v="30–39"/>
    <x v="0"/>
    <n v="0"/>
    <s v="Low"/>
  </r>
  <r>
    <n v="49"/>
    <s v="Yes"/>
    <s v="Travel_Rarely"/>
    <n v="1184"/>
    <x v="0"/>
    <n v="11"/>
    <n v="3"/>
    <s v="Marketing"/>
    <n v="840"/>
    <n v="3"/>
    <x v="0"/>
    <n v="43"/>
    <n v="3"/>
    <n v="3"/>
    <x v="0"/>
    <x v="0"/>
    <s v="Married"/>
    <n v="7654"/>
    <n v="5860"/>
    <n v="1"/>
    <x v="1"/>
    <n v="18"/>
    <n v="3"/>
    <n v="1"/>
    <n v="2"/>
    <n v="9"/>
    <n v="3"/>
    <n v="4"/>
    <n v="9"/>
    <n v="8"/>
    <n v="7"/>
    <n v="7"/>
    <x v="0"/>
    <n v="1"/>
    <s v="30–39"/>
    <x v="0"/>
    <n v="0"/>
    <s v="Low"/>
  </r>
  <r>
    <n v="55"/>
    <s v="Yes"/>
    <s v="Travel_Rarely"/>
    <n v="436"/>
    <x v="0"/>
    <n v="2"/>
    <n v="1"/>
    <s v="Medical"/>
    <n v="842"/>
    <n v="3"/>
    <x v="1"/>
    <n v="37"/>
    <n v="3"/>
    <n v="2"/>
    <x v="0"/>
    <x v="0"/>
    <s v="Single"/>
    <n v="5160"/>
    <n v="21519"/>
    <n v="4"/>
    <x v="1"/>
    <n v="16"/>
    <n v="3"/>
    <n v="3"/>
    <n v="0"/>
    <n v="12"/>
    <n v="3"/>
    <n v="2"/>
    <n v="9"/>
    <n v="7"/>
    <n v="7"/>
    <n v="3"/>
    <x v="0"/>
    <n v="1"/>
    <s v="40–49"/>
    <x v="0"/>
    <n v="0"/>
    <s v="Low"/>
  </r>
  <r>
    <n v="43"/>
    <s v="No"/>
    <s v="Travel_Rarely"/>
    <n v="589"/>
    <x v="1"/>
    <n v="14"/>
    <n v="2"/>
    <s v="Life Sciences"/>
    <n v="843"/>
    <n v="2"/>
    <x v="1"/>
    <n v="94"/>
    <n v="3"/>
    <n v="4"/>
    <x v="7"/>
    <x v="3"/>
    <s v="Married"/>
    <n v="17159"/>
    <n v="5200"/>
    <n v="6"/>
    <x v="1"/>
    <n v="24"/>
    <n v="4"/>
    <n v="3"/>
    <n v="1"/>
    <n v="22"/>
    <n v="3"/>
    <n v="3"/>
    <n v="4"/>
    <n v="1"/>
    <n v="1"/>
    <n v="0"/>
    <x v="3"/>
    <n v="0"/>
    <s v="50+"/>
    <x v="1"/>
    <n v="1"/>
    <s v="Low"/>
  </r>
  <r>
    <n v="27"/>
    <s v="No"/>
    <s v="Travel_Rarely"/>
    <n v="269"/>
    <x v="1"/>
    <n v="5"/>
    <n v="1"/>
    <s v="Technical Degree"/>
    <n v="844"/>
    <n v="3"/>
    <x v="1"/>
    <n v="42"/>
    <n v="2"/>
    <n v="3"/>
    <x v="7"/>
    <x v="0"/>
    <s v="Divorced"/>
    <n v="12808"/>
    <n v="8842"/>
    <n v="1"/>
    <x v="0"/>
    <n v="16"/>
    <n v="3"/>
    <n v="2"/>
    <n v="1"/>
    <n v="9"/>
    <n v="3"/>
    <n v="3"/>
    <n v="9"/>
    <n v="8"/>
    <n v="0"/>
    <n v="8"/>
    <x v="0"/>
    <n v="0"/>
    <s v="40–49"/>
    <x v="0"/>
    <n v="1"/>
    <s v="Low"/>
  </r>
  <r>
    <n v="35"/>
    <s v="No"/>
    <s v="Travel_Rarely"/>
    <n v="950"/>
    <x v="1"/>
    <n v="7"/>
    <n v="3"/>
    <s v="Other"/>
    <n v="845"/>
    <n v="3"/>
    <x v="1"/>
    <n v="59"/>
    <n v="3"/>
    <n v="3"/>
    <x v="3"/>
    <x v="2"/>
    <s v="Single"/>
    <n v="10221"/>
    <n v="18869"/>
    <n v="3"/>
    <x v="1"/>
    <n v="21"/>
    <n v="4"/>
    <n v="2"/>
    <n v="0"/>
    <n v="17"/>
    <n v="3"/>
    <n v="4"/>
    <n v="8"/>
    <n v="5"/>
    <n v="1"/>
    <n v="6"/>
    <x v="0"/>
    <n v="0"/>
    <s v="&lt;30"/>
    <x v="2"/>
    <n v="0"/>
    <s v="Low"/>
  </r>
  <r>
    <n v="28"/>
    <s v="No"/>
    <s v="Travel_Rarely"/>
    <n v="760"/>
    <x v="0"/>
    <n v="2"/>
    <n v="4"/>
    <s v="Marketing"/>
    <n v="846"/>
    <n v="2"/>
    <x v="0"/>
    <n v="81"/>
    <n v="3"/>
    <n v="2"/>
    <x v="0"/>
    <x v="1"/>
    <s v="Married"/>
    <n v="4779"/>
    <n v="3698"/>
    <n v="1"/>
    <x v="0"/>
    <n v="20"/>
    <n v="4"/>
    <n v="1"/>
    <n v="0"/>
    <n v="8"/>
    <n v="2"/>
    <n v="3"/>
    <n v="8"/>
    <n v="7"/>
    <n v="7"/>
    <n v="5"/>
    <x v="0"/>
    <n v="0"/>
    <s v="30–39"/>
    <x v="1"/>
    <n v="2"/>
    <s v="Medium"/>
  </r>
  <r>
    <n v="34"/>
    <s v="No"/>
    <s v="Travel_Rarely"/>
    <n v="829"/>
    <x v="2"/>
    <n v="3"/>
    <n v="2"/>
    <s v="Human Resources"/>
    <n v="847"/>
    <n v="3"/>
    <x v="1"/>
    <n v="88"/>
    <n v="3"/>
    <n v="1"/>
    <x v="8"/>
    <x v="0"/>
    <s v="Married"/>
    <n v="3737"/>
    <n v="2243"/>
    <n v="0"/>
    <x v="1"/>
    <n v="19"/>
    <n v="3"/>
    <n v="3"/>
    <n v="1"/>
    <n v="4"/>
    <n v="1"/>
    <n v="1"/>
    <n v="3"/>
    <n v="2"/>
    <n v="0"/>
    <n v="2"/>
    <x v="2"/>
    <n v="0"/>
    <s v="&lt;30"/>
    <x v="0"/>
    <n v="1"/>
    <s v="Low"/>
  </r>
  <r>
    <n v="26"/>
    <s v="Yes"/>
    <s v="Travel_Frequently"/>
    <n v="887"/>
    <x v="1"/>
    <n v="5"/>
    <n v="2"/>
    <s v="Medical"/>
    <n v="848"/>
    <n v="3"/>
    <x v="0"/>
    <n v="88"/>
    <n v="2"/>
    <n v="1"/>
    <x v="1"/>
    <x v="2"/>
    <s v="Married"/>
    <n v="2366"/>
    <n v="20898"/>
    <n v="1"/>
    <x v="0"/>
    <n v="14"/>
    <n v="3"/>
    <n v="1"/>
    <n v="1"/>
    <n v="8"/>
    <n v="2"/>
    <n v="3"/>
    <n v="8"/>
    <n v="7"/>
    <n v="1"/>
    <n v="7"/>
    <x v="0"/>
    <n v="1"/>
    <s v="30–39"/>
    <x v="2"/>
    <n v="1"/>
    <s v="Low"/>
  </r>
  <r>
    <n v="27"/>
    <s v="No"/>
    <s v="Non-Travel"/>
    <n v="443"/>
    <x v="1"/>
    <n v="3"/>
    <n v="3"/>
    <s v="Medical"/>
    <n v="850"/>
    <n v="4"/>
    <x v="1"/>
    <n v="50"/>
    <n v="3"/>
    <n v="1"/>
    <x v="1"/>
    <x v="0"/>
    <s v="Married"/>
    <n v="1706"/>
    <n v="16571"/>
    <n v="1"/>
    <x v="1"/>
    <n v="11"/>
    <n v="3"/>
    <n v="3"/>
    <n v="3"/>
    <n v="0"/>
    <n v="6"/>
    <n v="2"/>
    <n v="0"/>
    <n v="0"/>
    <n v="0"/>
    <n v="0"/>
    <x v="1"/>
    <n v="0"/>
    <s v="&lt;30"/>
    <x v="0"/>
    <n v="1"/>
    <s v="Low"/>
  </r>
  <r>
    <n v="51"/>
    <s v="No"/>
    <s v="Travel_Rarely"/>
    <n v="1318"/>
    <x v="0"/>
    <n v="26"/>
    <n v="4"/>
    <s v="Marketing"/>
    <n v="851"/>
    <n v="1"/>
    <x v="0"/>
    <n v="66"/>
    <n v="3"/>
    <n v="4"/>
    <x v="5"/>
    <x v="2"/>
    <s v="Married"/>
    <n v="16307"/>
    <n v="5594"/>
    <n v="2"/>
    <x v="1"/>
    <n v="14"/>
    <n v="3"/>
    <n v="3"/>
    <n v="1"/>
    <n v="29"/>
    <n v="2"/>
    <n v="2"/>
    <n v="20"/>
    <n v="6"/>
    <n v="4"/>
    <n v="17"/>
    <x v="0"/>
    <n v="0"/>
    <s v="&lt;30"/>
    <x v="2"/>
    <n v="0"/>
    <s v="Low"/>
  </r>
  <r>
    <n v="44"/>
    <s v="No"/>
    <s v="Travel_Rarely"/>
    <n v="625"/>
    <x v="1"/>
    <n v="4"/>
    <n v="3"/>
    <s v="Medical"/>
    <n v="852"/>
    <n v="4"/>
    <x v="1"/>
    <n v="50"/>
    <n v="3"/>
    <n v="2"/>
    <x v="4"/>
    <x v="1"/>
    <s v="Single"/>
    <n v="5933"/>
    <n v="5197"/>
    <n v="9"/>
    <x v="1"/>
    <n v="12"/>
    <n v="3"/>
    <n v="4"/>
    <n v="0"/>
    <n v="10"/>
    <n v="2"/>
    <n v="2"/>
    <n v="5"/>
    <n v="2"/>
    <n v="2"/>
    <n v="3"/>
    <x v="3"/>
    <n v="0"/>
    <s v="50+"/>
    <x v="1"/>
    <n v="1"/>
    <s v="Low"/>
  </r>
  <r>
    <n v="25"/>
    <s v="No"/>
    <s v="Travel_Rarely"/>
    <n v="180"/>
    <x v="1"/>
    <n v="2"/>
    <n v="1"/>
    <s v="Medical"/>
    <n v="854"/>
    <n v="1"/>
    <x v="1"/>
    <n v="65"/>
    <n v="4"/>
    <n v="1"/>
    <x v="1"/>
    <x v="3"/>
    <s v="Single"/>
    <n v="3424"/>
    <n v="21632"/>
    <n v="7"/>
    <x v="1"/>
    <n v="13"/>
    <n v="3"/>
    <n v="3"/>
    <n v="0"/>
    <n v="6"/>
    <n v="3"/>
    <n v="2"/>
    <n v="4"/>
    <n v="3"/>
    <n v="0"/>
    <n v="1"/>
    <x v="3"/>
    <n v="0"/>
    <s v="40–49"/>
    <x v="1"/>
    <n v="1"/>
    <s v="Low"/>
  </r>
  <r>
    <n v="33"/>
    <s v="No"/>
    <s v="Travel_Rarely"/>
    <n v="586"/>
    <x v="0"/>
    <n v="1"/>
    <n v="3"/>
    <s v="Medical"/>
    <n v="855"/>
    <n v="1"/>
    <x v="1"/>
    <n v="48"/>
    <n v="4"/>
    <n v="2"/>
    <x v="0"/>
    <x v="3"/>
    <s v="Divorced"/>
    <n v="4037"/>
    <n v="21816"/>
    <n v="1"/>
    <x v="1"/>
    <n v="22"/>
    <n v="4"/>
    <n v="1"/>
    <n v="1"/>
    <n v="9"/>
    <n v="5"/>
    <n v="3"/>
    <n v="9"/>
    <n v="8"/>
    <n v="0"/>
    <n v="8"/>
    <x v="0"/>
    <n v="0"/>
    <s v="&lt;30"/>
    <x v="1"/>
    <n v="1"/>
    <s v="Low"/>
  </r>
  <r>
    <n v="35"/>
    <s v="No"/>
    <s v="Travel_Rarely"/>
    <n v="1343"/>
    <x v="1"/>
    <n v="27"/>
    <n v="1"/>
    <s v="Medical"/>
    <n v="856"/>
    <n v="3"/>
    <x v="0"/>
    <n v="53"/>
    <n v="2"/>
    <n v="1"/>
    <x v="1"/>
    <x v="3"/>
    <s v="Single"/>
    <n v="2559"/>
    <n v="17852"/>
    <n v="1"/>
    <x v="1"/>
    <n v="11"/>
    <n v="3"/>
    <n v="4"/>
    <n v="0"/>
    <n v="6"/>
    <n v="3"/>
    <n v="2"/>
    <n v="6"/>
    <n v="5"/>
    <n v="1"/>
    <n v="1"/>
    <x v="0"/>
    <n v="0"/>
    <s v="30–39"/>
    <x v="1"/>
    <n v="1"/>
    <s v="Low"/>
  </r>
  <r>
    <n v="36"/>
    <s v="No"/>
    <s v="Travel_Rarely"/>
    <n v="928"/>
    <x v="0"/>
    <n v="1"/>
    <n v="2"/>
    <s v="Life Sciences"/>
    <n v="857"/>
    <n v="2"/>
    <x v="1"/>
    <n v="56"/>
    <n v="3"/>
    <n v="2"/>
    <x v="0"/>
    <x v="0"/>
    <s v="Married"/>
    <n v="6201"/>
    <n v="2823"/>
    <n v="1"/>
    <x v="0"/>
    <n v="14"/>
    <n v="3"/>
    <n v="4"/>
    <n v="1"/>
    <n v="18"/>
    <n v="1"/>
    <n v="2"/>
    <n v="18"/>
    <n v="14"/>
    <n v="4"/>
    <n v="11"/>
    <x v="0"/>
    <n v="0"/>
    <s v="30–39"/>
    <x v="0"/>
    <n v="1"/>
    <s v="Low"/>
  </r>
  <r>
    <n v="32"/>
    <s v="No"/>
    <s v="Travel_Rarely"/>
    <n v="117"/>
    <x v="0"/>
    <n v="13"/>
    <n v="4"/>
    <s v="Life Sciences"/>
    <n v="859"/>
    <n v="2"/>
    <x v="1"/>
    <n v="73"/>
    <n v="3"/>
    <n v="2"/>
    <x v="0"/>
    <x v="0"/>
    <s v="Divorced"/>
    <n v="4403"/>
    <n v="9250"/>
    <n v="2"/>
    <x v="1"/>
    <n v="11"/>
    <n v="3"/>
    <n v="3"/>
    <n v="1"/>
    <n v="8"/>
    <n v="3"/>
    <n v="2"/>
    <n v="5"/>
    <n v="2"/>
    <n v="0"/>
    <n v="3"/>
    <x v="3"/>
    <n v="0"/>
    <s v="30–39"/>
    <x v="0"/>
    <n v="0"/>
    <s v="Low"/>
  </r>
  <r>
    <n v="30"/>
    <s v="No"/>
    <s v="Travel_Frequently"/>
    <n v="1012"/>
    <x v="1"/>
    <n v="5"/>
    <n v="4"/>
    <s v="Life Sciences"/>
    <n v="861"/>
    <n v="2"/>
    <x v="1"/>
    <n v="75"/>
    <n v="2"/>
    <n v="1"/>
    <x v="1"/>
    <x v="0"/>
    <s v="Divorced"/>
    <n v="3761"/>
    <n v="2373"/>
    <n v="9"/>
    <x v="1"/>
    <n v="12"/>
    <n v="3"/>
    <n v="2"/>
    <n v="1"/>
    <n v="10"/>
    <n v="3"/>
    <n v="2"/>
    <n v="5"/>
    <n v="4"/>
    <n v="0"/>
    <n v="3"/>
    <x v="3"/>
    <n v="0"/>
    <s v="30–39"/>
    <x v="0"/>
    <n v="0"/>
    <s v="Low"/>
  </r>
  <r>
    <n v="53"/>
    <s v="No"/>
    <s v="Travel_Rarely"/>
    <n v="661"/>
    <x v="0"/>
    <n v="7"/>
    <n v="2"/>
    <s v="Marketing"/>
    <n v="862"/>
    <n v="1"/>
    <x v="0"/>
    <n v="78"/>
    <n v="2"/>
    <n v="3"/>
    <x v="0"/>
    <x v="0"/>
    <s v="Married"/>
    <n v="10934"/>
    <n v="20715"/>
    <n v="7"/>
    <x v="0"/>
    <n v="18"/>
    <n v="3"/>
    <n v="4"/>
    <n v="1"/>
    <n v="35"/>
    <n v="3"/>
    <n v="3"/>
    <n v="5"/>
    <n v="2"/>
    <n v="0"/>
    <n v="4"/>
    <x v="3"/>
    <n v="0"/>
    <s v="30–39"/>
    <x v="0"/>
    <n v="1"/>
    <s v="Low"/>
  </r>
  <r>
    <n v="45"/>
    <s v="No"/>
    <s v="Travel_Rarely"/>
    <n v="930"/>
    <x v="0"/>
    <n v="9"/>
    <n v="3"/>
    <s v="Marketing"/>
    <n v="864"/>
    <n v="4"/>
    <x v="1"/>
    <n v="74"/>
    <n v="3"/>
    <n v="3"/>
    <x v="0"/>
    <x v="3"/>
    <s v="Divorced"/>
    <n v="10761"/>
    <n v="19239"/>
    <n v="4"/>
    <x v="0"/>
    <n v="12"/>
    <n v="3"/>
    <n v="3"/>
    <n v="1"/>
    <n v="18"/>
    <n v="2"/>
    <n v="3"/>
    <n v="5"/>
    <n v="4"/>
    <n v="0"/>
    <n v="2"/>
    <x v="3"/>
    <n v="0"/>
    <s v="50+"/>
    <x v="1"/>
    <n v="2"/>
    <s v="Medium"/>
  </r>
  <r>
    <n v="32"/>
    <s v="No"/>
    <s v="Travel_Rarely"/>
    <n v="638"/>
    <x v="1"/>
    <n v="8"/>
    <n v="2"/>
    <s v="Medical"/>
    <n v="865"/>
    <n v="3"/>
    <x v="0"/>
    <n v="91"/>
    <n v="4"/>
    <n v="2"/>
    <x v="1"/>
    <x v="2"/>
    <s v="Married"/>
    <n v="5175"/>
    <n v="22162"/>
    <n v="5"/>
    <x v="1"/>
    <n v="12"/>
    <n v="3"/>
    <n v="3"/>
    <n v="1"/>
    <n v="9"/>
    <n v="3"/>
    <n v="2"/>
    <n v="5"/>
    <n v="3"/>
    <n v="1"/>
    <n v="3"/>
    <x v="3"/>
    <n v="0"/>
    <s v="40–49"/>
    <x v="2"/>
    <n v="0"/>
    <s v="Low"/>
  </r>
  <r>
    <n v="52"/>
    <s v="No"/>
    <s v="Travel_Frequently"/>
    <n v="890"/>
    <x v="1"/>
    <n v="25"/>
    <n v="4"/>
    <s v="Medical"/>
    <n v="867"/>
    <n v="3"/>
    <x v="0"/>
    <n v="81"/>
    <n v="2"/>
    <n v="4"/>
    <x v="3"/>
    <x v="0"/>
    <s v="Married"/>
    <n v="13826"/>
    <n v="19028"/>
    <n v="3"/>
    <x v="1"/>
    <n v="22"/>
    <n v="4"/>
    <n v="3"/>
    <n v="0"/>
    <n v="31"/>
    <n v="3"/>
    <n v="3"/>
    <n v="9"/>
    <n v="8"/>
    <n v="0"/>
    <n v="0"/>
    <x v="0"/>
    <n v="0"/>
    <s v="30–39"/>
    <x v="0"/>
    <n v="0"/>
    <s v="Low"/>
  </r>
  <r>
    <n v="37"/>
    <s v="No"/>
    <s v="Travel_Rarely"/>
    <n v="342"/>
    <x v="0"/>
    <n v="16"/>
    <n v="4"/>
    <s v="Marketing"/>
    <n v="868"/>
    <n v="4"/>
    <x v="1"/>
    <n v="66"/>
    <n v="2"/>
    <n v="2"/>
    <x v="0"/>
    <x v="2"/>
    <s v="Divorced"/>
    <n v="6334"/>
    <n v="24558"/>
    <n v="4"/>
    <x v="1"/>
    <n v="19"/>
    <n v="3"/>
    <n v="4"/>
    <n v="2"/>
    <n v="9"/>
    <n v="2"/>
    <n v="3"/>
    <n v="1"/>
    <n v="0"/>
    <n v="0"/>
    <n v="0"/>
    <x v="2"/>
    <n v="0"/>
    <s v="50+"/>
    <x v="2"/>
    <n v="1"/>
    <s v="Low"/>
  </r>
  <r>
    <n v="28"/>
    <s v="No"/>
    <s v="Travel_Rarely"/>
    <n v="1169"/>
    <x v="2"/>
    <n v="8"/>
    <n v="2"/>
    <s v="Medical"/>
    <n v="869"/>
    <n v="2"/>
    <x v="1"/>
    <n v="63"/>
    <n v="2"/>
    <n v="1"/>
    <x v="8"/>
    <x v="0"/>
    <s v="Divorced"/>
    <n v="4936"/>
    <n v="23965"/>
    <n v="1"/>
    <x v="1"/>
    <n v="13"/>
    <n v="3"/>
    <n v="4"/>
    <n v="1"/>
    <n v="6"/>
    <n v="6"/>
    <n v="3"/>
    <n v="5"/>
    <n v="1"/>
    <n v="0"/>
    <n v="4"/>
    <x v="3"/>
    <n v="0"/>
    <s v="30–39"/>
    <x v="0"/>
    <n v="0"/>
    <s v="Low"/>
  </r>
  <r>
    <n v="22"/>
    <s v="No"/>
    <s v="Travel_Rarely"/>
    <n v="1230"/>
    <x v="1"/>
    <n v="1"/>
    <n v="2"/>
    <s v="Life Sciences"/>
    <n v="872"/>
    <n v="4"/>
    <x v="1"/>
    <n v="33"/>
    <n v="2"/>
    <n v="2"/>
    <x v="3"/>
    <x v="0"/>
    <s v="Married"/>
    <n v="4775"/>
    <n v="19146"/>
    <n v="6"/>
    <x v="1"/>
    <n v="22"/>
    <n v="4"/>
    <n v="1"/>
    <n v="2"/>
    <n v="4"/>
    <n v="2"/>
    <n v="1"/>
    <n v="2"/>
    <n v="2"/>
    <n v="2"/>
    <n v="2"/>
    <x v="2"/>
    <n v="0"/>
    <s v="&lt;30"/>
    <x v="0"/>
    <n v="1"/>
    <s v="Low"/>
  </r>
  <r>
    <n v="44"/>
    <s v="No"/>
    <s v="Travel_Rarely"/>
    <n v="986"/>
    <x v="1"/>
    <n v="8"/>
    <n v="4"/>
    <s v="Life Sciences"/>
    <n v="874"/>
    <n v="1"/>
    <x v="1"/>
    <n v="62"/>
    <n v="4"/>
    <n v="1"/>
    <x v="2"/>
    <x v="0"/>
    <s v="Married"/>
    <n v="2818"/>
    <n v="5044"/>
    <n v="2"/>
    <x v="0"/>
    <n v="24"/>
    <n v="4"/>
    <n v="3"/>
    <n v="1"/>
    <n v="10"/>
    <n v="2"/>
    <n v="2"/>
    <n v="3"/>
    <n v="2"/>
    <n v="0"/>
    <n v="2"/>
    <x v="2"/>
    <n v="0"/>
    <s v="&lt;30"/>
    <x v="0"/>
    <n v="2"/>
    <s v="Medium"/>
  </r>
  <r>
    <n v="42"/>
    <s v="No"/>
    <s v="Travel_Frequently"/>
    <n v="1271"/>
    <x v="1"/>
    <n v="2"/>
    <n v="1"/>
    <s v="Medical"/>
    <n v="875"/>
    <n v="2"/>
    <x v="1"/>
    <n v="35"/>
    <n v="3"/>
    <n v="1"/>
    <x v="1"/>
    <x v="0"/>
    <s v="Single"/>
    <n v="2515"/>
    <n v="9068"/>
    <n v="5"/>
    <x v="0"/>
    <n v="14"/>
    <n v="3"/>
    <n v="4"/>
    <n v="0"/>
    <n v="8"/>
    <n v="2"/>
    <n v="3"/>
    <n v="2"/>
    <n v="1"/>
    <n v="2"/>
    <n v="2"/>
    <x v="2"/>
    <n v="0"/>
    <s v="40–49"/>
    <x v="0"/>
    <n v="2"/>
    <s v="Medium"/>
  </r>
  <r>
    <n v="36"/>
    <s v="No"/>
    <s v="Travel_Rarely"/>
    <n v="1278"/>
    <x v="2"/>
    <n v="8"/>
    <n v="3"/>
    <s v="Life Sciences"/>
    <n v="878"/>
    <n v="1"/>
    <x v="1"/>
    <n v="77"/>
    <n v="2"/>
    <n v="1"/>
    <x v="8"/>
    <x v="3"/>
    <s v="Married"/>
    <n v="2342"/>
    <n v="8635"/>
    <n v="0"/>
    <x v="1"/>
    <n v="21"/>
    <n v="4"/>
    <n v="3"/>
    <n v="0"/>
    <n v="6"/>
    <n v="3"/>
    <n v="3"/>
    <n v="5"/>
    <n v="4"/>
    <n v="0"/>
    <n v="3"/>
    <x v="3"/>
    <n v="0"/>
    <s v="40–49"/>
    <x v="1"/>
    <n v="1"/>
    <s v="Low"/>
  </r>
  <r>
    <n v="25"/>
    <s v="No"/>
    <s v="Travel_Rarely"/>
    <n v="141"/>
    <x v="0"/>
    <n v="3"/>
    <n v="1"/>
    <s v="Other"/>
    <n v="879"/>
    <n v="3"/>
    <x v="1"/>
    <n v="98"/>
    <n v="3"/>
    <n v="2"/>
    <x v="0"/>
    <x v="3"/>
    <s v="Married"/>
    <n v="4194"/>
    <n v="14363"/>
    <n v="1"/>
    <x v="0"/>
    <n v="18"/>
    <n v="3"/>
    <n v="4"/>
    <n v="0"/>
    <n v="5"/>
    <n v="3"/>
    <n v="3"/>
    <n v="5"/>
    <n v="3"/>
    <n v="0"/>
    <n v="3"/>
    <x v="3"/>
    <n v="0"/>
    <s v="30–39"/>
    <x v="1"/>
    <n v="2"/>
    <s v="Medium"/>
  </r>
  <r>
    <n v="35"/>
    <s v="No"/>
    <s v="Travel_Rarely"/>
    <n v="607"/>
    <x v="1"/>
    <n v="9"/>
    <n v="3"/>
    <s v="Life Sciences"/>
    <n v="880"/>
    <n v="4"/>
    <x v="0"/>
    <n v="66"/>
    <n v="2"/>
    <n v="3"/>
    <x v="3"/>
    <x v="2"/>
    <s v="Married"/>
    <n v="10685"/>
    <n v="23457"/>
    <n v="1"/>
    <x v="0"/>
    <n v="20"/>
    <n v="4"/>
    <n v="2"/>
    <n v="1"/>
    <n v="17"/>
    <n v="2"/>
    <n v="3"/>
    <n v="17"/>
    <n v="14"/>
    <n v="5"/>
    <n v="15"/>
    <x v="0"/>
    <n v="0"/>
    <s v="&lt;30"/>
    <x v="2"/>
    <n v="1"/>
    <s v="Low"/>
  </r>
  <r>
    <n v="35"/>
    <s v="Yes"/>
    <s v="Travel_Frequently"/>
    <n v="130"/>
    <x v="1"/>
    <n v="25"/>
    <n v="4"/>
    <s v="Life Sciences"/>
    <n v="881"/>
    <n v="4"/>
    <x v="0"/>
    <n v="96"/>
    <n v="3"/>
    <n v="1"/>
    <x v="1"/>
    <x v="1"/>
    <s v="Divorced"/>
    <n v="2022"/>
    <n v="16612"/>
    <n v="1"/>
    <x v="0"/>
    <n v="19"/>
    <n v="3"/>
    <n v="1"/>
    <n v="1"/>
    <n v="10"/>
    <n v="3"/>
    <n v="2"/>
    <n v="10"/>
    <n v="2"/>
    <n v="7"/>
    <n v="8"/>
    <x v="0"/>
    <n v="1"/>
    <s v="30–39"/>
    <x v="1"/>
    <n v="2"/>
    <s v="Medium"/>
  </r>
  <r>
    <n v="32"/>
    <s v="No"/>
    <s v="Non-Travel"/>
    <n v="300"/>
    <x v="1"/>
    <n v="1"/>
    <n v="3"/>
    <s v="Life Sciences"/>
    <n v="882"/>
    <n v="4"/>
    <x v="1"/>
    <n v="61"/>
    <n v="3"/>
    <n v="1"/>
    <x v="2"/>
    <x v="0"/>
    <s v="Divorced"/>
    <n v="2314"/>
    <n v="9148"/>
    <n v="0"/>
    <x v="1"/>
    <n v="12"/>
    <n v="3"/>
    <n v="2"/>
    <n v="1"/>
    <n v="4"/>
    <n v="2"/>
    <n v="3"/>
    <n v="3"/>
    <n v="0"/>
    <n v="0"/>
    <n v="2"/>
    <x v="2"/>
    <n v="0"/>
    <s v="30–39"/>
    <x v="0"/>
    <n v="1"/>
    <s v="Low"/>
  </r>
  <r>
    <n v="25"/>
    <s v="No"/>
    <s v="Travel_Rarely"/>
    <n v="583"/>
    <x v="0"/>
    <n v="4"/>
    <n v="1"/>
    <s v="Marketing"/>
    <n v="885"/>
    <n v="3"/>
    <x v="1"/>
    <n v="87"/>
    <n v="2"/>
    <n v="2"/>
    <x v="0"/>
    <x v="3"/>
    <s v="Married"/>
    <n v="4256"/>
    <n v="18154"/>
    <n v="1"/>
    <x v="1"/>
    <n v="12"/>
    <n v="3"/>
    <n v="1"/>
    <n v="0"/>
    <n v="5"/>
    <n v="1"/>
    <n v="4"/>
    <n v="5"/>
    <n v="2"/>
    <n v="0"/>
    <n v="3"/>
    <x v="3"/>
    <n v="0"/>
    <s v="30–39"/>
    <x v="1"/>
    <n v="1"/>
    <s v="Low"/>
  </r>
  <r>
    <n v="49"/>
    <s v="No"/>
    <s v="Travel_Rarely"/>
    <n v="1418"/>
    <x v="1"/>
    <n v="1"/>
    <n v="3"/>
    <s v="Technical Degree"/>
    <n v="887"/>
    <n v="3"/>
    <x v="0"/>
    <n v="36"/>
    <n v="3"/>
    <n v="1"/>
    <x v="1"/>
    <x v="3"/>
    <s v="Married"/>
    <n v="3580"/>
    <n v="10554"/>
    <n v="2"/>
    <x v="1"/>
    <n v="16"/>
    <n v="3"/>
    <n v="2"/>
    <n v="1"/>
    <n v="7"/>
    <n v="2"/>
    <n v="3"/>
    <n v="4"/>
    <n v="2"/>
    <n v="0"/>
    <n v="2"/>
    <x v="3"/>
    <n v="0"/>
    <s v="&lt;30"/>
    <x v="1"/>
    <n v="1"/>
    <s v="Low"/>
  </r>
  <r>
    <n v="24"/>
    <s v="No"/>
    <s v="Non-Travel"/>
    <n v="1269"/>
    <x v="1"/>
    <n v="4"/>
    <n v="1"/>
    <s v="Life Sciences"/>
    <n v="888"/>
    <n v="1"/>
    <x v="1"/>
    <n v="46"/>
    <n v="2"/>
    <n v="1"/>
    <x v="2"/>
    <x v="0"/>
    <s v="Married"/>
    <n v="3162"/>
    <n v="10778"/>
    <n v="0"/>
    <x v="1"/>
    <n v="17"/>
    <n v="3"/>
    <n v="4"/>
    <n v="0"/>
    <n v="6"/>
    <n v="2"/>
    <n v="2"/>
    <n v="5"/>
    <n v="2"/>
    <n v="3"/>
    <n v="4"/>
    <x v="3"/>
    <n v="0"/>
    <s v="40–49"/>
    <x v="0"/>
    <n v="0"/>
    <s v="Low"/>
  </r>
  <r>
    <n v="32"/>
    <s v="No"/>
    <s v="Travel_Frequently"/>
    <n v="379"/>
    <x v="0"/>
    <n v="5"/>
    <n v="2"/>
    <s v="Life Sciences"/>
    <n v="889"/>
    <n v="2"/>
    <x v="1"/>
    <n v="48"/>
    <n v="3"/>
    <n v="2"/>
    <x v="0"/>
    <x v="1"/>
    <s v="Married"/>
    <n v="6524"/>
    <n v="8891"/>
    <n v="1"/>
    <x v="1"/>
    <n v="14"/>
    <n v="3"/>
    <n v="4"/>
    <n v="1"/>
    <n v="10"/>
    <n v="3"/>
    <n v="3"/>
    <n v="10"/>
    <n v="8"/>
    <n v="5"/>
    <n v="3"/>
    <x v="0"/>
    <n v="0"/>
    <s v="&lt;30"/>
    <x v="1"/>
    <n v="1"/>
    <s v="Low"/>
  </r>
  <r>
    <n v="38"/>
    <s v="No"/>
    <s v="Travel_Rarely"/>
    <n v="395"/>
    <x v="0"/>
    <n v="9"/>
    <n v="3"/>
    <s v="Marketing"/>
    <n v="893"/>
    <n v="2"/>
    <x v="1"/>
    <n v="98"/>
    <n v="2"/>
    <n v="1"/>
    <x v="6"/>
    <x v="1"/>
    <s v="Married"/>
    <n v="2899"/>
    <n v="12102"/>
    <n v="0"/>
    <x v="1"/>
    <n v="19"/>
    <n v="3"/>
    <n v="4"/>
    <n v="1"/>
    <n v="3"/>
    <n v="3"/>
    <n v="3"/>
    <n v="2"/>
    <n v="2"/>
    <n v="1"/>
    <n v="2"/>
    <x v="2"/>
    <n v="0"/>
    <s v="30–39"/>
    <x v="1"/>
    <n v="2"/>
    <s v="Medium"/>
  </r>
  <r>
    <n v="42"/>
    <s v="No"/>
    <s v="Travel_Rarely"/>
    <n v="1265"/>
    <x v="1"/>
    <n v="3"/>
    <n v="3"/>
    <s v="Life Sciences"/>
    <n v="894"/>
    <n v="3"/>
    <x v="0"/>
    <n v="95"/>
    <n v="4"/>
    <n v="2"/>
    <x v="2"/>
    <x v="0"/>
    <s v="Married"/>
    <n v="5231"/>
    <n v="23726"/>
    <n v="2"/>
    <x v="0"/>
    <n v="13"/>
    <n v="3"/>
    <n v="2"/>
    <n v="1"/>
    <n v="17"/>
    <n v="1"/>
    <n v="2"/>
    <n v="5"/>
    <n v="3"/>
    <n v="1"/>
    <n v="3"/>
    <x v="3"/>
    <n v="0"/>
    <s v="30–39"/>
    <x v="0"/>
    <n v="1"/>
    <s v="Low"/>
  </r>
  <r>
    <n v="31"/>
    <s v="No"/>
    <s v="Travel_Rarely"/>
    <n v="1222"/>
    <x v="1"/>
    <n v="11"/>
    <n v="4"/>
    <s v="Life Sciences"/>
    <n v="895"/>
    <n v="4"/>
    <x v="1"/>
    <n v="48"/>
    <n v="3"/>
    <n v="1"/>
    <x v="1"/>
    <x v="0"/>
    <s v="Married"/>
    <n v="2356"/>
    <n v="14871"/>
    <n v="3"/>
    <x v="0"/>
    <n v="19"/>
    <n v="3"/>
    <n v="2"/>
    <n v="1"/>
    <n v="8"/>
    <n v="2"/>
    <n v="3"/>
    <n v="6"/>
    <n v="4"/>
    <n v="0"/>
    <n v="2"/>
    <x v="0"/>
    <n v="0"/>
    <s v="40–49"/>
    <x v="0"/>
    <n v="1"/>
    <s v="Low"/>
  </r>
  <r>
    <n v="29"/>
    <s v="Yes"/>
    <s v="Travel_Rarely"/>
    <n v="341"/>
    <x v="0"/>
    <n v="1"/>
    <n v="3"/>
    <s v="Medical"/>
    <n v="896"/>
    <n v="2"/>
    <x v="0"/>
    <n v="48"/>
    <n v="2"/>
    <n v="1"/>
    <x v="6"/>
    <x v="2"/>
    <s v="Divorced"/>
    <n v="2800"/>
    <n v="23522"/>
    <n v="6"/>
    <x v="0"/>
    <n v="19"/>
    <n v="3"/>
    <n v="3"/>
    <n v="3"/>
    <n v="5"/>
    <n v="3"/>
    <n v="3"/>
    <n v="3"/>
    <n v="2"/>
    <n v="0"/>
    <n v="2"/>
    <x v="2"/>
    <n v="1"/>
    <s v="30–39"/>
    <x v="2"/>
    <n v="2"/>
    <s v="Medium"/>
  </r>
  <r>
    <n v="53"/>
    <s v="No"/>
    <s v="Travel_Rarely"/>
    <n v="868"/>
    <x v="0"/>
    <n v="8"/>
    <n v="3"/>
    <s v="Marketing"/>
    <n v="897"/>
    <n v="1"/>
    <x v="1"/>
    <n v="73"/>
    <n v="3"/>
    <n v="4"/>
    <x v="0"/>
    <x v="0"/>
    <s v="Married"/>
    <n v="11836"/>
    <n v="22789"/>
    <n v="5"/>
    <x v="1"/>
    <n v="14"/>
    <n v="3"/>
    <n v="3"/>
    <n v="1"/>
    <n v="28"/>
    <n v="3"/>
    <n v="3"/>
    <n v="2"/>
    <n v="0"/>
    <n v="2"/>
    <n v="2"/>
    <x v="2"/>
    <n v="0"/>
    <s v="&lt;30"/>
    <x v="0"/>
    <n v="1"/>
    <s v="Low"/>
  </r>
  <r>
    <n v="35"/>
    <s v="No"/>
    <s v="Travel_Rarely"/>
    <n v="672"/>
    <x v="1"/>
    <n v="25"/>
    <n v="3"/>
    <s v="Technical Degree"/>
    <n v="899"/>
    <n v="4"/>
    <x v="1"/>
    <n v="78"/>
    <n v="2"/>
    <n v="3"/>
    <x v="3"/>
    <x v="1"/>
    <s v="Married"/>
    <n v="10903"/>
    <n v="9129"/>
    <n v="3"/>
    <x v="1"/>
    <n v="16"/>
    <n v="3"/>
    <n v="1"/>
    <n v="0"/>
    <n v="16"/>
    <n v="2"/>
    <n v="3"/>
    <n v="13"/>
    <n v="10"/>
    <n v="4"/>
    <n v="8"/>
    <x v="0"/>
    <n v="0"/>
    <s v="50+"/>
    <x v="1"/>
    <n v="1"/>
    <s v="Low"/>
  </r>
  <r>
    <n v="37"/>
    <s v="No"/>
    <s v="Travel_Frequently"/>
    <n v="1231"/>
    <x v="0"/>
    <n v="21"/>
    <n v="2"/>
    <s v="Medical"/>
    <n v="900"/>
    <n v="3"/>
    <x v="0"/>
    <n v="54"/>
    <n v="3"/>
    <n v="1"/>
    <x v="6"/>
    <x v="0"/>
    <s v="Married"/>
    <n v="2973"/>
    <n v="21222"/>
    <n v="5"/>
    <x v="1"/>
    <n v="15"/>
    <n v="3"/>
    <n v="2"/>
    <n v="1"/>
    <n v="10"/>
    <n v="3"/>
    <n v="3"/>
    <n v="5"/>
    <n v="4"/>
    <n v="0"/>
    <n v="0"/>
    <x v="3"/>
    <n v="0"/>
    <s v="30–39"/>
    <x v="0"/>
    <n v="0"/>
    <s v="Low"/>
  </r>
  <r>
    <n v="53"/>
    <s v="No"/>
    <s v="Travel_Rarely"/>
    <n v="102"/>
    <x v="1"/>
    <n v="23"/>
    <n v="4"/>
    <s v="Life Sciences"/>
    <n v="901"/>
    <n v="4"/>
    <x v="0"/>
    <n v="72"/>
    <n v="3"/>
    <n v="4"/>
    <x v="7"/>
    <x v="0"/>
    <s v="Single"/>
    <n v="14275"/>
    <n v="20206"/>
    <n v="6"/>
    <x v="1"/>
    <n v="18"/>
    <n v="3"/>
    <n v="3"/>
    <n v="0"/>
    <n v="33"/>
    <n v="0"/>
    <n v="3"/>
    <n v="12"/>
    <n v="9"/>
    <n v="3"/>
    <n v="8"/>
    <x v="0"/>
    <n v="0"/>
    <s v="30–39"/>
    <x v="0"/>
    <n v="0"/>
    <s v="Low"/>
  </r>
  <r>
    <n v="43"/>
    <s v="No"/>
    <s v="Travel_Frequently"/>
    <n v="422"/>
    <x v="1"/>
    <n v="1"/>
    <n v="3"/>
    <s v="Life Sciences"/>
    <n v="902"/>
    <n v="4"/>
    <x v="0"/>
    <n v="33"/>
    <n v="3"/>
    <n v="2"/>
    <x v="4"/>
    <x v="0"/>
    <s v="Married"/>
    <n v="5562"/>
    <n v="21782"/>
    <n v="4"/>
    <x v="1"/>
    <n v="13"/>
    <n v="3"/>
    <n v="2"/>
    <n v="1"/>
    <n v="12"/>
    <n v="2"/>
    <n v="2"/>
    <n v="5"/>
    <n v="2"/>
    <n v="2"/>
    <n v="2"/>
    <x v="3"/>
    <n v="0"/>
    <s v="50+"/>
    <x v="0"/>
    <n v="0"/>
    <s v="Low"/>
  </r>
  <r>
    <n v="47"/>
    <s v="No"/>
    <s v="Travel_Rarely"/>
    <n v="249"/>
    <x v="0"/>
    <n v="2"/>
    <n v="2"/>
    <s v="Marketing"/>
    <n v="903"/>
    <n v="3"/>
    <x v="0"/>
    <n v="35"/>
    <n v="3"/>
    <n v="2"/>
    <x v="0"/>
    <x v="0"/>
    <s v="Married"/>
    <n v="4537"/>
    <n v="17783"/>
    <n v="0"/>
    <x v="0"/>
    <n v="22"/>
    <n v="4"/>
    <n v="1"/>
    <n v="1"/>
    <n v="8"/>
    <n v="2"/>
    <n v="3"/>
    <n v="7"/>
    <n v="6"/>
    <n v="7"/>
    <n v="7"/>
    <x v="0"/>
    <n v="0"/>
    <s v="40–49"/>
    <x v="0"/>
    <n v="1"/>
    <s v="Low"/>
  </r>
  <r>
    <n v="37"/>
    <s v="No"/>
    <s v="Non-Travel"/>
    <n v="1252"/>
    <x v="0"/>
    <n v="19"/>
    <n v="2"/>
    <s v="Medical"/>
    <n v="904"/>
    <n v="1"/>
    <x v="1"/>
    <n v="32"/>
    <n v="3"/>
    <n v="3"/>
    <x v="0"/>
    <x v="1"/>
    <s v="Single"/>
    <n v="7642"/>
    <n v="4814"/>
    <n v="1"/>
    <x v="0"/>
    <n v="13"/>
    <n v="3"/>
    <n v="4"/>
    <n v="0"/>
    <n v="10"/>
    <n v="2"/>
    <n v="3"/>
    <n v="10"/>
    <n v="0"/>
    <n v="0"/>
    <n v="9"/>
    <x v="0"/>
    <n v="0"/>
    <s v="40–49"/>
    <x v="1"/>
    <n v="2"/>
    <s v="Medium"/>
  </r>
  <r>
    <n v="50"/>
    <s v="No"/>
    <s v="Non-Travel"/>
    <n v="881"/>
    <x v="1"/>
    <n v="2"/>
    <n v="4"/>
    <s v="Life Sciences"/>
    <n v="905"/>
    <n v="1"/>
    <x v="1"/>
    <n v="98"/>
    <n v="3"/>
    <n v="4"/>
    <x v="5"/>
    <x v="3"/>
    <s v="Divorced"/>
    <n v="17924"/>
    <n v="4544"/>
    <n v="1"/>
    <x v="1"/>
    <n v="11"/>
    <n v="3"/>
    <n v="4"/>
    <n v="1"/>
    <n v="31"/>
    <n v="3"/>
    <n v="3"/>
    <n v="31"/>
    <n v="6"/>
    <n v="14"/>
    <n v="7"/>
    <x v="0"/>
    <n v="0"/>
    <s v="30–39"/>
    <x v="1"/>
    <n v="1"/>
    <s v="Low"/>
  </r>
  <r>
    <n v="39"/>
    <s v="No"/>
    <s v="Travel_Rarely"/>
    <n v="1383"/>
    <x v="2"/>
    <n v="2"/>
    <n v="3"/>
    <s v="Life Sciences"/>
    <n v="909"/>
    <n v="4"/>
    <x v="0"/>
    <n v="42"/>
    <n v="2"/>
    <n v="2"/>
    <x v="8"/>
    <x v="0"/>
    <s v="Married"/>
    <n v="5204"/>
    <n v="7790"/>
    <n v="8"/>
    <x v="1"/>
    <n v="11"/>
    <n v="3"/>
    <n v="3"/>
    <n v="2"/>
    <n v="13"/>
    <n v="2"/>
    <n v="3"/>
    <n v="5"/>
    <n v="4"/>
    <n v="0"/>
    <n v="4"/>
    <x v="3"/>
    <n v="0"/>
    <s v="50+"/>
    <x v="0"/>
    <n v="0"/>
    <s v="Low"/>
  </r>
  <r>
    <n v="33"/>
    <s v="No"/>
    <s v="Travel_Rarely"/>
    <n v="1075"/>
    <x v="2"/>
    <n v="3"/>
    <n v="2"/>
    <s v="Human Resources"/>
    <n v="910"/>
    <n v="4"/>
    <x v="1"/>
    <n v="57"/>
    <n v="3"/>
    <n v="1"/>
    <x v="8"/>
    <x v="1"/>
    <s v="Divorced"/>
    <n v="2277"/>
    <n v="22650"/>
    <n v="3"/>
    <x v="0"/>
    <n v="11"/>
    <n v="3"/>
    <n v="3"/>
    <n v="1"/>
    <n v="7"/>
    <n v="4"/>
    <n v="4"/>
    <n v="4"/>
    <n v="3"/>
    <n v="0"/>
    <n v="3"/>
    <x v="3"/>
    <n v="0"/>
    <s v="30–39"/>
    <x v="1"/>
    <n v="2"/>
    <s v="Medium"/>
  </r>
  <r>
    <n v="32"/>
    <s v="Yes"/>
    <s v="Travel_Rarely"/>
    <n v="374"/>
    <x v="1"/>
    <n v="25"/>
    <n v="4"/>
    <s v="Life Sciences"/>
    <n v="911"/>
    <n v="1"/>
    <x v="1"/>
    <n v="87"/>
    <n v="3"/>
    <n v="1"/>
    <x v="2"/>
    <x v="0"/>
    <s v="Single"/>
    <n v="2795"/>
    <n v="18016"/>
    <n v="1"/>
    <x v="0"/>
    <n v="24"/>
    <n v="4"/>
    <n v="3"/>
    <n v="0"/>
    <n v="1"/>
    <n v="2"/>
    <n v="1"/>
    <n v="1"/>
    <n v="0"/>
    <n v="0"/>
    <n v="1"/>
    <x v="2"/>
    <n v="1"/>
    <s v="30–39"/>
    <x v="0"/>
    <n v="2"/>
    <s v="Medium"/>
  </r>
  <r>
    <n v="29"/>
    <s v="No"/>
    <s v="Travel_Rarely"/>
    <n v="1086"/>
    <x v="1"/>
    <n v="7"/>
    <n v="1"/>
    <s v="Medical"/>
    <n v="912"/>
    <n v="1"/>
    <x v="0"/>
    <n v="62"/>
    <n v="2"/>
    <n v="1"/>
    <x v="2"/>
    <x v="0"/>
    <s v="Divorced"/>
    <n v="2532"/>
    <n v="6054"/>
    <n v="6"/>
    <x v="1"/>
    <n v="14"/>
    <n v="3"/>
    <n v="3"/>
    <n v="3"/>
    <n v="8"/>
    <n v="5"/>
    <n v="3"/>
    <n v="4"/>
    <n v="3"/>
    <n v="0"/>
    <n v="3"/>
    <x v="3"/>
    <n v="0"/>
    <s v="30–39"/>
    <x v="0"/>
    <n v="0"/>
    <s v="Low"/>
  </r>
  <r>
    <n v="44"/>
    <s v="No"/>
    <s v="Travel_Rarely"/>
    <n v="661"/>
    <x v="1"/>
    <n v="9"/>
    <n v="2"/>
    <s v="Life Sciences"/>
    <n v="913"/>
    <n v="2"/>
    <x v="1"/>
    <n v="61"/>
    <n v="3"/>
    <n v="1"/>
    <x v="1"/>
    <x v="3"/>
    <s v="Married"/>
    <n v="2559"/>
    <n v="7508"/>
    <n v="1"/>
    <x v="0"/>
    <n v="13"/>
    <n v="3"/>
    <n v="4"/>
    <n v="0"/>
    <n v="8"/>
    <n v="0"/>
    <n v="3"/>
    <n v="8"/>
    <n v="7"/>
    <n v="7"/>
    <n v="1"/>
    <x v="0"/>
    <n v="0"/>
    <s v="&lt;30"/>
    <x v="1"/>
    <n v="2"/>
    <s v="Medium"/>
  </r>
  <r>
    <n v="28"/>
    <s v="No"/>
    <s v="Travel_Rarely"/>
    <n v="821"/>
    <x v="0"/>
    <n v="5"/>
    <n v="4"/>
    <s v="Medical"/>
    <n v="916"/>
    <n v="1"/>
    <x v="1"/>
    <n v="98"/>
    <n v="3"/>
    <n v="2"/>
    <x v="0"/>
    <x v="0"/>
    <s v="Single"/>
    <n v="4908"/>
    <n v="24252"/>
    <n v="1"/>
    <x v="1"/>
    <n v="14"/>
    <n v="3"/>
    <n v="2"/>
    <n v="0"/>
    <n v="4"/>
    <n v="3"/>
    <n v="3"/>
    <n v="4"/>
    <n v="2"/>
    <n v="0"/>
    <n v="2"/>
    <x v="3"/>
    <n v="0"/>
    <s v="40–49"/>
    <x v="0"/>
    <n v="0"/>
    <s v="Low"/>
  </r>
  <r>
    <n v="58"/>
    <s v="Yes"/>
    <s v="Travel_Frequently"/>
    <n v="781"/>
    <x v="1"/>
    <n v="2"/>
    <n v="1"/>
    <s v="Life Sciences"/>
    <n v="918"/>
    <n v="4"/>
    <x v="1"/>
    <n v="57"/>
    <n v="2"/>
    <n v="1"/>
    <x v="2"/>
    <x v="0"/>
    <s v="Divorced"/>
    <n v="2380"/>
    <n v="13384"/>
    <n v="9"/>
    <x v="0"/>
    <n v="14"/>
    <n v="3"/>
    <n v="4"/>
    <n v="1"/>
    <n v="3"/>
    <n v="3"/>
    <n v="2"/>
    <n v="1"/>
    <n v="0"/>
    <n v="0"/>
    <n v="0"/>
    <x v="2"/>
    <n v="1"/>
    <s v="&lt;30"/>
    <x v="0"/>
    <n v="2"/>
    <s v="Medium"/>
  </r>
  <r>
    <n v="43"/>
    <s v="No"/>
    <s v="Travel_Rarely"/>
    <n v="177"/>
    <x v="1"/>
    <n v="8"/>
    <n v="3"/>
    <s v="Life Sciences"/>
    <n v="920"/>
    <n v="1"/>
    <x v="0"/>
    <n v="55"/>
    <n v="3"/>
    <n v="2"/>
    <x v="3"/>
    <x v="1"/>
    <s v="Divorced"/>
    <n v="4765"/>
    <n v="23814"/>
    <n v="4"/>
    <x v="1"/>
    <n v="21"/>
    <n v="4"/>
    <n v="3"/>
    <n v="1"/>
    <n v="4"/>
    <n v="2"/>
    <n v="4"/>
    <n v="1"/>
    <n v="0"/>
    <n v="0"/>
    <n v="0"/>
    <x v="2"/>
    <n v="0"/>
    <s v="50+"/>
    <x v="1"/>
    <n v="2"/>
    <s v="Medium"/>
  </r>
  <r>
    <n v="20"/>
    <s v="Yes"/>
    <s v="Travel_Rarely"/>
    <n v="500"/>
    <x v="0"/>
    <n v="2"/>
    <n v="3"/>
    <s v="Medical"/>
    <n v="922"/>
    <n v="3"/>
    <x v="0"/>
    <n v="49"/>
    <n v="2"/>
    <n v="1"/>
    <x v="6"/>
    <x v="2"/>
    <s v="Single"/>
    <n v="2044"/>
    <n v="22052"/>
    <n v="1"/>
    <x v="1"/>
    <n v="13"/>
    <n v="3"/>
    <n v="4"/>
    <n v="0"/>
    <n v="2"/>
    <n v="3"/>
    <n v="2"/>
    <n v="2"/>
    <n v="2"/>
    <n v="0"/>
    <n v="2"/>
    <x v="2"/>
    <n v="1"/>
    <s v="40–49"/>
    <x v="2"/>
    <n v="1"/>
    <s v="Low"/>
  </r>
  <r>
    <n v="21"/>
    <s v="Yes"/>
    <s v="Travel_Rarely"/>
    <n v="1427"/>
    <x v="1"/>
    <n v="18"/>
    <n v="1"/>
    <s v="Other"/>
    <n v="923"/>
    <n v="4"/>
    <x v="0"/>
    <n v="65"/>
    <n v="3"/>
    <n v="1"/>
    <x v="1"/>
    <x v="0"/>
    <s v="Single"/>
    <n v="2693"/>
    <n v="8870"/>
    <n v="1"/>
    <x v="1"/>
    <n v="19"/>
    <n v="3"/>
    <n v="1"/>
    <n v="0"/>
    <n v="1"/>
    <n v="3"/>
    <n v="2"/>
    <n v="1"/>
    <n v="0"/>
    <n v="0"/>
    <n v="0"/>
    <x v="2"/>
    <n v="1"/>
    <s v="&lt;30"/>
    <x v="0"/>
    <n v="1"/>
    <s v="Low"/>
  </r>
  <r>
    <n v="36"/>
    <s v="No"/>
    <s v="Travel_Rarely"/>
    <n v="1425"/>
    <x v="1"/>
    <n v="14"/>
    <n v="1"/>
    <s v="Life Sciences"/>
    <n v="924"/>
    <n v="3"/>
    <x v="1"/>
    <n v="68"/>
    <n v="3"/>
    <n v="2"/>
    <x v="4"/>
    <x v="0"/>
    <s v="Married"/>
    <n v="6586"/>
    <n v="4821"/>
    <n v="0"/>
    <x v="0"/>
    <n v="17"/>
    <n v="3"/>
    <n v="1"/>
    <n v="1"/>
    <n v="17"/>
    <n v="2"/>
    <n v="2"/>
    <n v="16"/>
    <n v="8"/>
    <n v="4"/>
    <n v="11"/>
    <x v="0"/>
    <n v="0"/>
    <s v="&lt;30"/>
    <x v="0"/>
    <n v="1"/>
    <s v="Low"/>
  </r>
  <r>
    <n v="47"/>
    <s v="No"/>
    <s v="Travel_Rarely"/>
    <n v="1454"/>
    <x v="0"/>
    <n v="2"/>
    <n v="4"/>
    <s v="Life Sciences"/>
    <n v="925"/>
    <n v="4"/>
    <x v="0"/>
    <n v="65"/>
    <n v="2"/>
    <n v="1"/>
    <x v="6"/>
    <x v="0"/>
    <s v="Single"/>
    <n v="3294"/>
    <n v="13137"/>
    <n v="1"/>
    <x v="0"/>
    <n v="18"/>
    <n v="3"/>
    <n v="1"/>
    <n v="0"/>
    <n v="3"/>
    <n v="3"/>
    <n v="2"/>
    <n v="3"/>
    <n v="2"/>
    <n v="1"/>
    <n v="2"/>
    <x v="2"/>
    <n v="0"/>
    <s v="30–39"/>
    <x v="0"/>
    <n v="2"/>
    <s v="Medium"/>
  </r>
  <r>
    <n v="22"/>
    <s v="Yes"/>
    <s v="Travel_Rarely"/>
    <n v="617"/>
    <x v="1"/>
    <n v="3"/>
    <n v="1"/>
    <s v="Life Sciences"/>
    <n v="926"/>
    <n v="2"/>
    <x v="0"/>
    <n v="34"/>
    <n v="3"/>
    <n v="2"/>
    <x v="3"/>
    <x v="2"/>
    <s v="Married"/>
    <n v="4171"/>
    <n v="10022"/>
    <n v="0"/>
    <x v="0"/>
    <n v="19"/>
    <n v="3"/>
    <n v="1"/>
    <n v="1"/>
    <n v="4"/>
    <n v="3"/>
    <n v="4"/>
    <n v="3"/>
    <n v="2"/>
    <n v="0"/>
    <n v="2"/>
    <x v="2"/>
    <n v="1"/>
    <s v="40–49"/>
    <x v="2"/>
    <n v="2"/>
    <s v="Medium"/>
  </r>
  <r>
    <n v="41"/>
    <s v="Yes"/>
    <s v="Travel_Rarely"/>
    <n v="1085"/>
    <x v="1"/>
    <n v="2"/>
    <n v="4"/>
    <s v="Life Sciences"/>
    <n v="927"/>
    <n v="2"/>
    <x v="0"/>
    <n v="57"/>
    <n v="1"/>
    <n v="1"/>
    <x v="2"/>
    <x v="0"/>
    <s v="Divorced"/>
    <n v="2778"/>
    <n v="17725"/>
    <n v="4"/>
    <x v="0"/>
    <n v="13"/>
    <n v="3"/>
    <n v="3"/>
    <n v="1"/>
    <n v="10"/>
    <n v="1"/>
    <n v="2"/>
    <n v="7"/>
    <n v="7"/>
    <n v="1"/>
    <n v="0"/>
    <x v="0"/>
    <n v="1"/>
    <s v="&lt;30"/>
    <x v="0"/>
    <n v="1"/>
    <s v="Low"/>
  </r>
  <r>
    <n v="28"/>
    <s v="No"/>
    <s v="Travel_Rarely"/>
    <n v="995"/>
    <x v="1"/>
    <n v="9"/>
    <n v="3"/>
    <s v="Medical"/>
    <n v="930"/>
    <n v="3"/>
    <x v="0"/>
    <n v="77"/>
    <n v="3"/>
    <n v="1"/>
    <x v="1"/>
    <x v="2"/>
    <s v="Divorced"/>
    <n v="2377"/>
    <n v="9834"/>
    <n v="5"/>
    <x v="1"/>
    <n v="18"/>
    <n v="3"/>
    <n v="2"/>
    <n v="1"/>
    <n v="6"/>
    <n v="2"/>
    <n v="3"/>
    <n v="2"/>
    <n v="2"/>
    <n v="2"/>
    <n v="2"/>
    <x v="2"/>
    <n v="0"/>
    <s v="40–49"/>
    <x v="2"/>
    <n v="1"/>
    <s v="Low"/>
  </r>
  <r>
    <n v="39"/>
    <s v="Yes"/>
    <s v="Travel_Rarely"/>
    <n v="1122"/>
    <x v="1"/>
    <n v="6"/>
    <n v="3"/>
    <s v="Medical"/>
    <n v="932"/>
    <n v="4"/>
    <x v="1"/>
    <n v="70"/>
    <n v="3"/>
    <n v="1"/>
    <x v="2"/>
    <x v="3"/>
    <s v="Married"/>
    <n v="2404"/>
    <n v="4303"/>
    <n v="7"/>
    <x v="0"/>
    <n v="21"/>
    <n v="4"/>
    <n v="4"/>
    <n v="0"/>
    <n v="8"/>
    <n v="2"/>
    <n v="1"/>
    <n v="2"/>
    <n v="2"/>
    <n v="2"/>
    <n v="2"/>
    <x v="2"/>
    <n v="1"/>
    <s v="&lt;30"/>
    <x v="1"/>
    <n v="3"/>
    <s v="High"/>
  </r>
  <r>
    <n v="27"/>
    <s v="No"/>
    <s v="Travel_Rarely"/>
    <n v="618"/>
    <x v="1"/>
    <n v="4"/>
    <n v="3"/>
    <s v="Life Sciences"/>
    <n v="933"/>
    <n v="2"/>
    <x v="0"/>
    <n v="76"/>
    <n v="3"/>
    <n v="1"/>
    <x v="1"/>
    <x v="2"/>
    <s v="Single"/>
    <n v="2318"/>
    <n v="17808"/>
    <n v="1"/>
    <x v="1"/>
    <n v="19"/>
    <n v="3"/>
    <n v="3"/>
    <n v="0"/>
    <n v="1"/>
    <n v="2"/>
    <n v="3"/>
    <n v="1"/>
    <n v="1"/>
    <n v="0"/>
    <n v="0"/>
    <x v="2"/>
    <n v="0"/>
    <s v="30–39"/>
    <x v="2"/>
    <n v="1"/>
    <s v="Low"/>
  </r>
  <r>
    <n v="34"/>
    <s v="No"/>
    <s v="Travel_Rarely"/>
    <n v="546"/>
    <x v="1"/>
    <n v="10"/>
    <n v="3"/>
    <s v="Life Sciences"/>
    <n v="934"/>
    <n v="2"/>
    <x v="1"/>
    <n v="83"/>
    <n v="3"/>
    <n v="1"/>
    <x v="2"/>
    <x v="1"/>
    <s v="Divorced"/>
    <n v="2008"/>
    <n v="6896"/>
    <n v="1"/>
    <x v="1"/>
    <n v="14"/>
    <n v="3"/>
    <n v="2"/>
    <n v="2"/>
    <n v="1"/>
    <n v="3"/>
    <n v="3"/>
    <n v="1"/>
    <n v="0"/>
    <n v="1"/>
    <n v="0"/>
    <x v="2"/>
    <n v="0"/>
    <s v="&lt;30"/>
    <x v="1"/>
    <n v="2"/>
    <s v="Medium"/>
  </r>
  <r>
    <n v="42"/>
    <s v="No"/>
    <s v="Travel_Rarely"/>
    <n v="462"/>
    <x v="0"/>
    <n v="14"/>
    <n v="2"/>
    <s v="Medical"/>
    <n v="936"/>
    <n v="3"/>
    <x v="0"/>
    <n v="68"/>
    <n v="2"/>
    <n v="2"/>
    <x v="0"/>
    <x v="2"/>
    <s v="Single"/>
    <n v="6244"/>
    <n v="7824"/>
    <n v="7"/>
    <x v="1"/>
    <n v="17"/>
    <n v="3"/>
    <n v="1"/>
    <n v="0"/>
    <n v="10"/>
    <n v="6"/>
    <n v="3"/>
    <n v="5"/>
    <n v="4"/>
    <n v="0"/>
    <n v="3"/>
    <x v="3"/>
    <n v="0"/>
    <s v="30–39"/>
    <x v="2"/>
    <n v="0"/>
    <s v="Low"/>
  </r>
  <r>
    <n v="33"/>
    <s v="No"/>
    <s v="Travel_Rarely"/>
    <n v="1198"/>
    <x v="1"/>
    <n v="1"/>
    <n v="4"/>
    <s v="Other"/>
    <n v="939"/>
    <n v="3"/>
    <x v="1"/>
    <n v="100"/>
    <n v="2"/>
    <n v="1"/>
    <x v="1"/>
    <x v="3"/>
    <s v="Single"/>
    <n v="2799"/>
    <n v="3339"/>
    <n v="3"/>
    <x v="0"/>
    <n v="11"/>
    <n v="3"/>
    <n v="2"/>
    <n v="0"/>
    <n v="6"/>
    <n v="1"/>
    <n v="3"/>
    <n v="3"/>
    <n v="2"/>
    <n v="0"/>
    <n v="2"/>
    <x v="2"/>
    <n v="0"/>
    <s v="40–49"/>
    <x v="1"/>
    <n v="3"/>
    <s v="High"/>
  </r>
  <r>
    <n v="58"/>
    <s v="No"/>
    <s v="Travel_Rarely"/>
    <n v="1272"/>
    <x v="1"/>
    <n v="5"/>
    <n v="3"/>
    <s v="Technical Degree"/>
    <n v="940"/>
    <n v="3"/>
    <x v="0"/>
    <n v="37"/>
    <n v="2"/>
    <n v="3"/>
    <x v="4"/>
    <x v="1"/>
    <s v="Divorced"/>
    <n v="10552"/>
    <n v="9255"/>
    <n v="2"/>
    <x v="0"/>
    <n v="13"/>
    <n v="3"/>
    <n v="4"/>
    <n v="1"/>
    <n v="24"/>
    <n v="3"/>
    <n v="3"/>
    <n v="6"/>
    <n v="0"/>
    <n v="0"/>
    <n v="4"/>
    <x v="0"/>
    <n v="0"/>
    <s v="30–39"/>
    <x v="1"/>
    <n v="2"/>
    <s v="Medium"/>
  </r>
  <r>
    <n v="31"/>
    <s v="No"/>
    <s v="Travel_Rarely"/>
    <n v="154"/>
    <x v="0"/>
    <n v="7"/>
    <n v="4"/>
    <s v="Life Sciences"/>
    <n v="941"/>
    <n v="2"/>
    <x v="1"/>
    <n v="41"/>
    <n v="2"/>
    <n v="1"/>
    <x v="6"/>
    <x v="2"/>
    <s v="Married"/>
    <n v="2329"/>
    <n v="11737"/>
    <n v="3"/>
    <x v="1"/>
    <n v="15"/>
    <n v="3"/>
    <n v="2"/>
    <n v="0"/>
    <n v="13"/>
    <n v="2"/>
    <n v="4"/>
    <n v="7"/>
    <n v="7"/>
    <n v="5"/>
    <n v="2"/>
    <x v="0"/>
    <n v="0"/>
    <s v="50+"/>
    <x v="2"/>
    <n v="0"/>
    <s v="Low"/>
  </r>
  <r>
    <n v="35"/>
    <s v="No"/>
    <s v="Travel_Rarely"/>
    <n v="1137"/>
    <x v="1"/>
    <n v="21"/>
    <n v="1"/>
    <s v="Life Sciences"/>
    <n v="942"/>
    <n v="4"/>
    <x v="0"/>
    <n v="51"/>
    <n v="3"/>
    <n v="2"/>
    <x v="4"/>
    <x v="0"/>
    <s v="Married"/>
    <n v="4014"/>
    <n v="19170"/>
    <n v="1"/>
    <x v="0"/>
    <n v="25"/>
    <n v="4"/>
    <n v="4"/>
    <n v="1"/>
    <n v="10"/>
    <n v="2"/>
    <n v="1"/>
    <n v="10"/>
    <n v="6"/>
    <n v="0"/>
    <n v="7"/>
    <x v="0"/>
    <n v="0"/>
    <s v="30–39"/>
    <x v="0"/>
    <n v="1"/>
    <s v="Low"/>
  </r>
  <r>
    <n v="49"/>
    <s v="No"/>
    <s v="Travel_Rarely"/>
    <n v="527"/>
    <x v="1"/>
    <n v="8"/>
    <n v="2"/>
    <s v="Other"/>
    <n v="944"/>
    <n v="1"/>
    <x v="0"/>
    <n v="51"/>
    <n v="3"/>
    <n v="3"/>
    <x v="2"/>
    <x v="1"/>
    <s v="Married"/>
    <n v="7403"/>
    <n v="22477"/>
    <n v="4"/>
    <x v="1"/>
    <n v="11"/>
    <n v="3"/>
    <n v="3"/>
    <n v="1"/>
    <n v="29"/>
    <n v="3"/>
    <n v="2"/>
    <n v="26"/>
    <n v="9"/>
    <n v="1"/>
    <n v="7"/>
    <x v="0"/>
    <n v="0"/>
    <s v="30–39"/>
    <x v="1"/>
    <n v="1"/>
    <s v="Low"/>
  </r>
  <r>
    <n v="48"/>
    <s v="No"/>
    <s v="Travel_Rarely"/>
    <n v="1469"/>
    <x v="1"/>
    <n v="20"/>
    <n v="4"/>
    <s v="Medical"/>
    <n v="945"/>
    <n v="4"/>
    <x v="1"/>
    <n v="51"/>
    <n v="3"/>
    <n v="1"/>
    <x v="1"/>
    <x v="2"/>
    <s v="Married"/>
    <n v="2259"/>
    <n v="5543"/>
    <n v="4"/>
    <x v="1"/>
    <n v="17"/>
    <n v="3"/>
    <n v="1"/>
    <n v="2"/>
    <n v="13"/>
    <n v="2"/>
    <n v="2"/>
    <n v="0"/>
    <n v="0"/>
    <n v="0"/>
    <n v="0"/>
    <x v="1"/>
    <n v="0"/>
    <s v="40–49"/>
    <x v="2"/>
    <n v="1"/>
    <s v="Low"/>
  </r>
  <r>
    <n v="31"/>
    <s v="No"/>
    <s v="Non-Travel"/>
    <n v="1188"/>
    <x v="0"/>
    <n v="20"/>
    <n v="2"/>
    <s v="Marketing"/>
    <n v="947"/>
    <n v="4"/>
    <x v="0"/>
    <n v="45"/>
    <n v="3"/>
    <n v="2"/>
    <x v="0"/>
    <x v="2"/>
    <s v="Married"/>
    <n v="6932"/>
    <n v="24406"/>
    <n v="1"/>
    <x v="1"/>
    <n v="13"/>
    <n v="3"/>
    <n v="4"/>
    <n v="1"/>
    <n v="9"/>
    <n v="2"/>
    <n v="2"/>
    <n v="9"/>
    <n v="8"/>
    <n v="0"/>
    <n v="0"/>
    <x v="0"/>
    <n v="0"/>
    <s v="40–49"/>
    <x v="2"/>
    <n v="0"/>
    <s v="Low"/>
  </r>
  <r>
    <n v="36"/>
    <s v="No"/>
    <s v="Travel_Rarely"/>
    <n v="188"/>
    <x v="1"/>
    <n v="7"/>
    <n v="4"/>
    <s v="Other"/>
    <n v="949"/>
    <n v="2"/>
    <x v="1"/>
    <n v="65"/>
    <n v="3"/>
    <n v="1"/>
    <x v="1"/>
    <x v="0"/>
    <s v="Single"/>
    <n v="4678"/>
    <n v="23293"/>
    <n v="2"/>
    <x v="1"/>
    <n v="18"/>
    <n v="3"/>
    <n v="3"/>
    <n v="0"/>
    <n v="8"/>
    <n v="6"/>
    <n v="3"/>
    <n v="6"/>
    <n v="2"/>
    <n v="0"/>
    <n v="1"/>
    <x v="0"/>
    <n v="0"/>
    <s v="30–39"/>
    <x v="0"/>
    <n v="0"/>
    <s v="Low"/>
  </r>
  <r>
    <n v="38"/>
    <s v="No"/>
    <s v="Travel_Rarely"/>
    <n v="1333"/>
    <x v="1"/>
    <n v="1"/>
    <n v="3"/>
    <s v="Technical Degree"/>
    <n v="950"/>
    <n v="4"/>
    <x v="0"/>
    <n v="80"/>
    <n v="3"/>
    <n v="3"/>
    <x v="7"/>
    <x v="3"/>
    <s v="Married"/>
    <n v="13582"/>
    <n v="16292"/>
    <n v="1"/>
    <x v="1"/>
    <n v="13"/>
    <n v="3"/>
    <n v="2"/>
    <n v="1"/>
    <n v="15"/>
    <n v="3"/>
    <n v="3"/>
    <n v="15"/>
    <n v="12"/>
    <n v="5"/>
    <n v="11"/>
    <x v="0"/>
    <n v="0"/>
    <s v="30–39"/>
    <x v="1"/>
    <n v="1"/>
    <s v="Low"/>
  </r>
  <r>
    <n v="32"/>
    <s v="No"/>
    <s v="Non-Travel"/>
    <n v="1184"/>
    <x v="1"/>
    <n v="1"/>
    <n v="3"/>
    <s v="Life Sciences"/>
    <n v="951"/>
    <n v="3"/>
    <x v="0"/>
    <n v="70"/>
    <n v="2"/>
    <n v="1"/>
    <x v="2"/>
    <x v="1"/>
    <s v="Married"/>
    <n v="2332"/>
    <n v="3974"/>
    <n v="6"/>
    <x v="1"/>
    <n v="20"/>
    <n v="4"/>
    <n v="3"/>
    <n v="0"/>
    <n v="5"/>
    <n v="3"/>
    <n v="3"/>
    <n v="3"/>
    <n v="0"/>
    <n v="0"/>
    <n v="2"/>
    <x v="2"/>
    <n v="0"/>
    <s v="30–39"/>
    <x v="1"/>
    <n v="2"/>
    <s v="Medium"/>
  </r>
  <r>
    <n v="25"/>
    <s v="Yes"/>
    <s v="Travel_Rarely"/>
    <n v="867"/>
    <x v="0"/>
    <n v="19"/>
    <n v="2"/>
    <s v="Marketing"/>
    <n v="952"/>
    <n v="3"/>
    <x v="1"/>
    <n v="36"/>
    <n v="2"/>
    <n v="1"/>
    <x v="6"/>
    <x v="1"/>
    <s v="Married"/>
    <n v="2413"/>
    <n v="18798"/>
    <n v="1"/>
    <x v="0"/>
    <n v="18"/>
    <n v="3"/>
    <n v="3"/>
    <n v="3"/>
    <n v="1"/>
    <n v="2"/>
    <n v="3"/>
    <n v="1"/>
    <n v="0"/>
    <n v="0"/>
    <n v="0"/>
    <x v="2"/>
    <n v="1"/>
    <s v="30–39"/>
    <x v="1"/>
    <n v="3"/>
    <s v="High"/>
  </r>
  <r>
    <n v="40"/>
    <s v="No"/>
    <s v="Travel_Rarely"/>
    <n v="658"/>
    <x v="0"/>
    <n v="10"/>
    <n v="4"/>
    <s v="Marketing"/>
    <n v="954"/>
    <n v="1"/>
    <x v="1"/>
    <n v="67"/>
    <n v="2"/>
    <n v="3"/>
    <x v="0"/>
    <x v="1"/>
    <s v="Divorced"/>
    <n v="9705"/>
    <n v="20652"/>
    <n v="2"/>
    <x v="1"/>
    <n v="12"/>
    <n v="3"/>
    <n v="2"/>
    <n v="1"/>
    <n v="11"/>
    <n v="2"/>
    <n v="2"/>
    <n v="1"/>
    <n v="0"/>
    <n v="0"/>
    <n v="0"/>
    <x v="2"/>
    <n v="0"/>
    <s v="&lt;30"/>
    <x v="1"/>
    <n v="2"/>
    <s v="Medium"/>
  </r>
  <r>
    <n v="26"/>
    <s v="No"/>
    <s v="Travel_Frequently"/>
    <n v="1283"/>
    <x v="0"/>
    <n v="1"/>
    <n v="3"/>
    <s v="Medical"/>
    <n v="956"/>
    <n v="3"/>
    <x v="1"/>
    <n v="52"/>
    <n v="2"/>
    <n v="2"/>
    <x v="0"/>
    <x v="3"/>
    <s v="Single"/>
    <n v="4294"/>
    <n v="11148"/>
    <n v="1"/>
    <x v="1"/>
    <n v="12"/>
    <n v="3"/>
    <n v="2"/>
    <n v="0"/>
    <n v="7"/>
    <n v="2"/>
    <n v="3"/>
    <n v="7"/>
    <n v="7"/>
    <n v="0"/>
    <n v="7"/>
    <x v="0"/>
    <n v="0"/>
    <s v="40–49"/>
    <x v="1"/>
    <n v="1"/>
    <s v="Low"/>
  </r>
  <r>
    <n v="41"/>
    <s v="No"/>
    <s v="Travel_Rarely"/>
    <n v="263"/>
    <x v="1"/>
    <n v="6"/>
    <n v="3"/>
    <s v="Medical"/>
    <n v="957"/>
    <n v="4"/>
    <x v="1"/>
    <n v="59"/>
    <n v="3"/>
    <n v="1"/>
    <x v="2"/>
    <x v="3"/>
    <s v="Single"/>
    <n v="4721"/>
    <n v="3119"/>
    <n v="2"/>
    <x v="0"/>
    <n v="13"/>
    <n v="3"/>
    <n v="3"/>
    <n v="0"/>
    <n v="20"/>
    <n v="3"/>
    <n v="3"/>
    <n v="18"/>
    <n v="13"/>
    <n v="2"/>
    <n v="17"/>
    <x v="0"/>
    <n v="0"/>
    <s v="&lt;30"/>
    <x v="1"/>
    <n v="2"/>
    <s v="Medium"/>
  </r>
  <r>
    <n v="36"/>
    <s v="No"/>
    <s v="Travel_Rarely"/>
    <n v="938"/>
    <x v="1"/>
    <n v="2"/>
    <n v="4"/>
    <s v="Medical"/>
    <n v="958"/>
    <n v="3"/>
    <x v="1"/>
    <n v="79"/>
    <n v="3"/>
    <n v="1"/>
    <x v="2"/>
    <x v="2"/>
    <s v="Single"/>
    <n v="2519"/>
    <n v="12287"/>
    <n v="4"/>
    <x v="1"/>
    <n v="21"/>
    <n v="4"/>
    <n v="3"/>
    <n v="0"/>
    <n v="16"/>
    <n v="6"/>
    <n v="3"/>
    <n v="11"/>
    <n v="8"/>
    <n v="3"/>
    <n v="9"/>
    <x v="0"/>
    <n v="0"/>
    <s v="40–49"/>
    <x v="2"/>
    <n v="0"/>
    <s v="Low"/>
  </r>
  <r>
    <n v="19"/>
    <s v="Yes"/>
    <s v="Travel_Rarely"/>
    <n v="419"/>
    <x v="0"/>
    <n v="21"/>
    <n v="3"/>
    <s v="Other"/>
    <n v="959"/>
    <n v="4"/>
    <x v="1"/>
    <n v="37"/>
    <n v="2"/>
    <n v="1"/>
    <x v="6"/>
    <x v="1"/>
    <s v="Single"/>
    <n v="2121"/>
    <n v="9947"/>
    <n v="1"/>
    <x v="0"/>
    <n v="13"/>
    <n v="3"/>
    <n v="2"/>
    <n v="0"/>
    <n v="1"/>
    <n v="3"/>
    <n v="4"/>
    <n v="1"/>
    <n v="0"/>
    <n v="0"/>
    <n v="0"/>
    <x v="2"/>
    <n v="1"/>
    <s v="30–39"/>
    <x v="1"/>
    <n v="3"/>
    <s v="High"/>
  </r>
  <r>
    <n v="20"/>
    <s v="Yes"/>
    <s v="Travel_Rarely"/>
    <n v="129"/>
    <x v="1"/>
    <n v="4"/>
    <n v="3"/>
    <s v="Technical Degree"/>
    <n v="960"/>
    <n v="1"/>
    <x v="1"/>
    <n v="84"/>
    <n v="3"/>
    <n v="1"/>
    <x v="2"/>
    <x v="3"/>
    <s v="Single"/>
    <n v="2973"/>
    <n v="13008"/>
    <n v="1"/>
    <x v="1"/>
    <n v="19"/>
    <n v="3"/>
    <n v="2"/>
    <n v="0"/>
    <n v="1"/>
    <n v="2"/>
    <n v="3"/>
    <n v="1"/>
    <n v="0"/>
    <n v="0"/>
    <n v="0"/>
    <x v="2"/>
    <n v="1"/>
    <s v="&lt;30"/>
    <x v="1"/>
    <n v="2"/>
    <s v="Medium"/>
  </r>
  <r>
    <n v="31"/>
    <s v="No"/>
    <s v="Travel_Rarely"/>
    <n v="616"/>
    <x v="1"/>
    <n v="12"/>
    <n v="3"/>
    <s v="Medical"/>
    <n v="961"/>
    <n v="4"/>
    <x v="0"/>
    <n v="41"/>
    <n v="3"/>
    <n v="2"/>
    <x v="4"/>
    <x v="0"/>
    <s v="Married"/>
    <n v="5855"/>
    <n v="17369"/>
    <n v="0"/>
    <x v="0"/>
    <n v="11"/>
    <n v="3"/>
    <n v="3"/>
    <n v="2"/>
    <n v="10"/>
    <n v="2"/>
    <n v="1"/>
    <n v="9"/>
    <n v="7"/>
    <n v="8"/>
    <n v="5"/>
    <x v="0"/>
    <n v="0"/>
    <s v="&lt;30"/>
    <x v="0"/>
    <n v="1"/>
    <s v="Low"/>
  </r>
  <r>
    <n v="40"/>
    <s v="No"/>
    <s v="Travel_Frequently"/>
    <n v="1469"/>
    <x v="1"/>
    <n v="9"/>
    <n v="4"/>
    <s v="Medical"/>
    <n v="964"/>
    <n v="4"/>
    <x v="1"/>
    <n v="35"/>
    <n v="3"/>
    <n v="1"/>
    <x v="1"/>
    <x v="1"/>
    <s v="Divorced"/>
    <n v="3617"/>
    <n v="25063"/>
    <n v="8"/>
    <x v="0"/>
    <n v="14"/>
    <n v="3"/>
    <n v="4"/>
    <n v="1"/>
    <n v="3"/>
    <n v="2"/>
    <n v="3"/>
    <n v="1"/>
    <n v="1"/>
    <n v="0"/>
    <n v="0"/>
    <x v="2"/>
    <n v="0"/>
    <s v="30–39"/>
    <x v="1"/>
    <n v="3"/>
    <s v="High"/>
  </r>
  <r>
    <n v="32"/>
    <s v="No"/>
    <s v="Travel_Rarely"/>
    <n v="498"/>
    <x v="1"/>
    <n v="3"/>
    <n v="4"/>
    <s v="Medical"/>
    <n v="966"/>
    <n v="3"/>
    <x v="0"/>
    <n v="93"/>
    <n v="3"/>
    <n v="2"/>
    <x v="3"/>
    <x v="3"/>
    <s v="Married"/>
    <n v="6725"/>
    <n v="13554"/>
    <n v="1"/>
    <x v="1"/>
    <n v="12"/>
    <n v="3"/>
    <n v="3"/>
    <n v="1"/>
    <n v="8"/>
    <n v="2"/>
    <n v="4"/>
    <n v="8"/>
    <n v="7"/>
    <n v="6"/>
    <n v="3"/>
    <x v="0"/>
    <n v="0"/>
    <s v="40–49"/>
    <x v="1"/>
    <n v="1"/>
    <s v="Low"/>
  </r>
  <r>
    <n v="36"/>
    <s v="Yes"/>
    <s v="Travel_Rarely"/>
    <n v="530"/>
    <x v="0"/>
    <n v="3"/>
    <n v="1"/>
    <s v="Life Sciences"/>
    <n v="967"/>
    <n v="3"/>
    <x v="1"/>
    <n v="51"/>
    <n v="2"/>
    <n v="3"/>
    <x v="0"/>
    <x v="0"/>
    <s v="Married"/>
    <n v="10325"/>
    <n v="5518"/>
    <n v="1"/>
    <x v="0"/>
    <n v="11"/>
    <n v="3"/>
    <n v="1"/>
    <n v="1"/>
    <n v="16"/>
    <n v="6"/>
    <n v="3"/>
    <n v="16"/>
    <n v="7"/>
    <n v="3"/>
    <n v="7"/>
    <x v="0"/>
    <n v="1"/>
    <s v="30–39"/>
    <x v="0"/>
    <n v="1"/>
    <s v="Low"/>
  </r>
  <r>
    <n v="33"/>
    <s v="No"/>
    <s v="Travel_Rarely"/>
    <n v="1069"/>
    <x v="1"/>
    <n v="1"/>
    <n v="3"/>
    <s v="Life Sciences"/>
    <n v="969"/>
    <n v="2"/>
    <x v="0"/>
    <n v="42"/>
    <n v="2"/>
    <n v="2"/>
    <x v="4"/>
    <x v="0"/>
    <s v="Single"/>
    <n v="6949"/>
    <n v="12291"/>
    <n v="0"/>
    <x v="1"/>
    <n v="14"/>
    <n v="3"/>
    <n v="1"/>
    <n v="0"/>
    <n v="6"/>
    <n v="3"/>
    <n v="3"/>
    <n v="5"/>
    <n v="0"/>
    <n v="1"/>
    <n v="4"/>
    <x v="3"/>
    <n v="0"/>
    <s v="30–39"/>
    <x v="0"/>
    <n v="0"/>
    <s v="Low"/>
  </r>
  <r>
    <n v="37"/>
    <s v="Yes"/>
    <s v="Travel_Rarely"/>
    <n v="625"/>
    <x v="0"/>
    <n v="1"/>
    <n v="4"/>
    <s v="Life Sciences"/>
    <n v="970"/>
    <n v="1"/>
    <x v="1"/>
    <n v="46"/>
    <n v="2"/>
    <n v="3"/>
    <x v="0"/>
    <x v="2"/>
    <s v="Married"/>
    <n v="10609"/>
    <n v="14922"/>
    <n v="5"/>
    <x v="1"/>
    <n v="11"/>
    <n v="3"/>
    <n v="3"/>
    <n v="0"/>
    <n v="17"/>
    <n v="2"/>
    <n v="1"/>
    <n v="14"/>
    <n v="1"/>
    <n v="11"/>
    <n v="7"/>
    <x v="0"/>
    <n v="1"/>
    <s v="30–39"/>
    <x v="2"/>
    <n v="0"/>
    <s v="Low"/>
  </r>
  <r>
    <n v="45"/>
    <s v="No"/>
    <s v="Non-Travel"/>
    <n v="805"/>
    <x v="1"/>
    <n v="4"/>
    <n v="2"/>
    <s v="Life Sciences"/>
    <n v="972"/>
    <n v="3"/>
    <x v="1"/>
    <n v="57"/>
    <n v="3"/>
    <n v="2"/>
    <x v="2"/>
    <x v="1"/>
    <s v="Married"/>
    <n v="4447"/>
    <n v="23163"/>
    <n v="1"/>
    <x v="1"/>
    <n v="12"/>
    <n v="3"/>
    <n v="2"/>
    <n v="0"/>
    <n v="9"/>
    <n v="5"/>
    <n v="2"/>
    <n v="9"/>
    <n v="7"/>
    <n v="0"/>
    <n v="8"/>
    <x v="0"/>
    <n v="0"/>
    <s v="30–39"/>
    <x v="1"/>
    <n v="1"/>
    <s v="Low"/>
  </r>
  <r>
    <n v="29"/>
    <s v="No"/>
    <s v="Travel_Frequently"/>
    <n v="1404"/>
    <x v="0"/>
    <n v="20"/>
    <n v="3"/>
    <s v="Technical Degree"/>
    <n v="974"/>
    <n v="3"/>
    <x v="0"/>
    <n v="84"/>
    <n v="3"/>
    <n v="1"/>
    <x v="6"/>
    <x v="0"/>
    <s v="Married"/>
    <n v="2157"/>
    <n v="18203"/>
    <n v="1"/>
    <x v="1"/>
    <n v="15"/>
    <n v="3"/>
    <n v="2"/>
    <n v="1"/>
    <n v="3"/>
    <n v="5"/>
    <n v="3"/>
    <n v="3"/>
    <n v="1"/>
    <n v="0"/>
    <n v="2"/>
    <x v="2"/>
    <n v="0"/>
    <s v="40–49"/>
    <x v="0"/>
    <n v="1"/>
    <s v="Low"/>
  </r>
  <r>
    <n v="35"/>
    <s v="No"/>
    <s v="Travel_Rarely"/>
    <n v="1219"/>
    <x v="0"/>
    <n v="18"/>
    <n v="3"/>
    <s v="Medical"/>
    <n v="975"/>
    <n v="3"/>
    <x v="0"/>
    <n v="86"/>
    <n v="3"/>
    <n v="2"/>
    <x v="0"/>
    <x v="2"/>
    <s v="Married"/>
    <n v="4601"/>
    <n v="6179"/>
    <n v="1"/>
    <x v="1"/>
    <n v="16"/>
    <n v="3"/>
    <n v="2"/>
    <n v="0"/>
    <n v="5"/>
    <n v="3"/>
    <n v="3"/>
    <n v="5"/>
    <n v="2"/>
    <n v="1"/>
    <n v="0"/>
    <x v="3"/>
    <n v="0"/>
    <s v="&lt;30"/>
    <x v="2"/>
    <n v="0"/>
    <s v="Low"/>
  </r>
  <r>
    <n v="52"/>
    <s v="No"/>
    <s v="Travel_Rarely"/>
    <n v="1053"/>
    <x v="1"/>
    <n v="1"/>
    <n v="2"/>
    <s v="Life Sciences"/>
    <n v="976"/>
    <n v="4"/>
    <x v="1"/>
    <n v="70"/>
    <n v="3"/>
    <n v="4"/>
    <x v="5"/>
    <x v="0"/>
    <s v="Married"/>
    <n v="17099"/>
    <n v="13829"/>
    <n v="2"/>
    <x v="1"/>
    <n v="15"/>
    <n v="3"/>
    <n v="2"/>
    <n v="1"/>
    <n v="26"/>
    <n v="2"/>
    <n v="2"/>
    <n v="9"/>
    <n v="8"/>
    <n v="7"/>
    <n v="8"/>
    <x v="0"/>
    <n v="0"/>
    <s v="30–39"/>
    <x v="0"/>
    <n v="0"/>
    <s v="Low"/>
  </r>
  <r>
    <n v="58"/>
    <s v="Yes"/>
    <s v="Travel_Rarely"/>
    <n v="289"/>
    <x v="1"/>
    <n v="2"/>
    <n v="3"/>
    <s v="Technical Degree"/>
    <n v="977"/>
    <n v="4"/>
    <x v="1"/>
    <n v="51"/>
    <n v="3"/>
    <n v="1"/>
    <x v="1"/>
    <x v="2"/>
    <s v="Single"/>
    <n v="2479"/>
    <n v="26227"/>
    <n v="4"/>
    <x v="1"/>
    <n v="24"/>
    <n v="4"/>
    <n v="1"/>
    <n v="0"/>
    <n v="7"/>
    <n v="4"/>
    <n v="3"/>
    <n v="1"/>
    <n v="0"/>
    <n v="0"/>
    <n v="0"/>
    <x v="2"/>
    <n v="1"/>
    <s v="50+"/>
    <x v="2"/>
    <n v="1"/>
    <s v="Low"/>
  </r>
  <r>
    <n v="53"/>
    <s v="No"/>
    <s v="Travel_Rarely"/>
    <n v="1376"/>
    <x v="0"/>
    <n v="2"/>
    <n v="2"/>
    <s v="Medical"/>
    <n v="981"/>
    <n v="3"/>
    <x v="1"/>
    <n v="45"/>
    <n v="3"/>
    <n v="4"/>
    <x v="5"/>
    <x v="2"/>
    <s v="Divorced"/>
    <n v="14852"/>
    <n v="13938"/>
    <n v="6"/>
    <x v="1"/>
    <n v="13"/>
    <n v="3"/>
    <n v="3"/>
    <n v="1"/>
    <n v="22"/>
    <n v="3"/>
    <n v="4"/>
    <n v="17"/>
    <n v="13"/>
    <n v="15"/>
    <n v="2"/>
    <x v="0"/>
    <n v="0"/>
    <s v="50+"/>
    <x v="2"/>
    <n v="0"/>
    <s v="Low"/>
  </r>
  <r>
    <n v="30"/>
    <s v="No"/>
    <s v="Travel_Rarely"/>
    <n v="231"/>
    <x v="0"/>
    <n v="8"/>
    <n v="2"/>
    <s v="Other"/>
    <n v="982"/>
    <n v="3"/>
    <x v="1"/>
    <n v="62"/>
    <n v="3"/>
    <n v="3"/>
    <x v="0"/>
    <x v="2"/>
    <s v="Divorced"/>
    <n v="7264"/>
    <n v="9977"/>
    <n v="5"/>
    <x v="1"/>
    <n v="11"/>
    <n v="3"/>
    <n v="1"/>
    <n v="1"/>
    <n v="10"/>
    <n v="2"/>
    <n v="4"/>
    <n v="8"/>
    <n v="4"/>
    <n v="7"/>
    <n v="7"/>
    <x v="0"/>
    <n v="0"/>
    <s v="50+"/>
    <x v="2"/>
    <n v="0"/>
    <s v="Low"/>
  </r>
  <r>
    <n v="38"/>
    <s v="No"/>
    <s v="Non-Travel"/>
    <n v="152"/>
    <x v="0"/>
    <n v="10"/>
    <n v="3"/>
    <s v="Technical Degree"/>
    <n v="983"/>
    <n v="3"/>
    <x v="0"/>
    <n v="85"/>
    <n v="3"/>
    <n v="2"/>
    <x v="0"/>
    <x v="0"/>
    <s v="Single"/>
    <n v="5666"/>
    <n v="19899"/>
    <n v="1"/>
    <x v="0"/>
    <n v="13"/>
    <n v="3"/>
    <n v="2"/>
    <n v="0"/>
    <n v="6"/>
    <n v="1"/>
    <n v="3"/>
    <n v="5"/>
    <n v="3"/>
    <n v="1"/>
    <n v="3"/>
    <x v="3"/>
    <n v="0"/>
    <s v="30–39"/>
    <x v="0"/>
    <n v="1"/>
    <s v="Low"/>
  </r>
  <r>
    <n v="35"/>
    <s v="No"/>
    <s v="Travel_Rarely"/>
    <n v="882"/>
    <x v="0"/>
    <n v="3"/>
    <n v="4"/>
    <s v="Life Sciences"/>
    <n v="984"/>
    <n v="4"/>
    <x v="1"/>
    <n v="92"/>
    <n v="3"/>
    <n v="3"/>
    <x v="0"/>
    <x v="0"/>
    <s v="Divorced"/>
    <n v="7823"/>
    <n v="6812"/>
    <n v="6"/>
    <x v="1"/>
    <n v="13"/>
    <n v="3"/>
    <n v="2"/>
    <n v="1"/>
    <n v="12"/>
    <n v="2"/>
    <n v="3"/>
    <n v="10"/>
    <n v="9"/>
    <n v="0"/>
    <n v="8"/>
    <x v="0"/>
    <n v="0"/>
    <s v="30–39"/>
    <x v="0"/>
    <n v="0"/>
    <s v="Low"/>
  </r>
  <r>
    <n v="39"/>
    <s v="No"/>
    <s v="Travel_Rarely"/>
    <n v="903"/>
    <x v="0"/>
    <n v="2"/>
    <n v="5"/>
    <s v="Life Sciences"/>
    <n v="985"/>
    <n v="1"/>
    <x v="1"/>
    <n v="41"/>
    <n v="4"/>
    <n v="3"/>
    <x v="0"/>
    <x v="2"/>
    <s v="Single"/>
    <n v="7880"/>
    <n v="2560"/>
    <n v="0"/>
    <x v="1"/>
    <n v="18"/>
    <n v="3"/>
    <n v="4"/>
    <n v="0"/>
    <n v="9"/>
    <n v="3"/>
    <n v="3"/>
    <n v="8"/>
    <n v="7"/>
    <n v="0"/>
    <n v="7"/>
    <x v="0"/>
    <n v="0"/>
    <s v="30–39"/>
    <x v="2"/>
    <n v="0"/>
    <s v="Low"/>
  </r>
  <r>
    <n v="40"/>
    <s v="Yes"/>
    <s v="Non-Travel"/>
    <n v="1479"/>
    <x v="0"/>
    <n v="24"/>
    <n v="3"/>
    <s v="Life Sciences"/>
    <n v="986"/>
    <n v="2"/>
    <x v="0"/>
    <n v="100"/>
    <n v="4"/>
    <n v="4"/>
    <x v="0"/>
    <x v="1"/>
    <s v="Single"/>
    <n v="13194"/>
    <n v="17071"/>
    <n v="4"/>
    <x v="0"/>
    <n v="16"/>
    <n v="3"/>
    <n v="4"/>
    <n v="0"/>
    <n v="22"/>
    <n v="2"/>
    <n v="2"/>
    <n v="1"/>
    <n v="0"/>
    <n v="0"/>
    <n v="0"/>
    <x v="2"/>
    <n v="1"/>
    <s v="30–39"/>
    <x v="1"/>
    <n v="3"/>
    <s v="High"/>
  </r>
  <r>
    <n v="47"/>
    <s v="No"/>
    <s v="Travel_Frequently"/>
    <n v="1379"/>
    <x v="1"/>
    <n v="16"/>
    <n v="4"/>
    <s v="Medical"/>
    <n v="987"/>
    <n v="3"/>
    <x v="1"/>
    <n v="64"/>
    <n v="4"/>
    <n v="2"/>
    <x v="3"/>
    <x v="2"/>
    <s v="Divorced"/>
    <n v="5067"/>
    <n v="6759"/>
    <n v="1"/>
    <x v="0"/>
    <n v="19"/>
    <n v="3"/>
    <n v="3"/>
    <n v="0"/>
    <n v="20"/>
    <n v="3"/>
    <n v="4"/>
    <n v="19"/>
    <n v="10"/>
    <n v="2"/>
    <n v="7"/>
    <x v="0"/>
    <n v="0"/>
    <s v="40–49"/>
    <x v="2"/>
    <n v="1"/>
    <s v="Low"/>
  </r>
  <r>
    <n v="36"/>
    <s v="No"/>
    <s v="Non-Travel"/>
    <n v="1229"/>
    <x v="0"/>
    <n v="8"/>
    <n v="4"/>
    <s v="Technical Degree"/>
    <n v="990"/>
    <n v="1"/>
    <x v="1"/>
    <n v="84"/>
    <n v="3"/>
    <n v="2"/>
    <x v="0"/>
    <x v="0"/>
    <s v="Divorced"/>
    <n v="5079"/>
    <n v="25952"/>
    <n v="4"/>
    <x v="1"/>
    <n v="13"/>
    <n v="3"/>
    <n v="4"/>
    <n v="2"/>
    <n v="12"/>
    <n v="3"/>
    <n v="3"/>
    <n v="7"/>
    <n v="7"/>
    <n v="0"/>
    <n v="7"/>
    <x v="0"/>
    <n v="0"/>
    <s v="40–49"/>
    <x v="0"/>
    <n v="0"/>
    <s v="Low"/>
  </r>
  <r>
    <n v="31"/>
    <s v="Yes"/>
    <s v="Non-Travel"/>
    <n v="335"/>
    <x v="1"/>
    <n v="9"/>
    <n v="2"/>
    <s v="Medical"/>
    <n v="991"/>
    <n v="3"/>
    <x v="1"/>
    <n v="46"/>
    <n v="2"/>
    <n v="1"/>
    <x v="1"/>
    <x v="3"/>
    <s v="Single"/>
    <n v="2321"/>
    <n v="10322"/>
    <n v="0"/>
    <x v="0"/>
    <n v="22"/>
    <n v="4"/>
    <n v="1"/>
    <n v="0"/>
    <n v="4"/>
    <n v="0"/>
    <n v="3"/>
    <n v="3"/>
    <n v="2"/>
    <n v="1"/>
    <n v="2"/>
    <x v="2"/>
    <n v="1"/>
    <s v="30–39"/>
    <x v="1"/>
    <n v="3"/>
    <s v="High"/>
  </r>
  <r>
    <n v="33"/>
    <s v="No"/>
    <s v="Non-Travel"/>
    <n v="722"/>
    <x v="0"/>
    <n v="17"/>
    <n v="3"/>
    <s v="Life Sciences"/>
    <n v="992"/>
    <n v="4"/>
    <x v="1"/>
    <n v="38"/>
    <n v="3"/>
    <n v="4"/>
    <x v="5"/>
    <x v="2"/>
    <s v="Single"/>
    <n v="17444"/>
    <n v="20489"/>
    <n v="1"/>
    <x v="1"/>
    <n v="11"/>
    <n v="3"/>
    <n v="4"/>
    <n v="0"/>
    <n v="10"/>
    <n v="2"/>
    <n v="3"/>
    <n v="10"/>
    <n v="8"/>
    <n v="6"/>
    <n v="0"/>
    <x v="0"/>
    <n v="0"/>
    <s v="30–39"/>
    <x v="2"/>
    <n v="0"/>
    <s v="Low"/>
  </r>
  <r>
    <n v="29"/>
    <s v="Yes"/>
    <s v="Travel_Rarely"/>
    <n v="906"/>
    <x v="1"/>
    <n v="10"/>
    <n v="3"/>
    <s v="Life Sciences"/>
    <n v="994"/>
    <n v="4"/>
    <x v="0"/>
    <n v="92"/>
    <n v="2"/>
    <n v="1"/>
    <x v="1"/>
    <x v="3"/>
    <s v="Single"/>
    <n v="2404"/>
    <n v="11479"/>
    <n v="6"/>
    <x v="0"/>
    <n v="20"/>
    <n v="4"/>
    <n v="3"/>
    <n v="0"/>
    <n v="3"/>
    <n v="5"/>
    <n v="3"/>
    <n v="0"/>
    <n v="0"/>
    <n v="0"/>
    <n v="0"/>
    <x v="1"/>
    <n v="1"/>
    <s v="30–39"/>
    <x v="1"/>
    <n v="3"/>
    <s v="High"/>
  </r>
  <r>
    <n v="33"/>
    <s v="No"/>
    <s v="Travel_Rarely"/>
    <n v="461"/>
    <x v="1"/>
    <n v="13"/>
    <n v="1"/>
    <s v="Life Sciences"/>
    <n v="995"/>
    <n v="2"/>
    <x v="0"/>
    <n v="53"/>
    <n v="3"/>
    <n v="1"/>
    <x v="1"/>
    <x v="0"/>
    <s v="Single"/>
    <n v="3452"/>
    <n v="17241"/>
    <n v="3"/>
    <x v="1"/>
    <n v="18"/>
    <n v="3"/>
    <n v="1"/>
    <n v="0"/>
    <n v="5"/>
    <n v="4"/>
    <n v="3"/>
    <n v="3"/>
    <n v="2"/>
    <n v="0"/>
    <n v="2"/>
    <x v="2"/>
    <n v="0"/>
    <s v="&lt;30"/>
    <x v="0"/>
    <n v="1"/>
    <s v="Low"/>
  </r>
  <r>
    <n v="45"/>
    <s v="No"/>
    <s v="Travel_Rarely"/>
    <n v="974"/>
    <x v="1"/>
    <n v="1"/>
    <n v="4"/>
    <s v="Medical"/>
    <n v="996"/>
    <n v="4"/>
    <x v="0"/>
    <n v="91"/>
    <n v="3"/>
    <n v="1"/>
    <x v="2"/>
    <x v="0"/>
    <s v="Divorced"/>
    <n v="2270"/>
    <n v="11005"/>
    <n v="3"/>
    <x v="1"/>
    <n v="14"/>
    <n v="3"/>
    <n v="4"/>
    <n v="2"/>
    <n v="8"/>
    <n v="2"/>
    <n v="3"/>
    <n v="5"/>
    <n v="3"/>
    <n v="0"/>
    <n v="2"/>
    <x v="3"/>
    <n v="0"/>
    <s v="30–39"/>
    <x v="0"/>
    <n v="0"/>
    <s v="Low"/>
  </r>
  <r>
    <n v="50"/>
    <s v="No"/>
    <s v="Travel_Rarely"/>
    <n v="1126"/>
    <x v="1"/>
    <n v="1"/>
    <n v="2"/>
    <s v="Medical"/>
    <n v="997"/>
    <n v="4"/>
    <x v="1"/>
    <n v="66"/>
    <n v="3"/>
    <n v="4"/>
    <x v="7"/>
    <x v="0"/>
    <s v="Divorced"/>
    <n v="17399"/>
    <n v="6615"/>
    <n v="9"/>
    <x v="1"/>
    <n v="22"/>
    <n v="4"/>
    <n v="3"/>
    <n v="1"/>
    <n v="32"/>
    <n v="1"/>
    <n v="2"/>
    <n v="5"/>
    <n v="4"/>
    <n v="1"/>
    <n v="3"/>
    <x v="3"/>
    <n v="0"/>
    <s v="40–49"/>
    <x v="0"/>
    <n v="0"/>
    <s v="Low"/>
  </r>
  <r>
    <n v="33"/>
    <s v="No"/>
    <s v="Travel_Frequently"/>
    <n v="827"/>
    <x v="1"/>
    <n v="1"/>
    <n v="4"/>
    <s v="Other"/>
    <n v="998"/>
    <n v="3"/>
    <x v="0"/>
    <n v="84"/>
    <n v="4"/>
    <n v="2"/>
    <x v="4"/>
    <x v="1"/>
    <s v="Married"/>
    <n v="5488"/>
    <n v="20161"/>
    <n v="1"/>
    <x v="0"/>
    <n v="13"/>
    <n v="3"/>
    <n v="1"/>
    <n v="1"/>
    <n v="6"/>
    <n v="2"/>
    <n v="3"/>
    <n v="6"/>
    <n v="5"/>
    <n v="1"/>
    <n v="2"/>
    <x v="0"/>
    <n v="0"/>
    <s v="50+"/>
    <x v="1"/>
    <n v="2"/>
    <s v="Medium"/>
  </r>
  <r>
    <n v="41"/>
    <s v="No"/>
    <s v="Travel_Frequently"/>
    <n v="840"/>
    <x v="1"/>
    <n v="9"/>
    <n v="3"/>
    <s v="Medical"/>
    <n v="999"/>
    <n v="1"/>
    <x v="1"/>
    <n v="64"/>
    <n v="3"/>
    <n v="5"/>
    <x v="7"/>
    <x v="2"/>
    <s v="Divorced"/>
    <n v="19419"/>
    <n v="3735"/>
    <n v="2"/>
    <x v="1"/>
    <n v="17"/>
    <n v="3"/>
    <n v="2"/>
    <n v="1"/>
    <n v="21"/>
    <n v="2"/>
    <n v="4"/>
    <n v="18"/>
    <n v="16"/>
    <n v="0"/>
    <n v="11"/>
    <x v="0"/>
    <n v="0"/>
    <s v="30–39"/>
    <x v="2"/>
    <n v="0"/>
    <s v="Low"/>
  </r>
  <r>
    <n v="27"/>
    <s v="No"/>
    <s v="Travel_Rarely"/>
    <n v="1134"/>
    <x v="1"/>
    <n v="16"/>
    <n v="4"/>
    <s v="Technical Degree"/>
    <n v="1001"/>
    <n v="3"/>
    <x v="0"/>
    <n v="37"/>
    <n v="3"/>
    <n v="1"/>
    <x v="2"/>
    <x v="1"/>
    <s v="Married"/>
    <n v="2811"/>
    <n v="12086"/>
    <n v="9"/>
    <x v="1"/>
    <n v="14"/>
    <n v="3"/>
    <n v="2"/>
    <n v="1"/>
    <n v="4"/>
    <n v="2"/>
    <n v="3"/>
    <n v="2"/>
    <n v="2"/>
    <n v="2"/>
    <n v="2"/>
    <x v="2"/>
    <n v="0"/>
    <s v="40–49"/>
    <x v="1"/>
    <n v="2"/>
    <s v="Medium"/>
  </r>
  <r>
    <n v="45"/>
    <s v="No"/>
    <s v="Non-Travel"/>
    <n v="248"/>
    <x v="1"/>
    <n v="23"/>
    <n v="2"/>
    <s v="Life Sciences"/>
    <n v="1002"/>
    <n v="4"/>
    <x v="1"/>
    <n v="42"/>
    <n v="3"/>
    <n v="2"/>
    <x v="2"/>
    <x v="3"/>
    <s v="Married"/>
    <n v="3633"/>
    <n v="14039"/>
    <n v="1"/>
    <x v="0"/>
    <n v="15"/>
    <n v="3"/>
    <n v="3"/>
    <n v="1"/>
    <n v="9"/>
    <n v="2"/>
    <n v="3"/>
    <n v="9"/>
    <n v="8"/>
    <n v="0"/>
    <n v="8"/>
    <x v="0"/>
    <n v="0"/>
    <s v="&lt;30"/>
    <x v="1"/>
    <n v="2"/>
    <s v="Medium"/>
  </r>
  <r>
    <n v="47"/>
    <s v="No"/>
    <s v="Travel_Rarely"/>
    <n v="955"/>
    <x v="0"/>
    <n v="4"/>
    <n v="2"/>
    <s v="Life Sciences"/>
    <n v="1003"/>
    <n v="4"/>
    <x v="0"/>
    <n v="83"/>
    <n v="3"/>
    <n v="2"/>
    <x v="0"/>
    <x v="0"/>
    <s v="Single"/>
    <n v="4163"/>
    <n v="8571"/>
    <n v="1"/>
    <x v="0"/>
    <n v="17"/>
    <n v="3"/>
    <n v="3"/>
    <n v="0"/>
    <n v="9"/>
    <n v="0"/>
    <n v="3"/>
    <n v="9"/>
    <n v="0"/>
    <n v="0"/>
    <n v="7"/>
    <x v="0"/>
    <n v="0"/>
    <s v="40–49"/>
    <x v="0"/>
    <n v="1"/>
    <s v="Low"/>
  </r>
  <r>
    <n v="30"/>
    <s v="Yes"/>
    <s v="Travel_Rarely"/>
    <n v="138"/>
    <x v="1"/>
    <n v="22"/>
    <n v="3"/>
    <s v="Life Sciences"/>
    <n v="1004"/>
    <n v="1"/>
    <x v="0"/>
    <n v="48"/>
    <n v="3"/>
    <n v="1"/>
    <x v="1"/>
    <x v="2"/>
    <s v="Married"/>
    <n v="2132"/>
    <n v="11539"/>
    <n v="4"/>
    <x v="0"/>
    <n v="11"/>
    <n v="3"/>
    <n v="2"/>
    <n v="0"/>
    <n v="7"/>
    <n v="2"/>
    <n v="3"/>
    <n v="5"/>
    <n v="2"/>
    <n v="0"/>
    <n v="1"/>
    <x v="3"/>
    <n v="1"/>
    <s v="40–49"/>
    <x v="2"/>
    <n v="1"/>
    <s v="Low"/>
  </r>
  <r>
    <n v="50"/>
    <s v="No"/>
    <s v="Travel_Rarely"/>
    <n v="939"/>
    <x v="1"/>
    <n v="24"/>
    <n v="3"/>
    <s v="Life Sciences"/>
    <n v="1005"/>
    <n v="4"/>
    <x v="1"/>
    <n v="95"/>
    <n v="3"/>
    <n v="4"/>
    <x v="3"/>
    <x v="2"/>
    <s v="Married"/>
    <n v="13973"/>
    <n v="4161"/>
    <n v="3"/>
    <x v="0"/>
    <n v="18"/>
    <n v="3"/>
    <n v="4"/>
    <n v="1"/>
    <n v="22"/>
    <n v="2"/>
    <n v="3"/>
    <n v="12"/>
    <n v="11"/>
    <n v="1"/>
    <n v="5"/>
    <x v="0"/>
    <n v="0"/>
    <s v="30–39"/>
    <x v="2"/>
    <n v="1"/>
    <s v="Low"/>
  </r>
  <r>
    <n v="38"/>
    <s v="No"/>
    <s v="Travel_Frequently"/>
    <n v="1391"/>
    <x v="1"/>
    <n v="10"/>
    <n v="1"/>
    <s v="Medical"/>
    <n v="1006"/>
    <n v="3"/>
    <x v="1"/>
    <n v="66"/>
    <n v="3"/>
    <n v="1"/>
    <x v="1"/>
    <x v="2"/>
    <s v="Married"/>
    <n v="2684"/>
    <n v="12127"/>
    <n v="0"/>
    <x v="1"/>
    <n v="17"/>
    <n v="3"/>
    <n v="2"/>
    <n v="1"/>
    <n v="3"/>
    <n v="0"/>
    <n v="2"/>
    <n v="2"/>
    <n v="1"/>
    <n v="0"/>
    <n v="2"/>
    <x v="2"/>
    <n v="0"/>
    <s v="50+"/>
    <x v="2"/>
    <n v="1"/>
    <s v="Low"/>
  </r>
  <r>
    <n v="46"/>
    <s v="No"/>
    <s v="Travel_Rarely"/>
    <n v="566"/>
    <x v="1"/>
    <n v="7"/>
    <n v="2"/>
    <s v="Medical"/>
    <n v="1007"/>
    <n v="4"/>
    <x v="1"/>
    <n v="75"/>
    <n v="3"/>
    <n v="3"/>
    <x v="3"/>
    <x v="2"/>
    <s v="Divorced"/>
    <n v="10845"/>
    <n v="24208"/>
    <n v="6"/>
    <x v="1"/>
    <n v="13"/>
    <n v="3"/>
    <n v="2"/>
    <n v="1"/>
    <n v="13"/>
    <n v="3"/>
    <n v="3"/>
    <n v="8"/>
    <n v="7"/>
    <n v="0"/>
    <n v="7"/>
    <x v="0"/>
    <n v="0"/>
    <s v="30–39"/>
    <x v="2"/>
    <n v="0"/>
    <s v="Low"/>
  </r>
  <r>
    <n v="24"/>
    <s v="No"/>
    <s v="Travel_Rarely"/>
    <n v="1206"/>
    <x v="1"/>
    <n v="17"/>
    <n v="1"/>
    <s v="Medical"/>
    <n v="1009"/>
    <n v="4"/>
    <x v="0"/>
    <n v="41"/>
    <n v="2"/>
    <n v="2"/>
    <x v="3"/>
    <x v="2"/>
    <s v="Divorced"/>
    <n v="4377"/>
    <n v="24117"/>
    <n v="1"/>
    <x v="1"/>
    <n v="15"/>
    <n v="3"/>
    <n v="2"/>
    <n v="2"/>
    <n v="5"/>
    <n v="6"/>
    <n v="3"/>
    <n v="4"/>
    <n v="2"/>
    <n v="3"/>
    <n v="2"/>
    <x v="3"/>
    <n v="0"/>
    <s v="40–49"/>
    <x v="2"/>
    <n v="0"/>
    <s v="Low"/>
  </r>
  <r>
    <n v="35"/>
    <s v="Yes"/>
    <s v="Travel_Rarely"/>
    <n v="622"/>
    <x v="1"/>
    <n v="14"/>
    <n v="4"/>
    <s v="Other"/>
    <n v="1010"/>
    <n v="3"/>
    <x v="1"/>
    <n v="39"/>
    <n v="2"/>
    <n v="1"/>
    <x v="2"/>
    <x v="1"/>
    <s v="Divorced"/>
    <n v="3743"/>
    <n v="10074"/>
    <n v="1"/>
    <x v="0"/>
    <n v="24"/>
    <n v="4"/>
    <n v="4"/>
    <n v="1"/>
    <n v="5"/>
    <n v="2"/>
    <n v="1"/>
    <n v="4"/>
    <n v="2"/>
    <n v="0"/>
    <n v="2"/>
    <x v="3"/>
    <n v="1"/>
    <s v="&lt;30"/>
    <x v="1"/>
    <n v="2"/>
    <s v="Medium"/>
  </r>
  <r>
    <n v="31"/>
    <s v="No"/>
    <s v="Travel_Frequently"/>
    <n v="853"/>
    <x v="1"/>
    <n v="1"/>
    <n v="1"/>
    <s v="Life Sciences"/>
    <n v="1011"/>
    <n v="3"/>
    <x v="0"/>
    <n v="96"/>
    <n v="3"/>
    <n v="2"/>
    <x v="3"/>
    <x v="3"/>
    <s v="Married"/>
    <n v="4148"/>
    <n v="11275"/>
    <n v="1"/>
    <x v="1"/>
    <n v="12"/>
    <n v="3"/>
    <n v="3"/>
    <n v="1"/>
    <n v="4"/>
    <n v="1"/>
    <n v="3"/>
    <n v="4"/>
    <n v="3"/>
    <n v="0"/>
    <n v="3"/>
    <x v="3"/>
    <n v="0"/>
    <s v="30–39"/>
    <x v="1"/>
    <n v="1"/>
    <s v="Low"/>
  </r>
  <r>
    <n v="18"/>
    <s v="No"/>
    <s v="Non-Travel"/>
    <n v="287"/>
    <x v="1"/>
    <n v="5"/>
    <n v="2"/>
    <s v="Life Sciences"/>
    <n v="1012"/>
    <n v="2"/>
    <x v="1"/>
    <n v="73"/>
    <n v="3"/>
    <n v="1"/>
    <x v="1"/>
    <x v="0"/>
    <s v="Single"/>
    <n v="1051"/>
    <n v="13493"/>
    <n v="1"/>
    <x v="1"/>
    <n v="15"/>
    <n v="3"/>
    <n v="4"/>
    <n v="0"/>
    <n v="0"/>
    <n v="2"/>
    <n v="3"/>
    <n v="0"/>
    <n v="0"/>
    <n v="0"/>
    <n v="0"/>
    <x v="1"/>
    <n v="0"/>
    <s v="30–39"/>
    <x v="0"/>
    <n v="1"/>
    <s v="Low"/>
  </r>
  <r>
    <n v="54"/>
    <s v="No"/>
    <s v="Travel_Rarely"/>
    <n v="1441"/>
    <x v="1"/>
    <n v="17"/>
    <n v="3"/>
    <s v="Technical Degree"/>
    <n v="1013"/>
    <n v="3"/>
    <x v="0"/>
    <n v="56"/>
    <n v="3"/>
    <n v="3"/>
    <x v="3"/>
    <x v="2"/>
    <s v="Married"/>
    <n v="10739"/>
    <n v="13943"/>
    <n v="8"/>
    <x v="1"/>
    <n v="11"/>
    <n v="3"/>
    <n v="3"/>
    <n v="1"/>
    <n v="22"/>
    <n v="2"/>
    <n v="3"/>
    <n v="10"/>
    <n v="7"/>
    <n v="0"/>
    <n v="8"/>
    <x v="0"/>
    <n v="0"/>
    <s v="&lt;30"/>
    <x v="2"/>
    <n v="0"/>
    <s v="Low"/>
  </r>
  <r>
    <n v="35"/>
    <s v="No"/>
    <s v="Travel_Rarely"/>
    <n v="583"/>
    <x v="1"/>
    <n v="25"/>
    <n v="4"/>
    <s v="Medical"/>
    <n v="1014"/>
    <n v="3"/>
    <x v="0"/>
    <n v="57"/>
    <n v="3"/>
    <n v="3"/>
    <x v="4"/>
    <x v="2"/>
    <s v="Divorced"/>
    <n v="10388"/>
    <n v="6975"/>
    <n v="1"/>
    <x v="0"/>
    <n v="11"/>
    <n v="3"/>
    <n v="3"/>
    <n v="1"/>
    <n v="16"/>
    <n v="3"/>
    <n v="2"/>
    <n v="16"/>
    <n v="10"/>
    <n v="10"/>
    <n v="1"/>
    <x v="0"/>
    <n v="0"/>
    <s v="50+"/>
    <x v="2"/>
    <n v="1"/>
    <s v="Low"/>
  </r>
  <r>
    <n v="30"/>
    <s v="No"/>
    <s v="Travel_Rarely"/>
    <n v="153"/>
    <x v="1"/>
    <n v="8"/>
    <n v="2"/>
    <s v="Life Sciences"/>
    <n v="1015"/>
    <n v="2"/>
    <x v="0"/>
    <n v="73"/>
    <n v="4"/>
    <n v="3"/>
    <x v="7"/>
    <x v="3"/>
    <s v="Married"/>
    <n v="11416"/>
    <n v="17802"/>
    <n v="0"/>
    <x v="0"/>
    <n v="12"/>
    <n v="3"/>
    <n v="3"/>
    <n v="3"/>
    <n v="9"/>
    <n v="4"/>
    <n v="2"/>
    <n v="8"/>
    <n v="7"/>
    <n v="1"/>
    <n v="7"/>
    <x v="0"/>
    <n v="0"/>
    <s v="30–39"/>
    <x v="1"/>
    <n v="2"/>
    <s v="Medium"/>
  </r>
  <r>
    <n v="20"/>
    <s v="Yes"/>
    <s v="Travel_Rarely"/>
    <n v="1097"/>
    <x v="1"/>
    <n v="11"/>
    <n v="3"/>
    <s v="Medical"/>
    <n v="1016"/>
    <n v="4"/>
    <x v="0"/>
    <n v="98"/>
    <n v="2"/>
    <n v="1"/>
    <x v="1"/>
    <x v="3"/>
    <s v="Single"/>
    <n v="2600"/>
    <n v="18275"/>
    <n v="1"/>
    <x v="0"/>
    <n v="15"/>
    <n v="3"/>
    <n v="1"/>
    <n v="0"/>
    <n v="1"/>
    <n v="2"/>
    <n v="3"/>
    <n v="1"/>
    <n v="0"/>
    <n v="0"/>
    <n v="0"/>
    <x v="2"/>
    <n v="1"/>
    <s v="30–39"/>
    <x v="1"/>
    <n v="3"/>
    <s v="High"/>
  </r>
  <r>
    <n v="30"/>
    <s v="Yes"/>
    <s v="Travel_Frequently"/>
    <n v="109"/>
    <x v="1"/>
    <n v="5"/>
    <n v="3"/>
    <s v="Medical"/>
    <n v="1017"/>
    <n v="2"/>
    <x v="0"/>
    <n v="60"/>
    <n v="3"/>
    <n v="1"/>
    <x v="2"/>
    <x v="1"/>
    <s v="Single"/>
    <n v="2422"/>
    <n v="25725"/>
    <n v="0"/>
    <x v="1"/>
    <n v="17"/>
    <n v="3"/>
    <n v="1"/>
    <n v="0"/>
    <n v="4"/>
    <n v="3"/>
    <n v="3"/>
    <n v="3"/>
    <n v="2"/>
    <n v="1"/>
    <n v="2"/>
    <x v="2"/>
    <n v="1"/>
    <s v="&lt;30"/>
    <x v="1"/>
    <n v="2"/>
    <s v="Medium"/>
  </r>
  <r>
    <n v="26"/>
    <s v="No"/>
    <s v="Travel_Rarely"/>
    <n v="1066"/>
    <x v="1"/>
    <n v="2"/>
    <n v="2"/>
    <s v="Medical"/>
    <n v="1018"/>
    <n v="4"/>
    <x v="1"/>
    <n v="32"/>
    <n v="4"/>
    <n v="2"/>
    <x v="3"/>
    <x v="0"/>
    <s v="Married"/>
    <n v="5472"/>
    <n v="3334"/>
    <n v="1"/>
    <x v="1"/>
    <n v="12"/>
    <n v="3"/>
    <n v="2"/>
    <n v="0"/>
    <n v="8"/>
    <n v="2"/>
    <n v="3"/>
    <n v="8"/>
    <n v="7"/>
    <n v="1"/>
    <n v="3"/>
    <x v="0"/>
    <n v="0"/>
    <s v="30–39"/>
    <x v="0"/>
    <n v="0"/>
    <s v="Low"/>
  </r>
  <r>
    <n v="22"/>
    <s v="No"/>
    <s v="Travel_Rarely"/>
    <n v="217"/>
    <x v="1"/>
    <n v="8"/>
    <n v="1"/>
    <s v="Life Sciences"/>
    <n v="1019"/>
    <n v="2"/>
    <x v="1"/>
    <n v="94"/>
    <n v="1"/>
    <n v="1"/>
    <x v="2"/>
    <x v="3"/>
    <s v="Married"/>
    <n v="2451"/>
    <n v="6881"/>
    <n v="1"/>
    <x v="1"/>
    <n v="15"/>
    <n v="3"/>
    <n v="1"/>
    <n v="1"/>
    <n v="4"/>
    <n v="3"/>
    <n v="2"/>
    <n v="4"/>
    <n v="3"/>
    <n v="1"/>
    <n v="1"/>
    <x v="3"/>
    <n v="0"/>
    <s v="&lt;30"/>
    <x v="1"/>
    <n v="1"/>
    <s v="Low"/>
  </r>
  <r>
    <n v="48"/>
    <s v="No"/>
    <s v="Travel_Rarely"/>
    <n v="277"/>
    <x v="1"/>
    <n v="6"/>
    <n v="3"/>
    <s v="Life Sciences"/>
    <n v="1022"/>
    <n v="1"/>
    <x v="1"/>
    <n v="97"/>
    <n v="2"/>
    <n v="2"/>
    <x v="4"/>
    <x v="2"/>
    <s v="Single"/>
    <n v="4240"/>
    <n v="13119"/>
    <n v="2"/>
    <x v="1"/>
    <n v="13"/>
    <n v="3"/>
    <n v="4"/>
    <n v="0"/>
    <n v="19"/>
    <n v="0"/>
    <n v="3"/>
    <n v="2"/>
    <n v="2"/>
    <n v="2"/>
    <n v="2"/>
    <x v="2"/>
    <n v="0"/>
    <s v="&lt;30"/>
    <x v="2"/>
    <n v="1"/>
    <s v="Low"/>
  </r>
  <r>
    <n v="48"/>
    <s v="No"/>
    <s v="Travel_Rarely"/>
    <n v="1355"/>
    <x v="1"/>
    <n v="4"/>
    <n v="4"/>
    <s v="Life Sciences"/>
    <n v="1024"/>
    <n v="3"/>
    <x v="1"/>
    <n v="78"/>
    <n v="2"/>
    <n v="3"/>
    <x v="4"/>
    <x v="2"/>
    <s v="Single"/>
    <n v="10999"/>
    <n v="22245"/>
    <n v="7"/>
    <x v="1"/>
    <n v="14"/>
    <n v="3"/>
    <n v="2"/>
    <n v="0"/>
    <n v="27"/>
    <n v="3"/>
    <n v="3"/>
    <n v="15"/>
    <n v="11"/>
    <n v="4"/>
    <n v="8"/>
    <x v="0"/>
    <n v="0"/>
    <s v="40–49"/>
    <x v="2"/>
    <n v="0"/>
    <s v="Low"/>
  </r>
  <r>
    <n v="41"/>
    <s v="No"/>
    <s v="Travel_Rarely"/>
    <n v="549"/>
    <x v="1"/>
    <n v="7"/>
    <n v="2"/>
    <s v="Medical"/>
    <n v="1025"/>
    <n v="4"/>
    <x v="0"/>
    <n v="42"/>
    <n v="3"/>
    <n v="2"/>
    <x v="3"/>
    <x v="2"/>
    <s v="Single"/>
    <n v="5003"/>
    <n v="23371"/>
    <n v="6"/>
    <x v="1"/>
    <n v="14"/>
    <n v="3"/>
    <n v="2"/>
    <n v="0"/>
    <n v="8"/>
    <n v="6"/>
    <n v="3"/>
    <n v="2"/>
    <n v="2"/>
    <n v="2"/>
    <n v="1"/>
    <x v="2"/>
    <n v="0"/>
    <s v="40–49"/>
    <x v="2"/>
    <n v="1"/>
    <s v="Low"/>
  </r>
  <r>
    <n v="39"/>
    <s v="No"/>
    <s v="Travel_Rarely"/>
    <n v="466"/>
    <x v="1"/>
    <n v="1"/>
    <n v="1"/>
    <s v="Life Sciences"/>
    <n v="1026"/>
    <n v="4"/>
    <x v="0"/>
    <n v="65"/>
    <n v="2"/>
    <n v="4"/>
    <x v="3"/>
    <x v="0"/>
    <s v="Married"/>
    <n v="12742"/>
    <n v="7060"/>
    <n v="1"/>
    <x v="1"/>
    <n v="16"/>
    <n v="3"/>
    <n v="3"/>
    <n v="1"/>
    <n v="21"/>
    <n v="3"/>
    <n v="3"/>
    <n v="21"/>
    <n v="6"/>
    <n v="11"/>
    <n v="8"/>
    <x v="0"/>
    <n v="0"/>
    <s v="40–49"/>
    <x v="0"/>
    <n v="0"/>
    <s v="Low"/>
  </r>
  <r>
    <n v="27"/>
    <s v="No"/>
    <s v="Travel_Rarely"/>
    <n v="1055"/>
    <x v="1"/>
    <n v="2"/>
    <n v="4"/>
    <s v="Life Sciences"/>
    <n v="1027"/>
    <n v="1"/>
    <x v="0"/>
    <n v="47"/>
    <n v="3"/>
    <n v="2"/>
    <x v="3"/>
    <x v="0"/>
    <s v="Married"/>
    <n v="4227"/>
    <n v="4658"/>
    <n v="0"/>
    <x v="1"/>
    <n v="18"/>
    <n v="3"/>
    <n v="2"/>
    <n v="1"/>
    <n v="4"/>
    <n v="2"/>
    <n v="3"/>
    <n v="3"/>
    <n v="2"/>
    <n v="2"/>
    <n v="2"/>
    <x v="2"/>
    <n v="0"/>
    <s v="30–39"/>
    <x v="0"/>
    <n v="1"/>
    <s v="Low"/>
  </r>
  <r>
    <n v="35"/>
    <s v="No"/>
    <s v="Travel_Rarely"/>
    <n v="802"/>
    <x v="1"/>
    <n v="10"/>
    <n v="3"/>
    <s v="Other"/>
    <n v="1028"/>
    <n v="2"/>
    <x v="1"/>
    <n v="45"/>
    <n v="3"/>
    <n v="1"/>
    <x v="2"/>
    <x v="0"/>
    <s v="Divorced"/>
    <n v="3917"/>
    <n v="9541"/>
    <n v="1"/>
    <x v="1"/>
    <n v="20"/>
    <n v="4"/>
    <n v="1"/>
    <n v="1"/>
    <n v="3"/>
    <n v="4"/>
    <n v="2"/>
    <n v="3"/>
    <n v="2"/>
    <n v="1"/>
    <n v="2"/>
    <x v="2"/>
    <n v="0"/>
    <s v="&lt;30"/>
    <x v="0"/>
    <n v="1"/>
    <s v="Low"/>
  </r>
  <r>
    <n v="42"/>
    <s v="No"/>
    <s v="Travel_Rarely"/>
    <n v="265"/>
    <x v="0"/>
    <n v="5"/>
    <n v="2"/>
    <s v="Marketing"/>
    <n v="1029"/>
    <n v="4"/>
    <x v="1"/>
    <n v="90"/>
    <n v="3"/>
    <n v="5"/>
    <x v="5"/>
    <x v="2"/>
    <s v="Married"/>
    <n v="18303"/>
    <n v="7770"/>
    <n v="6"/>
    <x v="1"/>
    <n v="13"/>
    <n v="3"/>
    <n v="2"/>
    <n v="0"/>
    <n v="21"/>
    <n v="3"/>
    <n v="4"/>
    <n v="1"/>
    <n v="0"/>
    <n v="0"/>
    <n v="0"/>
    <x v="2"/>
    <n v="0"/>
    <s v="30–39"/>
    <x v="2"/>
    <n v="1"/>
    <s v="Low"/>
  </r>
  <r>
    <n v="50"/>
    <s v="No"/>
    <s v="Travel_Rarely"/>
    <n v="804"/>
    <x v="1"/>
    <n v="9"/>
    <n v="3"/>
    <s v="Life Sciences"/>
    <n v="1030"/>
    <n v="1"/>
    <x v="1"/>
    <n v="64"/>
    <n v="3"/>
    <n v="1"/>
    <x v="2"/>
    <x v="0"/>
    <s v="Married"/>
    <n v="2380"/>
    <n v="20165"/>
    <n v="4"/>
    <x v="1"/>
    <n v="18"/>
    <n v="3"/>
    <n v="2"/>
    <n v="0"/>
    <n v="8"/>
    <n v="5"/>
    <n v="3"/>
    <n v="1"/>
    <n v="0"/>
    <n v="0"/>
    <n v="0"/>
    <x v="2"/>
    <n v="0"/>
    <s v="40–49"/>
    <x v="0"/>
    <n v="1"/>
    <s v="Low"/>
  </r>
  <r>
    <n v="59"/>
    <s v="No"/>
    <s v="Travel_Rarely"/>
    <n v="715"/>
    <x v="1"/>
    <n v="2"/>
    <n v="3"/>
    <s v="Life Sciences"/>
    <n v="1032"/>
    <n v="3"/>
    <x v="0"/>
    <n v="69"/>
    <n v="2"/>
    <n v="4"/>
    <x v="3"/>
    <x v="0"/>
    <s v="Single"/>
    <n v="13726"/>
    <n v="21829"/>
    <n v="3"/>
    <x v="0"/>
    <n v="13"/>
    <n v="3"/>
    <n v="1"/>
    <n v="0"/>
    <n v="30"/>
    <n v="4"/>
    <n v="3"/>
    <n v="5"/>
    <n v="3"/>
    <n v="4"/>
    <n v="3"/>
    <x v="3"/>
    <n v="0"/>
    <s v="50+"/>
    <x v="0"/>
    <n v="1"/>
    <s v="Low"/>
  </r>
  <r>
    <n v="37"/>
    <s v="Yes"/>
    <s v="Travel_Rarely"/>
    <n v="1141"/>
    <x v="1"/>
    <n v="11"/>
    <n v="2"/>
    <s v="Medical"/>
    <n v="1033"/>
    <n v="1"/>
    <x v="0"/>
    <n v="61"/>
    <n v="1"/>
    <n v="2"/>
    <x v="4"/>
    <x v="1"/>
    <s v="Married"/>
    <n v="4777"/>
    <n v="14382"/>
    <n v="5"/>
    <x v="1"/>
    <n v="15"/>
    <n v="3"/>
    <n v="1"/>
    <n v="0"/>
    <n v="15"/>
    <n v="2"/>
    <n v="1"/>
    <n v="1"/>
    <n v="0"/>
    <n v="0"/>
    <n v="0"/>
    <x v="2"/>
    <n v="1"/>
    <s v="50+"/>
    <x v="1"/>
    <n v="2"/>
    <s v="Medium"/>
  </r>
  <r>
    <n v="55"/>
    <s v="No"/>
    <s v="Travel_Frequently"/>
    <n v="135"/>
    <x v="1"/>
    <n v="18"/>
    <n v="4"/>
    <s v="Medical"/>
    <n v="1034"/>
    <n v="3"/>
    <x v="1"/>
    <n v="62"/>
    <n v="3"/>
    <n v="2"/>
    <x v="4"/>
    <x v="1"/>
    <s v="Married"/>
    <n v="6385"/>
    <n v="12992"/>
    <n v="3"/>
    <x v="0"/>
    <n v="14"/>
    <n v="3"/>
    <n v="4"/>
    <n v="2"/>
    <n v="17"/>
    <n v="3"/>
    <n v="3"/>
    <n v="8"/>
    <n v="7"/>
    <n v="6"/>
    <n v="7"/>
    <x v="0"/>
    <n v="0"/>
    <s v="30–39"/>
    <x v="1"/>
    <n v="2"/>
    <s v="Medium"/>
  </r>
  <r>
    <n v="41"/>
    <s v="No"/>
    <s v="Non-Travel"/>
    <n v="247"/>
    <x v="1"/>
    <n v="7"/>
    <n v="1"/>
    <s v="Life Sciences"/>
    <n v="1035"/>
    <n v="2"/>
    <x v="0"/>
    <n v="55"/>
    <n v="1"/>
    <n v="5"/>
    <x v="7"/>
    <x v="2"/>
    <s v="Divorced"/>
    <n v="19973"/>
    <n v="20284"/>
    <n v="1"/>
    <x v="1"/>
    <n v="22"/>
    <n v="4"/>
    <n v="2"/>
    <n v="2"/>
    <n v="21"/>
    <n v="3"/>
    <n v="3"/>
    <n v="21"/>
    <n v="16"/>
    <n v="5"/>
    <n v="10"/>
    <x v="0"/>
    <n v="0"/>
    <s v="50+"/>
    <x v="2"/>
    <n v="0"/>
    <s v="Low"/>
  </r>
  <r>
    <n v="38"/>
    <s v="No"/>
    <s v="Travel_Rarely"/>
    <n v="1035"/>
    <x v="0"/>
    <n v="3"/>
    <n v="4"/>
    <s v="Life Sciences"/>
    <n v="1036"/>
    <n v="2"/>
    <x v="1"/>
    <n v="42"/>
    <n v="3"/>
    <n v="2"/>
    <x v="0"/>
    <x v="0"/>
    <s v="Single"/>
    <n v="6861"/>
    <n v="4981"/>
    <n v="8"/>
    <x v="0"/>
    <n v="12"/>
    <n v="3"/>
    <n v="3"/>
    <n v="0"/>
    <n v="19"/>
    <n v="1"/>
    <n v="3"/>
    <n v="1"/>
    <n v="0"/>
    <n v="0"/>
    <n v="0"/>
    <x v="2"/>
    <n v="0"/>
    <s v="40–49"/>
    <x v="0"/>
    <n v="2"/>
    <s v="Medium"/>
  </r>
  <r>
    <n v="26"/>
    <s v="Yes"/>
    <s v="Non-Travel"/>
    <n v="265"/>
    <x v="0"/>
    <n v="29"/>
    <n v="2"/>
    <s v="Medical"/>
    <n v="1037"/>
    <n v="2"/>
    <x v="1"/>
    <n v="79"/>
    <n v="1"/>
    <n v="2"/>
    <x v="0"/>
    <x v="3"/>
    <s v="Single"/>
    <n v="4969"/>
    <n v="21813"/>
    <n v="8"/>
    <x v="1"/>
    <n v="18"/>
    <n v="3"/>
    <n v="4"/>
    <n v="0"/>
    <n v="7"/>
    <n v="6"/>
    <n v="3"/>
    <n v="2"/>
    <n v="2"/>
    <n v="2"/>
    <n v="2"/>
    <x v="2"/>
    <n v="1"/>
    <s v="30–39"/>
    <x v="1"/>
    <n v="2"/>
    <s v="Medium"/>
  </r>
  <r>
    <n v="52"/>
    <s v="Yes"/>
    <s v="Travel_Rarely"/>
    <n v="266"/>
    <x v="0"/>
    <n v="2"/>
    <n v="1"/>
    <s v="Marketing"/>
    <n v="1038"/>
    <n v="1"/>
    <x v="0"/>
    <n v="57"/>
    <n v="1"/>
    <n v="5"/>
    <x v="5"/>
    <x v="0"/>
    <s v="Married"/>
    <n v="19845"/>
    <n v="25846"/>
    <n v="1"/>
    <x v="1"/>
    <n v="15"/>
    <n v="3"/>
    <n v="4"/>
    <n v="1"/>
    <n v="33"/>
    <n v="3"/>
    <n v="3"/>
    <n v="32"/>
    <n v="14"/>
    <n v="6"/>
    <n v="9"/>
    <x v="0"/>
    <n v="1"/>
    <s v="&lt;30"/>
    <x v="0"/>
    <n v="0"/>
    <s v="Low"/>
  </r>
  <r>
    <n v="44"/>
    <s v="No"/>
    <s v="Travel_Rarely"/>
    <n v="1448"/>
    <x v="0"/>
    <n v="28"/>
    <n v="3"/>
    <s v="Medical"/>
    <n v="1039"/>
    <n v="4"/>
    <x v="0"/>
    <n v="53"/>
    <n v="4"/>
    <n v="4"/>
    <x v="0"/>
    <x v="0"/>
    <s v="Married"/>
    <n v="13320"/>
    <n v="11737"/>
    <n v="3"/>
    <x v="0"/>
    <n v="18"/>
    <n v="3"/>
    <n v="3"/>
    <n v="1"/>
    <n v="23"/>
    <n v="2"/>
    <n v="3"/>
    <n v="12"/>
    <n v="11"/>
    <n v="11"/>
    <n v="11"/>
    <x v="0"/>
    <n v="0"/>
    <s v="50+"/>
    <x v="0"/>
    <n v="1"/>
    <s v="Low"/>
  </r>
  <r>
    <n v="50"/>
    <s v="No"/>
    <s v="Non-Travel"/>
    <n v="145"/>
    <x v="0"/>
    <n v="1"/>
    <n v="3"/>
    <s v="Life Sciences"/>
    <n v="1040"/>
    <n v="4"/>
    <x v="0"/>
    <n v="95"/>
    <n v="3"/>
    <n v="2"/>
    <x v="0"/>
    <x v="2"/>
    <s v="Married"/>
    <n v="6347"/>
    <n v="24920"/>
    <n v="0"/>
    <x v="1"/>
    <n v="12"/>
    <n v="3"/>
    <n v="1"/>
    <n v="1"/>
    <n v="19"/>
    <n v="3"/>
    <n v="3"/>
    <n v="18"/>
    <n v="7"/>
    <n v="0"/>
    <n v="13"/>
    <x v="0"/>
    <n v="0"/>
    <s v="40–49"/>
    <x v="2"/>
    <n v="0"/>
    <s v="Low"/>
  </r>
  <r>
    <n v="36"/>
    <s v="Yes"/>
    <s v="Travel_Rarely"/>
    <n v="885"/>
    <x v="1"/>
    <n v="16"/>
    <n v="4"/>
    <s v="Life Sciences"/>
    <n v="1042"/>
    <n v="3"/>
    <x v="0"/>
    <n v="43"/>
    <n v="4"/>
    <n v="1"/>
    <x v="2"/>
    <x v="3"/>
    <s v="Single"/>
    <n v="2743"/>
    <n v="8269"/>
    <n v="1"/>
    <x v="1"/>
    <n v="16"/>
    <n v="3"/>
    <n v="3"/>
    <n v="0"/>
    <n v="18"/>
    <n v="1"/>
    <n v="3"/>
    <n v="17"/>
    <n v="13"/>
    <n v="15"/>
    <n v="14"/>
    <x v="0"/>
    <n v="1"/>
    <s v="50+"/>
    <x v="1"/>
    <n v="1"/>
    <s v="Low"/>
  </r>
  <r>
    <n v="39"/>
    <s v="No"/>
    <s v="Travel_Frequently"/>
    <n v="945"/>
    <x v="1"/>
    <n v="22"/>
    <n v="3"/>
    <s v="Medical"/>
    <n v="1043"/>
    <n v="4"/>
    <x v="0"/>
    <n v="82"/>
    <n v="3"/>
    <n v="3"/>
    <x v="3"/>
    <x v="3"/>
    <s v="Single"/>
    <n v="10880"/>
    <n v="5083"/>
    <n v="1"/>
    <x v="0"/>
    <n v="13"/>
    <n v="3"/>
    <n v="3"/>
    <n v="0"/>
    <n v="21"/>
    <n v="2"/>
    <n v="3"/>
    <n v="21"/>
    <n v="6"/>
    <n v="2"/>
    <n v="8"/>
    <x v="0"/>
    <n v="0"/>
    <s v="30–39"/>
    <x v="1"/>
    <n v="2"/>
    <s v="Medium"/>
  </r>
  <r>
    <n v="33"/>
    <s v="No"/>
    <s v="Non-Travel"/>
    <n v="1038"/>
    <x v="0"/>
    <n v="8"/>
    <n v="1"/>
    <s v="Life Sciences"/>
    <n v="1044"/>
    <n v="2"/>
    <x v="0"/>
    <n v="88"/>
    <n v="2"/>
    <n v="1"/>
    <x v="6"/>
    <x v="0"/>
    <s v="Single"/>
    <n v="2342"/>
    <n v="21437"/>
    <n v="0"/>
    <x v="1"/>
    <n v="19"/>
    <n v="3"/>
    <n v="4"/>
    <n v="0"/>
    <n v="3"/>
    <n v="2"/>
    <n v="2"/>
    <n v="2"/>
    <n v="2"/>
    <n v="2"/>
    <n v="2"/>
    <x v="2"/>
    <n v="0"/>
    <s v="30–39"/>
    <x v="0"/>
    <n v="1"/>
    <s v="Low"/>
  </r>
  <r>
    <n v="45"/>
    <s v="No"/>
    <s v="Travel_Rarely"/>
    <n v="1234"/>
    <x v="0"/>
    <n v="11"/>
    <n v="2"/>
    <s v="Life Sciences"/>
    <n v="1045"/>
    <n v="4"/>
    <x v="0"/>
    <n v="90"/>
    <n v="3"/>
    <n v="4"/>
    <x v="5"/>
    <x v="0"/>
    <s v="Married"/>
    <n v="17650"/>
    <n v="5404"/>
    <n v="3"/>
    <x v="1"/>
    <n v="13"/>
    <n v="3"/>
    <n v="2"/>
    <n v="1"/>
    <n v="26"/>
    <n v="4"/>
    <n v="4"/>
    <n v="9"/>
    <n v="3"/>
    <n v="1"/>
    <n v="1"/>
    <x v="0"/>
    <n v="0"/>
    <s v="30–39"/>
    <x v="0"/>
    <n v="0"/>
    <s v="Low"/>
  </r>
  <r>
    <n v="32"/>
    <s v="No"/>
    <s v="Non-Travel"/>
    <n v="1109"/>
    <x v="1"/>
    <n v="29"/>
    <n v="4"/>
    <s v="Medical"/>
    <n v="1046"/>
    <n v="4"/>
    <x v="0"/>
    <n v="69"/>
    <n v="3"/>
    <n v="1"/>
    <x v="2"/>
    <x v="2"/>
    <s v="Single"/>
    <n v="4025"/>
    <n v="11135"/>
    <n v="9"/>
    <x v="1"/>
    <n v="12"/>
    <n v="3"/>
    <n v="2"/>
    <n v="0"/>
    <n v="10"/>
    <n v="2"/>
    <n v="3"/>
    <n v="8"/>
    <n v="7"/>
    <n v="7"/>
    <n v="7"/>
    <x v="0"/>
    <n v="0"/>
    <s v="40–49"/>
    <x v="2"/>
    <n v="0"/>
    <s v="Low"/>
  </r>
  <r>
    <n v="34"/>
    <s v="No"/>
    <s v="Travel_Rarely"/>
    <n v="216"/>
    <x v="0"/>
    <n v="1"/>
    <n v="4"/>
    <s v="Marketing"/>
    <n v="1047"/>
    <n v="2"/>
    <x v="1"/>
    <n v="75"/>
    <n v="4"/>
    <n v="2"/>
    <x v="0"/>
    <x v="0"/>
    <s v="Divorced"/>
    <n v="9725"/>
    <n v="12278"/>
    <n v="0"/>
    <x v="1"/>
    <n v="11"/>
    <n v="3"/>
    <n v="4"/>
    <n v="1"/>
    <n v="16"/>
    <n v="2"/>
    <n v="2"/>
    <n v="15"/>
    <n v="1"/>
    <n v="0"/>
    <n v="9"/>
    <x v="0"/>
    <n v="0"/>
    <s v="30–39"/>
    <x v="0"/>
    <n v="0"/>
    <s v="Low"/>
  </r>
  <r>
    <n v="59"/>
    <s v="No"/>
    <s v="Travel_Rarely"/>
    <n v="1089"/>
    <x v="0"/>
    <n v="1"/>
    <n v="2"/>
    <s v="Technical Degree"/>
    <n v="1048"/>
    <n v="2"/>
    <x v="1"/>
    <n v="66"/>
    <n v="3"/>
    <n v="3"/>
    <x v="5"/>
    <x v="0"/>
    <s v="Married"/>
    <n v="11904"/>
    <n v="11038"/>
    <n v="3"/>
    <x v="0"/>
    <n v="14"/>
    <n v="3"/>
    <n v="3"/>
    <n v="1"/>
    <n v="14"/>
    <n v="1"/>
    <n v="1"/>
    <n v="6"/>
    <n v="4"/>
    <n v="0"/>
    <n v="4"/>
    <x v="0"/>
    <n v="0"/>
    <s v="30–39"/>
    <x v="0"/>
    <n v="1"/>
    <s v="Low"/>
  </r>
  <r>
    <n v="45"/>
    <s v="No"/>
    <s v="Travel_Rarely"/>
    <n v="788"/>
    <x v="2"/>
    <n v="24"/>
    <n v="4"/>
    <s v="Medical"/>
    <n v="1049"/>
    <n v="2"/>
    <x v="1"/>
    <n v="36"/>
    <n v="3"/>
    <n v="1"/>
    <x v="8"/>
    <x v="1"/>
    <s v="Single"/>
    <n v="2177"/>
    <n v="8318"/>
    <n v="1"/>
    <x v="1"/>
    <n v="16"/>
    <n v="3"/>
    <n v="1"/>
    <n v="0"/>
    <n v="6"/>
    <n v="3"/>
    <n v="3"/>
    <n v="6"/>
    <n v="3"/>
    <n v="0"/>
    <n v="4"/>
    <x v="0"/>
    <n v="0"/>
    <s v="50+"/>
    <x v="1"/>
    <n v="1"/>
    <s v="Low"/>
  </r>
  <r>
    <n v="53"/>
    <s v="No"/>
    <s v="Travel_Frequently"/>
    <n v="124"/>
    <x v="0"/>
    <n v="2"/>
    <n v="3"/>
    <s v="Marketing"/>
    <n v="1050"/>
    <n v="3"/>
    <x v="0"/>
    <n v="38"/>
    <n v="2"/>
    <n v="3"/>
    <x v="0"/>
    <x v="1"/>
    <s v="Married"/>
    <n v="7525"/>
    <n v="23537"/>
    <n v="2"/>
    <x v="1"/>
    <n v="12"/>
    <n v="3"/>
    <n v="1"/>
    <n v="1"/>
    <n v="30"/>
    <n v="2"/>
    <n v="3"/>
    <n v="15"/>
    <n v="7"/>
    <n v="6"/>
    <n v="12"/>
    <x v="0"/>
    <n v="0"/>
    <s v="40–49"/>
    <x v="1"/>
    <n v="1"/>
    <s v="Low"/>
  </r>
  <r>
    <n v="36"/>
    <s v="Yes"/>
    <s v="Travel_Rarely"/>
    <n v="660"/>
    <x v="1"/>
    <n v="15"/>
    <n v="3"/>
    <s v="Other"/>
    <n v="1052"/>
    <n v="1"/>
    <x v="1"/>
    <n v="81"/>
    <n v="3"/>
    <n v="2"/>
    <x v="2"/>
    <x v="2"/>
    <s v="Divorced"/>
    <n v="4834"/>
    <n v="7858"/>
    <n v="7"/>
    <x v="1"/>
    <n v="14"/>
    <n v="3"/>
    <n v="2"/>
    <n v="1"/>
    <n v="9"/>
    <n v="3"/>
    <n v="2"/>
    <n v="1"/>
    <n v="0"/>
    <n v="0"/>
    <n v="0"/>
    <x v="2"/>
    <n v="1"/>
    <s v="50+"/>
    <x v="2"/>
    <n v="1"/>
    <s v="Low"/>
  </r>
  <r>
    <n v="26"/>
    <s v="Yes"/>
    <s v="Travel_Frequently"/>
    <n v="342"/>
    <x v="1"/>
    <n v="2"/>
    <n v="3"/>
    <s v="Life Sciences"/>
    <n v="1053"/>
    <n v="1"/>
    <x v="1"/>
    <n v="57"/>
    <n v="3"/>
    <n v="1"/>
    <x v="1"/>
    <x v="3"/>
    <s v="Married"/>
    <n v="2042"/>
    <n v="15346"/>
    <n v="6"/>
    <x v="0"/>
    <n v="14"/>
    <n v="3"/>
    <n v="2"/>
    <n v="1"/>
    <n v="6"/>
    <n v="2"/>
    <n v="3"/>
    <n v="3"/>
    <n v="2"/>
    <n v="1"/>
    <n v="2"/>
    <x v="2"/>
    <n v="1"/>
    <s v="30–39"/>
    <x v="1"/>
    <n v="3"/>
    <s v="High"/>
  </r>
  <r>
    <n v="34"/>
    <s v="No"/>
    <s v="Travel_Rarely"/>
    <n v="1333"/>
    <x v="0"/>
    <n v="10"/>
    <n v="4"/>
    <s v="Life Sciences"/>
    <n v="1055"/>
    <n v="3"/>
    <x v="0"/>
    <n v="87"/>
    <n v="3"/>
    <n v="1"/>
    <x v="6"/>
    <x v="2"/>
    <s v="Married"/>
    <n v="2220"/>
    <n v="18410"/>
    <n v="1"/>
    <x v="0"/>
    <n v="19"/>
    <n v="3"/>
    <n v="4"/>
    <n v="1"/>
    <n v="1"/>
    <n v="2"/>
    <n v="3"/>
    <n v="1"/>
    <n v="1"/>
    <n v="0"/>
    <n v="0"/>
    <x v="2"/>
    <n v="0"/>
    <s v="&lt;30"/>
    <x v="2"/>
    <n v="2"/>
    <s v="Medium"/>
  </r>
  <r>
    <n v="28"/>
    <s v="No"/>
    <s v="Travel_Rarely"/>
    <n v="1144"/>
    <x v="0"/>
    <n v="10"/>
    <n v="1"/>
    <s v="Medical"/>
    <n v="1056"/>
    <n v="4"/>
    <x v="1"/>
    <n v="74"/>
    <n v="3"/>
    <n v="1"/>
    <x v="6"/>
    <x v="1"/>
    <s v="Married"/>
    <n v="1052"/>
    <n v="23384"/>
    <n v="1"/>
    <x v="1"/>
    <n v="22"/>
    <n v="4"/>
    <n v="2"/>
    <n v="0"/>
    <n v="1"/>
    <n v="5"/>
    <n v="3"/>
    <n v="1"/>
    <n v="0"/>
    <n v="0"/>
    <n v="0"/>
    <x v="2"/>
    <n v="0"/>
    <s v="30–39"/>
    <x v="1"/>
    <n v="2"/>
    <s v="Medium"/>
  </r>
  <r>
    <n v="38"/>
    <s v="No"/>
    <s v="Travel_Frequently"/>
    <n v="1186"/>
    <x v="1"/>
    <n v="3"/>
    <n v="4"/>
    <s v="Other"/>
    <n v="1060"/>
    <n v="3"/>
    <x v="1"/>
    <n v="44"/>
    <n v="3"/>
    <n v="1"/>
    <x v="1"/>
    <x v="2"/>
    <s v="Married"/>
    <n v="2821"/>
    <n v="2997"/>
    <n v="3"/>
    <x v="1"/>
    <n v="16"/>
    <n v="3"/>
    <n v="1"/>
    <n v="1"/>
    <n v="8"/>
    <n v="2"/>
    <n v="3"/>
    <n v="2"/>
    <n v="2"/>
    <n v="2"/>
    <n v="2"/>
    <x v="2"/>
    <n v="0"/>
    <s v="&lt;30"/>
    <x v="2"/>
    <n v="1"/>
    <s v="Low"/>
  </r>
  <r>
    <n v="50"/>
    <s v="No"/>
    <s v="Travel_Rarely"/>
    <n v="1464"/>
    <x v="1"/>
    <n v="2"/>
    <n v="4"/>
    <s v="Medical"/>
    <n v="1061"/>
    <n v="2"/>
    <x v="1"/>
    <n v="62"/>
    <n v="3"/>
    <n v="5"/>
    <x v="7"/>
    <x v="2"/>
    <s v="Married"/>
    <n v="19237"/>
    <n v="12853"/>
    <n v="2"/>
    <x v="0"/>
    <n v="11"/>
    <n v="3"/>
    <n v="4"/>
    <n v="1"/>
    <n v="29"/>
    <n v="2"/>
    <n v="2"/>
    <n v="8"/>
    <n v="1"/>
    <n v="7"/>
    <n v="7"/>
    <x v="0"/>
    <n v="0"/>
    <s v="30–39"/>
    <x v="2"/>
    <n v="1"/>
    <s v="Low"/>
  </r>
  <r>
    <n v="37"/>
    <s v="No"/>
    <s v="Travel_Rarely"/>
    <n v="124"/>
    <x v="1"/>
    <n v="3"/>
    <n v="3"/>
    <s v="Other"/>
    <n v="1062"/>
    <n v="4"/>
    <x v="0"/>
    <n v="35"/>
    <n v="3"/>
    <n v="2"/>
    <x v="4"/>
    <x v="1"/>
    <s v="Single"/>
    <n v="4107"/>
    <n v="13848"/>
    <n v="3"/>
    <x v="1"/>
    <n v="15"/>
    <n v="3"/>
    <n v="1"/>
    <n v="0"/>
    <n v="8"/>
    <n v="3"/>
    <n v="2"/>
    <n v="4"/>
    <n v="3"/>
    <n v="0"/>
    <n v="1"/>
    <x v="3"/>
    <n v="0"/>
    <s v="50+"/>
    <x v="1"/>
    <n v="1"/>
    <s v="Low"/>
  </r>
  <r>
    <n v="40"/>
    <s v="No"/>
    <s v="Travel_Rarely"/>
    <n v="300"/>
    <x v="0"/>
    <n v="26"/>
    <n v="3"/>
    <s v="Marketing"/>
    <n v="1066"/>
    <n v="3"/>
    <x v="1"/>
    <n v="74"/>
    <n v="3"/>
    <n v="2"/>
    <x v="0"/>
    <x v="3"/>
    <s v="Married"/>
    <n v="8396"/>
    <n v="22217"/>
    <n v="1"/>
    <x v="1"/>
    <n v="14"/>
    <n v="3"/>
    <n v="2"/>
    <n v="1"/>
    <n v="8"/>
    <n v="3"/>
    <n v="2"/>
    <n v="7"/>
    <n v="7"/>
    <n v="7"/>
    <n v="5"/>
    <x v="0"/>
    <n v="0"/>
    <s v="30–39"/>
    <x v="1"/>
    <n v="1"/>
    <s v="Low"/>
  </r>
  <r>
    <n v="26"/>
    <s v="No"/>
    <s v="Travel_Frequently"/>
    <n v="921"/>
    <x v="1"/>
    <n v="1"/>
    <n v="1"/>
    <s v="Medical"/>
    <n v="1068"/>
    <n v="1"/>
    <x v="0"/>
    <n v="66"/>
    <n v="2"/>
    <n v="1"/>
    <x v="1"/>
    <x v="2"/>
    <s v="Divorced"/>
    <n v="2007"/>
    <n v="25265"/>
    <n v="1"/>
    <x v="1"/>
    <n v="13"/>
    <n v="3"/>
    <n v="3"/>
    <n v="2"/>
    <n v="5"/>
    <n v="5"/>
    <n v="3"/>
    <n v="5"/>
    <n v="3"/>
    <n v="1"/>
    <n v="3"/>
    <x v="3"/>
    <n v="0"/>
    <s v="40–49"/>
    <x v="2"/>
    <n v="0"/>
    <s v="Low"/>
  </r>
  <r>
    <n v="46"/>
    <s v="No"/>
    <s v="Travel_Rarely"/>
    <n v="430"/>
    <x v="1"/>
    <n v="1"/>
    <n v="4"/>
    <s v="Medical"/>
    <n v="1069"/>
    <n v="4"/>
    <x v="1"/>
    <n v="40"/>
    <n v="3"/>
    <n v="5"/>
    <x v="7"/>
    <x v="0"/>
    <s v="Divorced"/>
    <n v="19627"/>
    <n v="21445"/>
    <n v="9"/>
    <x v="1"/>
    <n v="17"/>
    <n v="3"/>
    <n v="4"/>
    <n v="2"/>
    <n v="23"/>
    <n v="0"/>
    <n v="3"/>
    <n v="2"/>
    <n v="2"/>
    <n v="2"/>
    <n v="2"/>
    <x v="2"/>
    <n v="0"/>
    <s v="&lt;30"/>
    <x v="0"/>
    <n v="1"/>
    <s v="Low"/>
  </r>
  <r>
    <n v="54"/>
    <s v="No"/>
    <s v="Travel_Rarely"/>
    <n v="1082"/>
    <x v="0"/>
    <n v="2"/>
    <n v="4"/>
    <s v="Life Sciences"/>
    <n v="1070"/>
    <n v="3"/>
    <x v="0"/>
    <n v="41"/>
    <n v="2"/>
    <n v="3"/>
    <x v="0"/>
    <x v="2"/>
    <s v="Married"/>
    <n v="10686"/>
    <n v="8392"/>
    <n v="6"/>
    <x v="1"/>
    <n v="11"/>
    <n v="3"/>
    <n v="2"/>
    <n v="1"/>
    <n v="13"/>
    <n v="4"/>
    <n v="3"/>
    <n v="9"/>
    <n v="4"/>
    <n v="7"/>
    <n v="0"/>
    <x v="0"/>
    <n v="0"/>
    <s v="40–49"/>
    <x v="2"/>
    <n v="0"/>
    <s v="Low"/>
  </r>
  <r>
    <n v="56"/>
    <s v="No"/>
    <s v="Travel_Frequently"/>
    <n v="1240"/>
    <x v="1"/>
    <n v="9"/>
    <n v="3"/>
    <s v="Medical"/>
    <n v="1071"/>
    <n v="1"/>
    <x v="0"/>
    <n v="63"/>
    <n v="3"/>
    <n v="1"/>
    <x v="1"/>
    <x v="2"/>
    <s v="Married"/>
    <n v="2942"/>
    <n v="12154"/>
    <n v="2"/>
    <x v="1"/>
    <n v="19"/>
    <n v="3"/>
    <n v="2"/>
    <n v="1"/>
    <n v="18"/>
    <n v="4"/>
    <n v="3"/>
    <n v="5"/>
    <n v="4"/>
    <n v="0"/>
    <n v="3"/>
    <x v="3"/>
    <n v="0"/>
    <s v="50+"/>
    <x v="2"/>
    <n v="0"/>
    <s v="Low"/>
  </r>
  <r>
    <n v="36"/>
    <s v="No"/>
    <s v="Travel_Rarely"/>
    <n v="796"/>
    <x v="1"/>
    <n v="12"/>
    <n v="5"/>
    <s v="Medical"/>
    <n v="1073"/>
    <n v="4"/>
    <x v="0"/>
    <n v="51"/>
    <n v="2"/>
    <n v="3"/>
    <x v="3"/>
    <x v="0"/>
    <s v="Single"/>
    <n v="8858"/>
    <n v="15669"/>
    <n v="0"/>
    <x v="1"/>
    <n v="11"/>
    <n v="3"/>
    <n v="2"/>
    <n v="0"/>
    <n v="15"/>
    <n v="2"/>
    <n v="2"/>
    <n v="14"/>
    <n v="8"/>
    <n v="7"/>
    <n v="8"/>
    <x v="0"/>
    <n v="0"/>
    <s v="50+"/>
    <x v="0"/>
    <n v="0"/>
    <s v="Low"/>
  </r>
  <r>
    <n v="55"/>
    <s v="No"/>
    <s v="Non-Travel"/>
    <n v="444"/>
    <x v="1"/>
    <n v="2"/>
    <n v="1"/>
    <s v="Medical"/>
    <n v="1074"/>
    <n v="3"/>
    <x v="1"/>
    <n v="40"/>
    <n v="2"/>
    <n v="4"/>
    <x v="5"/>
    <x v="3"/>
    <s v="Single"/>
    <n v="16756"/>
    <n v="17323"/>
    <n v="7"/>
    <x v="1"/>
    <n v="15"/>
    <n v="3"/>
    <n v="2"/>
    <n v="0"/>
    <n v="31"/>
    <n v="3"/>
    <n v="4"/>
    <n v="9"/>
    <n v="7"/>
    <n v="6"/>
    <n v="2"/>
    <x v="0"/>
    <n v="0"/>
    <s v="30–39"/>
    <x v="1"/>
    <n v="1"/>
    <s v="Low"/>
  </r>
  <r>
    <n v="43"/>
    <s v="No"/>
    <s v="Travel_Rarely"/>
    <n v="415"/>
    <x v="0"/>
    <n v="25"/>
    <n v="3"/>
    <s v="Medical"/>
    <n v="1076"/>
    <n v="3"/>
    <x v="1"/>
    <n v="79"/>
    <n v="2"/>
    <n v="3"/>
    <x v="0"/>
    <x v="0"/>
    <s v="Divorced"/>
    <n v="10798"/>
    <n v="5268"/>
    <n v="5"/>
    <x v="1"/>
    <n v="13"/>
    <n v="3"/>
    <n v="3"/>
    <n v="1"/>
    <n v="18"/>
    <n v="5"/>
    <n v="3"/>
    <n v="1"/>
    <n v="0"/>
    <n v="0"/>
    <n v="0"/>
    <x v="2"/>
    <n v="0"/>
    <s v="50+"/>
    <x v="0"/>
    <n v="1"/>
    <s v="Low"/>
  </r>
  <r>
    <n v="20"/>
    <s v="Yes"/>
    <s v="Travel_Frequently"/>
    <n v="769"/>
    <x v="0"/>
    <n v="9"/>
    <n v="3"/>
    <s v="Marketing"/>
    <n v="1077"/>
    <n v="4"/>
    <x v="0"/>
    <n v="54"/>
    <n v="3"/>
    <n v="1"/>
    <x v="6"/>
    <x v="0"/>
    <s v="Single"/>
    <n v="2323"/>
    <n v="17205"/>
    <n v="1"/>
    <x v="0"/>
    <n v="14"/>
    <n v="3"/>
    <n v="2"/>
    <n v="0"/>
    <n v="2"/>
    <n v="3"/>
    <n v="3"/>
    <n v="2"/>
    <n v="2"/>
    <n v="0"/>
    <n v="2"/>
    <x v="2"/>
    <n v="1"/>
    <s v="40–49"/>
    <x v="0"/>
    <n v="2"/>
    <s v="Medium"/>
  </r>
  <r>
    <n v="21"/>
    <s v="Yes"/>
    <s v="Travel_Rarely"/>
    <n v="1334"/>
    <x v="1"/>
    <n v="10"/>
    <n v="3"/>
    <s v="Life Sciences"/>
    <n v="1079"/>
    <n v="3"/>
    <x v="0"/>
    <n v="36"/>
    <n v="2"/>
    <n v="1"/>
    <x v="2"/>
    <x v="3"/>
    <s v="Single"/>
    <n v="1416"/>
    <n v="17258"/>
    <n v="1"/>
    <x v="1"/>
    <n v="13"/>
    <n v="3"/>
    <n v="1"/>
    <n v="0"/>
    <n v="1"/>
    <n v="6"/>
    <n v="2"/>
    <n v="1"/>
    <n v="0"/>
    <n v="1"/>
    <n v="0"/>
    <x v="2"/>
    <n v="1"/>
    <s v="&lt;30"/>
    <x v="1"/>
    <n v="2"/>
    <s v="Medium"/>
  </r>
  <r>
    <n v="46"/>
    <s v="No"/>
    <s v="Travel_Rarely"/>
    <n v="1003"/>
    <x v="1"/>
    <n v="8"/>
    <n v="4"/>
    <s v="Life Sciences"/>
    <n v="1080"/>
    <n v="4"/>
    <x v="0"/>
    <n v="74"/>
    <n v="2"/>
    <n v="2"/>
    <x v="1"/>
    <x v="3"/>
    <s v="Divorced"/>
    <n v="4615"/>
    <n v="21029"/>
    <n v="8"/>
    <x v="0"/>
    <n v="23"/>
    <n v="4"/>
    <n v="1"/>
    <n v="3"/>
    <n v="19"/>
    <n v="2"/>
    <n v="3"/>
    <n v="16"/>
    <n v="13"/>
    <n v="1"/>
    <n v="7"/>
    <x v="0"/>
    <n v="0"/>
    <s v="&lt;30"/>
    <x v="1"/>
    <n v="2"/>
    <s v="Medium"/>
  </r>
  <r>
    <n v="51"/>
    <s v="Yes"/>
    <s v="Travel_Rarely"/>
    <n v="1323"/>
    <x v="1"/>
    <n v="4"/>
    <n v="4"/>
    <s v="Life Sciences"/>
    <n v="1081"/>
    <n v="1"/>
    <x v="1"/>
    <n v="34"/>
    <n v="3"/>
    <n v="1"/>
    <x v="1"/>
    <x v="2"/>
    <s v="Married"/>
    <n v="2461"/>
    <n v="10332"/>
    <n v="9"/>
    <x v="0"/>
    <n v="12"/>
    <n v="3"/>
    <n v="3"/>
    <n v="3"/>
    <n v="18"/>
    <n v="2"/>
    <n v="4"/>
    <n v="10"/>
    <n v="0"/>
    <n v="2"/>
    <n v="7"/>
    <x v="0"/>
    <n v="1"/>
    <s v="40–49"/>
    <x v="2"/>
    <n v="1"/>
    <s v="Low"/>
  </r>
  <r>
    <n v="28"/>
    <s v="Yes"/>
    <s v="Non-Travel"/>
    <n v="1366"/>
    <x v="1"/>
    <n v="24"/>
    <n v="2"/>
    <s v="Technical Degree"/>
    <n v="1082"/>
    <n v="2"/>
    <x v="1"/>
    <n v="72"/>
    <n v="2"/>
    <n v="3"/>
    <x v="4"/>
    <x v="3"/>
    <s v="Single"/>
    <n v="8722"/>
    <n v="12355"/>
    <n v="1"/>
    <x v="1"/>
    <n v="12"/>
    <n v="3"/>
    <n v="1"/>
    <n v="0"/>
    <n v="10"/>
    <n v="2"/>
    <n v="2"/>
    <n v="10"/>
    <n v="7"/>
    <n v="1"/>
    <n v="9"/>
    <x v="0"/>
    <n v="1"/>
    <s v="50+"/>
    <x v="1"/>
    <n v="1"/>
    <s v="Low"/>
  </r>
  <r>
    <n v="26"/>
    <s v="No"/>
    <s v="Travel_Rarely"/>
    <n v="192"/>
    <x v="1"/>
    <n v="1"/>
    <n v="2"/>
    <s v="Medical"/>
    <n v="1083"/>
    <n v="1"/>
    <x v="1"/>
    <n v="59"/>
    <n v="2"/>
    <n v="1"/>
    <x v="2"/>
    <x v="3"/>
    <s v="Married"/>
    <n v="3955"/>
    <n v="11141"/>
    <n v="1"/>
    <x v="1"/>
    <n v="16"/>
    <n v="3"/>
    <n v="1"/>
    <n v="2"/>
    <n v="6"/>
    <n v="2"/>
    <n v="3"/>
    <n v="5"/>
    <n v="3"/>
    <n v="1"/>
    <n v="3"/>
    <x v="3"/>
    <n v="0"/>
    <s v="&lt;30"/>
    <x v="1"/>
    <n v="1"/>
    <s v="Low"/>
  </r>
  <r>
    <n v="30"/>
    <s v="No"/>
    <s v="Travel_Rarely"/>
    <n v="1176"/>
    <x v="1"/>
    <n v="20"/>
    <n v="3"/>
    <s v="Other"/>
    <n v="1084"/>
    <n v="3"/>
    <x v="1"/>
    <n v="85"/>
    <n v="3"/>
    <n v="2"/>
    <x v="3"/>
    <x v="3"/>
    <s v="Married"/>
    <n v="9957"/>
    <n v="9096"/>
    <n v="0"/>
    <x v="1"/>
    <n v="15"/>
    <n v="3"/>
    <n v="3"/>
    <n v="1"/>
    <n v="7"/>
    <n v="1"/>
    <n v="2"/>
    <n v="6"/>
    <n v="2"/>
    <n v="0"/>
    <n v="2"/>
    <x v="0"/>
    <n v="0"/>
    <s v="&lt;30"/>
    <x v="1"/>
    <n v="1"/>
    <s v="Low"/>
  </r>
  <r>
    <n v="41"/>
    <s v="No"/>
    <s v="Travel_Rarely"/>
    <n v="509"/>
    <x v="1"/>
    <n v="7"/>
    <n v="2"/>
    <s v="Technical Degree"/>
    <n v="1085"/>
    <n v="2"/>
    <x v="0"/>
    <n v="43"/>
    <n v="4"/>
    <n v="1"/>
    <x v="1"/>
    <x v="2"/>
    <s v="Married"/>
    <n v="3376"/>
    <n v="18863"/>
    <n v="1"/>
    <x v="1"/>
    <n v="13"/>
    <n v="3"/>
    <n v="3"/>
    <n v="0"/>
    <n v="10"/>
    <n v="3"/>
    <n v="3"/>
    <n v="10"/>
    <n v="6"/>
    <n v="0"/>
    <n v="8"/>
    <x v="0"/>
    <n v="0"/>
    <s v="30–39"/>
    <x v="2"/>
    <n v="0"/>
    <s v="Low"/>
  </r>
  <r>
    <n v="38"/>
    <s v="No"/>
    <s v="Travel_Rarely"/>
    <n v="330"/>
    <x v="1"/>
    <n v="17"/>
    <n v="1"/>
    <s v="Life Sciences"/>
    <n v="1088"/>
    <n v="3"/>
    <x v="0"/>
    <n v="65"/>
    <n v="2"/>
    <n v="3"/>
    <x v="4"/>
    <x v="2"/>
    <s v="Married"/>
    <n v="8823"/>
    <n v="24608"/>
    <n v="0"/>
    <x v="1"/>
    <n v="18"/>
    <n v="3"/>
    <n v="1"/>
    <n v="1"/>
    <n v="20"/>
    <n v="4"/>
    <n v="2"/>
    <n v="19"/>
    <n v="9"/>
    <n v="1"/>
    <n v="9"/>
    <x v="0"/>
    <n v="0"/>
    <s v="40–49"/>
    <x v="2"/>
    <n v="0"/>
    <s v="Low"/>
  </r>
  <r>
    <n v="40"/>
    <s v="No"/>
    <s v="Travel_Rarely"/>
    <n v="1492"/>
    <x v="1"/>
    <n v="20"/>
    <n v="4"/>
    <s v="Technical Degree"/>
    <n v="1092"/>
    <n v="1"/>
    <x v="1"/>
    <n v="61"/>
    <n v="3"/>
    <n v="3"/>
    <x v="4"/>
    <x v="0"/>
    <s v="Married"/>
    <n v="10322"/>
    <n v="26542"/>
    <n v="4"/>
    <x v="1"/>
    <n v="20"/>
    <n v="4"/>
    <n v="4"/>
    <n v="1"/>
    <n v="14"/>
    <n v="6"/>
    <n v="3"/>
    <n v="11"/>
    <n v="10"/>
    <n v="11"/>
    <n v="1"/>
    <x v="0"/>
    <n v="0"/>
    <s v="30–39"/>
    <x v="0"/>
    <n v="0"/>
    <s v="Low"/>
  </r>
  <r>
    <n v="27"/>
    <s v="No"/>
    <s v="Non-Travel"/>
    <n v="1277"/>
    <x v="1"/>
    <n v="8"/>
    <n v="5"/>
    <s v="Life Sciences"/>
    <n v="1094"/>
    <n v="1"/>
    <x v="1"/>
    <n v="87"/>
    <n v="1"/>
    <n v="1"/>
    <x v="2"/>
    <x v="2"/>
    <s v="Married"/>
    <n v="4621"/>
    <n v="5869"/>
    <n v="1"/>
    <x v="1"/>
    <n v="19"/>
    <n v="3"/>
    <n v="4"/>
    <n v="3"/>
    <n v="3"/>
    <n v="4"/>
    <n v="3"/>
    <n v="3"/>
    <n v="2"/>
    <n v="1"/>
    <n v="2"/>
    <x v="2"/>
    <n v="0"/>
    <s v="40–49"/>
    <x v="2"/>
    <n v="1"/>
    <s v="Low"/>
  </r>
  <r>
    <n v="55"/>
    <s v="No"/>
    <s v="Travel_Frequently"/>
    <n v="1091"/>
    <x v="1"/>
    <n v="2"/>
    <n v="1"/>
    <s v="Life Sciences"/>
    <n v="1096"/>
    <n v="4"/>
    <x v="1"/>
    <n v="65"/>
    <n v="3"/>
    <n v="3"/>
    <x v="3"/>
    <x v="1"/>
    <s v="Married"/>
    <n v="10976"/>
    <n v="15813"/>
    <n v="3"/>
    <x v="1"/>
    <n v="18"/>
    <n v="3"/>
    <n v="2"/>
    <n v="1"/>
    <n v="23"/>
    <n v="4"/>
    <n v="3"/>
    <n v="3"/>
    <n v="2"/>
    <n v="1"/>
    <n v="2"/>
    <x v="2"/>
    <n v="0"/>
    <s v="&lt;30"/>
    <x v="1"/>
    <n v="2"/>
    <s v="Medium"/>
  </r>
  <r>
    <n v="28"/>
    <s v="No"/>
    <s v="Travel_Rarely"/>
    <n v="857"/>
    <x v="1"/>
    <n v="10"/>
    <n v="3"/>
    <s v="Other"/>
    <n v="1097"/>
    <n v="3"/>
    <x v="0"/>
    <n v="59"/>
    <n v="3"/>
    <n v="2"/>
    <x v="1"/>
    <x v="2"/>
    <s v="Single"/>
    <n v="3660"/>
    <n v="7909"/>
    <n v="3"/>
    <x v="1"/>
    <n v="13"/>
    <n v="3"/>
    <n v="4"/>
    <n v="0"/>
    <n v="10"/>
    <n v="4"/>
    <n v="4"/>
    <n v="8"/>
    <n v="7"/>
    <n v="1"/>
    <n v="7"/>
    <x v="0"/>
    <n v="0"/>
    <s v="50+"/>
    <x v="2"/>
    <n v="0"/>
    <s v="Low"/>
  </r>
  <r>
    <n v="44"/>
    <s v="Yes"/>
    <s v="Travel_Rarely"/>
    <n v="1376"/>
    <x v="2"/>
    <n v="1"/>
    <n v="2"/>
    <s v="Medical"/>
    <n v="1098"/>
    <n v="2"/>
    <x v="1"/>
    <n v="91"/>
    <n v="2"/>
    <n v="3"/>
    <x v="8"/>
    <x v="3"/>
    <s v="Married"/>
    <n v="10482"/>
    <n v="2326"/>
    <n v="9"/>
    <x v="1"/>
    <n v="14"/>
    <n v="3"/>
    <n v="4"/>
    <n v="1"/>
    <n v="24"/>
    <n v="1"/>
    <n v="3"/>
    <n v="20"/>
    <n v="6"/>
    <n v="3"/>
    <n v="6"/>
    <x v="0"/>
    <n v="1"/>
    <s v="&lt;30"/>
    <x v="1"/>
    <n v="1"/>
    <s v="Low"/>
  </r>
  <r>
    <n v="33"/>
    <s v="No"/>
    <s v="Travel_Rarely"/>
    <n v="654"/>
    <x v="1"/>
    <n v="5"/>
    <n v="3"/>
    <s v="Life Sciences"/>
    <n v="1099"/>
    <n v="4"/>
    <x v="1"/>
    <n v="34"/>
    <n v="2"/>
    <n v="3"/>
    <x v="4"/>
    <x v="0"/>
    <s v="Divorced"/>
    <n v="7119"/>
    <n v="21214"/>
    <n v="4"/>
    <x v="1"/>
    <n v="15"/>
    <n v="3"/>
    <n v="3"/>
    <n v="1"/>
    <n v="9"/>
    <n v="2"/>
    <n v="3"/>
    <n v="3"/>
    <n v="2"/>
    <n v="1"/>
    <n v="2"/>
    <x v="2"/>
    <n v="0"/>
    <s v="40–49"/>
    <x v="0"/>
    <n v="1"/>
    <s v="Low"/>
  </r>
  <r>
    <n v="35"/>
    <s v="Yes"/>
    <s v="Travel_Rarely"/>
    <n v="1204"/>
    <x v="0"/>
    <n v="4"/>
    <n v="3"/>
    <s v="Technical Degree"/>
    <n v="1100"/>
    <n v="4"/>
    <x v="1"/>
    <n v="86"/>
    <n v="3"/>
    <n v="3"/>
    <x v="0"/>
    <x v="3"/>
    <s v="Single"/>
    <n v="9582"/>
    <n v="10333"/>
    <n v="0"/>
    <x v="0"/>
    <n v="22"/>
    <n v="4"/>
    <n v="1"/>
    <n v="0"/>
    <n v="9"/>
    <n v="2"/>
    <n v="3"/>
    <n v="8"/>
    <n v="7"/>
    <n v="4"/>
    <n v="7"/>
    <x v="0"/>
    <n v="1"/>
    <s v="30–39"/>
    <x v="1"/>
    <n v="2"/>
    <s v="Medium"/>
  </r>
  <r>
    <n v="33"/>
    <s v="Yes"/>
    <s v="Travel_Frequently"/>
    <n v="827"/>
    <x v="1"/>
    <n v="29"/>
    <n v="4"/>
    <s v="Medical"/>
    <n v="1101"/>
    <n v="1"/>
    <x v="0"/>
    <n v="54"/>
    <n v="2"/>
    <n v="2"/>
    <x v="1"/>
    <x v="2"/>
    <s v="Single"/>
    <n v="4508"/>
    <n v="3129"/>
    <n v="1"/>
    <x v="1"/>
    <n v="22"/>
    <n v="4"/>
    <n v="2"/>
    <n v="0"/>
    <n v="14"/>
    <n v="4"/>
    <n v="3"/>
    <n v="13"/>
    <n v="7"/>
    <n v="3"/>
    <n v="8"/>
    <x v="0"/>
    <n v="1"/>
    <s v="30–39"/>
    <x v="2"/>
    <n v="0"/>
    <s v="Low"/>
  </r>
  <r>
    <n v="28"/>
    <s v="No"/>
    <s v="Travel_Rarely"/>
    <n v="895"/>
    <x v="1"/>
    <n v="15"/>
    <n v="2"/>
    <s v="Life Sciences"/>
    <n v="1102"/>
    <n v="1"/>
    <x v="1"/>
    <n v="50"/>
    <n v="3"/>
    <n v="1"/>
    <x v="2"/>
    <x v="2"/>
    <s v="Divorced"/>
    <n v="2207"/>
    <n v="22482"/>
    <n v="1"/>
    <x v="1"/>
    <n v="16"/>
    <n v="3"/>
    <n v="4"/>
    <n v="1"/>
    <n v="4"/>
    <n v="5"/>
    <n v="2"/>
    <n v="4"/>
    <n v="2"/>
    <n v="2"/>
    <n v="2"/>
    <x v="3"/>
    <n v="0"/>
    <s v="30–39"/>
    <x v="2"/>
    <n v="0"/>
    <s v="Low"/>
  </r>
  <r>
    <n v="34"/>
    <s v="No"/>
    <s v="Travel_Frequently"/>
    <n v="618"/>
    <x v="1"/>
    <n v="3"/>
    <n v="1"/>
    <s v="Life Sciences"/>
    <n v="1103"/>
    <n v="1"/>
    <x v="1"/>
    <n v="45"/>
    <n v="3"/>
    <n v="2"/>
    <x v="4"/>
    <x v="0"/>
    <s v="Single"/>
    <n v="7756"/>
    <n v="22266"/>
    <n v="0"/>
    <x v="1"/>
    <n v="17"/>
    <n v="3"/>
    <n v="3"/>
    <n v="0"/>
    <n v="7"/>
    <n v="1"/>
    <n v="2"/>
    <n v="6"/>
    <n v="2"/>
    <n v="0"/>
    <n v="4"/>
    <x v="0"/>
    <n v="0"/>
    <s v="&lt;30"/>
    <x v="0"/>
    <n v="0"/>
    <s v="Low"/>
  </r>
  <r>
    <n v="37"/>
    <s v="No"/>
    <s v="Travel_Rarely"/>
    <n v="309"/>
    <x v="0"/>
    <n v="10"/>
    <n v="4"/>
    <s v="Life Sciences"/>
    <n v="1105"/>
    <n v="4"/>
    <x v="0"/>
    <n v="88"/>
    <n v="2"/>
    <n v="2"/>
    <x v="0"/>
    <x v="0"/>
    <s v="Divorced"/>
    <n v="6694"/>
    <n v="24223"/>
    <n v="2"/>
    <x v="0"/>
    <n v="14"/>
    <n v="3"/>
    <n v="3"/>
    <n v="3"/>
    <n v="8"/>
    <n v="5"/>
    <n v="3"/>
    <n v="1"/>
    <n v="0"/>
    <n v="0"/>
    <n v="0"/>
    <x v="2"/>
    <n v="0"/>
    <s v="30–39"/>
    <x v="0"/>
    <n v="2"/>
    <s v="Medium"/>
  </r>
  <r>
    <n v="25"/>
    <s v="Yes"/>
    <s v="Travel_Rarely"/>
    <n v="1219"/>
    <x v="1"/>
    <n v="4"/>
    <n v="1"/>
    <s v="Technical Degree"/>
    <n v="1106"/>
    <n v="4"/>
    <x v="1"/>
    <n v="32"/>
    <n v="3"/>
    <n v="1"/>
    <x v="2"/>
    <x v="0"/>
    <s v="Married"/>
    <n v="3691"/>
    <n v="4605"/>
    <n v="1"/>
    <x v="0"/>
    <n v="15"/>
    <n v="3"/>
    <n v="2"/>
    <n v="1"/>
    <n v="7"/>
    <n v="3"/>
    <n v="4"/>
    <n v="7"/>
    <n v="7"/>
    <n v="5"/>
    <n v="6"/>
    <x v="0"/>
    <n v="1"/>
    <s v="30–39"/>
    <x v="0"/>
    <n v="1"/>
    <s v="Low"/>
  </r>
  <r>
    <n v="26"/>
    <s v="Yes"/>
    <s v="Travel_Rarely"/>
    <n v="1330"/>
    <x v="1"/>
    <n v="21"/>
    <n v="3"/>
    <s v="Medical"/>
    <n v="1107"/>
    <n v="1"/>
    <x v="1"/>
    <n v="37"/>
    <n v="3"/>
    <n v="1"/>
    <x v="2"/>
    <x v="2"/>
    <s v="Divorced"/>
    <n v="2377"/>
    <n v="19373"/>
    <n v="1"/>
    <x v="1"/>
    <n v="20"/>
    <n v="4"/>
    <n v="3"/>
    <n v="1"/>
    <n v="1"/>
    <n v="0"/>
    <n v="2"/>
    <n v="1"/>
    <n v="1"/>
    <n v="0"/>
    <n v="0"/>
    <x v="2"/>
    <n v="1"/>
    <s v="&lt;30"/>
    <x v="2"/>
    <n v="1"/>
    <s v="Low"/>
  </r>
  <r>
    <n v="33"/>
    <s v="Yes"/>
    <s v="Travel_Rarely"/>
    <n v="1017"/>
    <x v="1"/>
    <n v="25"/>
    <n v="3"/>
    <s v="Medical"/>
    <n v="1108"/>
    <n v="1"/>
    <x v="1"/>
    <n v="55"/>
    <n v="2"/>
    <n v="1"/>
    <x v="1"/>
    <x v="1"/>
    <s v="Single"/>
    <n v="2313"/>
    <n v="2993"/>
    <n v="4"/>
    <x v="0"/>
    <n v="20"/>
    <n v="4"/>
    <n v="2"/>
    <n v="0"/>
    <n v="5"/>
    <n v="0"/>
    <n v="3"/>
    <n v="2"/>
    <n v="2"/>
    <n v="2"/>
    <n v="2"/>
    <x v="2"/>
    <n v="1"/>
    <s v="&lt;30"/>
    <x v="1"/>
    <n v="3"/>
    <s v="High"/>
  </r>
  <r>
    <n v="42"/>
    <s v="No"/>
    <s v="Travel_Rarely"/>
    <n v="469"/>
    <x v="1"/>
    <n v="2"/>
    <n v="2"/>
    <s v="Medical"/>
    <n v="1109"/>
    <n v="4"/>
    <x v="1"/>
    <n v="35"/>
    <n v="3"/>
    <n v="4"/>
    <x v="5"/>
    <x v="3"/>
    <s v="Married"/>
    <n v="17665"/>
    <n v="14399"/>
    <n v="0"/>
    <x v="1"/>
    <n v="17"/>
    <n v="3"/>
    <n v="4"/>
    <n v="1"/>
    <n v="23"/>
    <n v="3"/>
    <n v="3"/>
    <n v="22"/>
    <n v="6"/>
    <n v="13"/>
    <n v="7"/>
    <x v="0"/>
    <n v="0"/>
    <s v="30–39"/>
    <x v="1"/>
    <n v="1"/>
    <s v="Low"/>
  </r>
  <r>
    <n v="28"/>
    <s v="Yes"/>
    <s v="Travel_Frequently"/>
    <n v="1009"/>
    <x v="1"/>
    <n v="1"/>
    <n v="3"/>
    <s v="Medical"/>
    <n v="1111"/>
    <n v="1"/>
    <x v="1"/>
    <n v="45"/>
    <n v="2"/>
    <n v="1"/>
    <x v="2"/>
    <x v="1"/>
    <s v="Divorced"/>
    <n v="2596"/>
    <n v="7160"/>
    <n v="1"/>
    <x v="1"/>
    <n v="15"/>
    <n v="3"/>
    <n v="1"/>
    <n v="2"/>
    <n v="1"/>
    <n v="2"/>
    <n v="3"/>
    <n v="1"/>
    <n v="0"/>
    <n v="0"/>
    <n v="0"/>
    <x v="2"/>
    <n v="1"/>
    <s v="40–49"/>
    <x v="1"/>
    <n v="2"/>
    <s v="Medium"/>
  </r>
  <r>
    <n v="50"/>
    <s v="Yes"/>
    <s v="Travel_Frequently"/>
    <n v="959"/>
    <x v="0"/>
    <n v="1"/>
    <n v="4"/>
    <s v="Other"/>
    <n v="1113"/>
    <n v="4"/>
    <x v="1"/>
    <n v="81"/>
    <n v="3"/>
    <n v="2"/>
    <x v="0"/>
    <x v="2"/>
    <s v="Single"/>
    <n v="4728"/>
    <n v="17251"/>
    <n v="3"/>
    <x v="0"/>
    <n v="14"/>
    <n v="3"/>
    <n v="4"/>
    <n v="0"/>
    <n v="5"/>
    <n v="4"/>
    <n v="3"/>
    <n v="0"/>
    <n v="0"/>
    <n v="0"/>
    <n v="0"/>
    <x v="1"/>
    <n v="1"/>
    <s v="&lt;30"/>
    <x v="2"/>
    <n v="2"/>
    <s v="Medium"/>
  </r>
  <r>
    <n v="33"/>
    <s v="No"/>
    <s v="Travel_Frequently"/>
    <n v="970"/>
    <x v="0"/>
    <n v="7"/>
    <n v="3"/>
    <s v="Life Sciences"/>
    <n v="1114"/>
    <n v="4"/>
    <x v="0"/>
    <n v="30"/>
    <n v="3"/>
    <n v="2"/>
    <x v="0"/>
    <x v="1"/>
    <s v="Married"/>
    <n v="4302"/>
    <n v="13401"/>
    <n v="0"/>
    <x v="1"/>
    <n v="17"/>
    <n v="3"/>
    <n v="3"/>
    <n v="1"/>
    <n v="4"/>
    <n v="3"/>
    <n v="3"/>
    <n v="3"/>
    <n v="2"/>
    <n v="0"/>
    <n v="2"/>
    <x v="2"/>
    <n v="0"/>
    <s v="50+"/>
    <x v="1"/>
    <n v="2"/>
    <s v="Medium"/>
  </r>
  <r>
    <n v="34"/>
    <s v="No"/>
    <s v="Non-Travel"/>
    <n v="697"/>
    <x v="1"/>
    <n v="3"/>
    <n v="4"/>
    <s v="Life Sciences"/>
    <n v="1115"/>
    <n v="3"/>
    <x v="1"/>
    <n v="40"/>
    <n v="2"/>
    <n v="1"/>
    <x v="1"/>
    <x v="0"/>
    <s v="Married"/>
    <n v="2979"/>
    <n v="22478"/>
    <n v="3"/>
    <x v="1"/>
    <n v="17"/>
    <n v="3"/>
    <n v="4"/>
    <n v="3"/>
    <n v="6"/>
    <n v="2"/>
    <n v="3"/>
    <n v="0"/>
    <n v="0"/>
    <n v="0"/>
    <n v="0"/>
    <x v="1"/>
    <n v="0"/>
    <s v="30–39"/>
    <x v="0"/>
    <n v="1"/>
    <s v="Low"/>
  </r>
  <r>
    <n v="48"/>
    <s v="No"/>
    <s v="Non-Travel"/>
    <n v="1262"/>
    <x v="1"/>
    <n v="1"/>
    <n v="4"/>
    <s v="Medical"/>
    <n v="1116"/>
    <n v="1"/>
    <x v="1"/>
    <n v="35"/>
    <n v="4"/>
    <n v="4"/>
    <x v="5"/>
    <x v="0"/>
    <s v="Single"/>
    <n v="16885"/>
    <n v="16154"/>
    <n v="2"/>
    <x v="1"/>
    <n v="22"/>
    <n v="4"/>
    <n v="3"/>
    <n v="0"/>
    <n v="27"/>
    <n v="3"/>
    <n v="2"/>
    <n v="5"/>
    <n v="4"/>
    <n v="2"/>
    <n v="1"/>
    <x v="3"/>
    <n v="0"/>
    <s v="30–39"/>
    <x v="0"/>
    <n v="0"/>
    <s v="Low"/>
  </r>
  <r>
    <n v="45"/>
    <s v="No"/>
    <s v="Non-Travel"/>
    <n v="1050"/>
    <x v="0"/>
    <n v="9"/>
    <n v="4"/>
    <s v="Life Sciences"/>
    <n v="1117"/>
    <n v="2"/>
    <x v="0"/>
    <n v="65"/>
    <n v="2"/>
    <n v="2"/>
    <x v="0"/>
    <x v="2"/>
    <s v="Married"/>
    <n v="5593"/>
    <n v="17970"/>
    <n v="1"/>
    <x v="1"/>
    <n v="13"/>
    <n v="3"/>
    <n v="4"/>
    <n v="1"/>
    <n v="15"/>
    <n v="2"/>
    <n v="3"/>
    <n v="15"/>
    <n v="10"/>
    <n v="4"/>
    <n v="12"/>
    <x v="0"/>
    <n v="0"/>
    <s v="40–49"/>
    <x v="2"/>
    <n v="0"/>
    <s v="Low"/>
  </r>
  <r>
    <n v="52"/>
    <s v="No"/>
    <s v="Travel_Rarely"/>
    <n v="994"/>
    <x v="1"/>
    <n v="7"/>
    <n v="4"/>
    <s v="Life Sciences"/>
    <n v="1118"/>
    <n v="2"/>
    <x v="1"/>
    <n v="87"/>
    <n v="3"/>
    <n v="3"/>
    <x v="4"/>
    <x v="1"/>
    <s v="Single"/>
    <n v="10445"/>
    <n v="15322"/>
    <n v="7"/>
    <x v="1"/>
    <n v="19"/>
    <n v="3"/>
    <n v="4"/>
    <n v="0"/>
    <n v="18"/>
    <n v="4"/>
    <n v="3"/>
    <n v="8"/>
    <n v="6"/>
    <n v="4"/>
    <n v="0"/>
    <x v="0"/>
    <n v="0"/>
    <s v="40–49"/>
    <x v="1"/>
    <n v="1"/>
    <s v="Low"/>
  </r>
  <r>
    <n v="38"/>
    <s v="No"/>
    <s v="Travel_Rarely"/>
    <n v="770"/>
    <x v="0"/>
    <n v="10"/>
    <n v="4"/>
    <s v="Marketing"/>
    <n v="1119"/>
    <n v="3"/>
    <x v="1"/>
    <n v="73"/>
    <n v="2"/>
    <n v="3"/>
    <x v="0"/>
    <x v="2"/>
    <s v="Divorced"/>
    <n v="8740"/>
    <n v="5569"/>
    <n v="0"/>
    <x v="0"/>
    <n v="14"/>
    <n v="3"/>
    <n v="2"/>
    <n v="2"/>
    <n v="9"/>
    <n v="2"/>
    <n v="3"/>
    <n v="8"/>
    <n v="7"/>
    <n v="2"/>
    <n v="7"/>
    <x v="0"/>
    <n v="0"/>
    <s v="50+"/>
    <x v="2"/>
    <n v="1"/>
    <s v="Low"/>
  </r>
  <r>
    <n v="29"/>
    <s v="No"/>
    <s v="Travel_Rarely"/>
    <n v="1107"/>
    <x v="1"/>
    <n v="28"/>
    <n v="4"/>
    <s v="Life Sciences"/>
    <n v="1120"/>
    <n v="3"/>
    <x v="0"/>
    <n v="93"/>
    <n v="3"/>
    <n v="1"/>
    <x v="1"/>
    <x v="0"/>
    <s v="Divorced"/>
    <n v="2514"/>
    <n v="26968"/>
    <n v="4"/>
    <x v="1"/>
    <n v="22"/>
    <n v="4"/>
    <n v="1"/>
    <n v="1"/>
    <n v="11"/>
    <n v="1"/>
    <n v="3"/>
    <n v="7"/>
    <n v="5"/>
    <n v="1"/>
    <n v="7"/>
    <x v="0"/>
    <n v="0"/>
    <s v="30–39"/>
    <x v="0"/>
    <n v="0"/>
    <s v="Low"/>
  </r>
  <r>
    <n v="28"/>
    <s v="No"/>
    <s v="Travel_Rarely"/>
    <n v="950"/>
    <x v="1"/>
    <n v="3"/>
    <n v="3"/>
    <s v="Medical"/>
    <n v="1121"/>
    <n v="4"/>
    <x v="0"/>
    <n v="93"/>
    <n v="3"/>
    <n v="3"/>
    <x v="3"/>
    <x v="1"/>
    <s v="Divorced"/>
    <n v="7655"/>
    <n v="8039"/>
    <n v="0"/>
    <x v="1"/>
    <n v="17"/>
    <n v="3"/>
    <n v="2"/>
    <n v="3"/>
    <n v="10"/>
    <n v="3"/>
    <n v="2"/>
    <n v="9"/>
    <n v="7"/>
    <n v="1"/>
    <n v="7"/>
    <x v="0"/>
    <n v="0"/>
    <s v="&lt;30"/>
    <x v="1"/>
    <n v="1"/>
    <s v="Low"/>
  </r>
  <r>
    <n v="46"/>
    <s v="No"/>
    <s v="Travel_Rarely"/>
    <n v="406"/>
    <x v="0"/>
    <n v="3"/>
    <n v="1"/>
    <s v="Marketing"/>
    <n v="1124"/>
    <n v="1"/>
    <x v="1"/>
    <n v="52"/>
    <n v="3"/>
    <n v="4"/>
    <x v="5"/>
    <x v="2"/>
    <s v="Married"/>
    <n v="17465"/>
    <n v="15596"/>
    <n v="3"/>
    <x v="1"/>
    <n v="12"/>
    <n v="3"/>
    <n v="4"/>
    <n v="1"/>
    <n v="23"/>
    <n v="3"/>
    <n v="3"/>
    <n v="12"/>
    <n v="9"/>
    <n v="4"/>
    <n v="9"/>
    <x v="0"/>
    <n v="0"/>
    <s v="&lt;30"/>
    <x v="2"/>
    <n v="0"/>
    <s v="Low"/>
  </r>
  <r>
    <n v="38"/>
    <s v="No"/>
    <s v="Travel_Rarely"/>
    <n v="130"/>
    <x v="0"/>
    <n v="2"/>
    <n v="2"/>
    <s v="Marketing"/>
    <n v="1125"/>
    <n v="4"/>
    <x v="1"/>
    <n v="32"/>
    <n v="3"/>
    <n v="3"/>
    <x v="0"/>
    <x v="1"/>
    <s v="Single"/>
    <n v="7351"/>
    <n v="20619"/>
    <n v="7"/>
    <x v="1"/>
    <n v="16"/>
    <n v="3"/>
    <n v="3"/>
    <n v="0"/>
    <n v="10"/>
    <n v="2"/>
    <n v="3"/>
    <n v="1"/>
    <n v="0"/>
    <n v="0"/>
    <n v="0"/>
    <x v="2"/>
    <n v="0"/>
    <s v="40–49"/>
    <x v="1"/>
    <n v="2"/>
    <s v="Medium"/>
  </r>
  <r>
    <n v="43"/>
    <s v="No"/>
    <s v="Travel_Frequently"/>
    <n v="1082"/>
    <x v="1"/>
    <n v="27"/>
    <n v="3"/>
    <s v="Life Sciences"/>
    <n v="1126"/>
    <n v="3"/>
    <x v="0"/>
    <n v="83"/>
    <n v="3"/>
    <n v="3"/>
    <x v="3"/>
    <x v="3"/>
    <s v="Married"/>
    <n v="10820"/>
    <n v="11535"/>
    <n v="8"/>
    <x v="1"/>
    <n v="11"/>
    <n v="3"/>
    <n v="3"/>
    <n v="1"/>
    <n v="18"/>
    <n v="1"/>
    <n v="3"/>
    <n v="8"/>
    <n v="7"/>
    <n v="0"/>
    <n v="1"/>
    <x v="0"/>
    <n v="0"/>
    <s v="30–39"/>
    <x v="1"/>
    <n v="1"/>
    <s v="Low"/>
  </r>
  <r>
    <n v="39"/>
    <s v="Yes"/>
    <s v="Travel_Frequently"/>
    <n v="203"/>
    <x v="1"/>
    <n v="2"/>
    <n v="3"/>
    <s v="Life Sciences"/>
    <n v="1127"/>
    <n v="1"/>
    <x v="1"/>
    <n v="84"/>
    <n v="3"/>
    <n v="4"/>
    <x v="4"/>
    <x v="0"/>
    <s v="Divorced"/>
    <n v="12169"/>
    <n v="13547"/>
    <n v="7"/>
    <x v="1"/>
    <n v="11"/>
    <n v="3"/>
    <n v="4"/>
    <n v="3"/>
    <n v="21"/>
    <n v="4"/>
    <n v="3"/>
    <n v="18"/>
    <n v="7"/>
    <n v="11"/>
    <n v="5"/>
    <x v="0"/>
    <n v="1"/>
    <s v="40–49"/>
    <x v="0"/>
    <n v="0"/>
    <s v="Low"/>
  </r>
  <r>
    <n v="40"/>
    <s v="No"/>
    <s v="Travel_Rarely"/>
    <n v="1308"/>
    <x v="1"/>
    <n v="14"/>
    <n v="3"/>
    <s v="Medical"/>
    <n v="1128"/>
    <n v="3"/>
    <x v="1"/>
    <n v="44"/>
    <n v="2"/>
    <n v="5"/>
    <x v="7"/>
    <x v="2"/>
    <s v="Single"/>
    <n v="19626"/>
    <n v="17544"/>
    <n v="1"/>
    <x v="1"/>
    <n v="14"/>
    <n v="3"/>
    <n v="1"/>
    <n v="0"/>
    <n v="21"/>
    <n v="2"/>
    <n v="4"/>
    <n v="20"/>
    <n v="7"/>
    <n v="4"/>
    <n v="9"/>
    <x v="0"/>
    <n v="0"/>
    <s v="30–39"/>
    <x v="2"/>
    <n v="0"/>
    <s v="Low"/>
  </r>
  <r>
    <n v="21"/>
    <s v="No"/>
    <s v="Travel_Rarely"/>
    <n v="984"/>
    <x v="1"/>
    <n v="1"/>
    <n v="1"/>
    <s v="Technical Degree"/>
    <n v="1131"/>
    <n v="4"/>
    <x v="0"/>
    <n v="70"/>
    <n v="2"/>
    <n v="1"/>
    <x v="1"/>
    <x v="1"/>
    <s v="Single"/>
    <n v="2070"/>
    <n v="25326"/>
    <n v="1"/>
    <x v="0"/>
    <n v="11"/>
    <n v="3"/>
    <n v="3"/>
    <n v="0"/>
    <n v="2"/>
    <n v="6"/>
    <n v="4"/>
    <n v="2"/>
    <n v="2"/>
    <n v="2"/>
    <n v="2"/>
    <x v="2"/>
    <n v="0"/>
    <s v="40–49"/>
    <x v="1"/>
    <n v="3"/>
    <s v="High"/>
  </r>
  <r>
    <n v="39"/>
    <s v="No"/>
    <s v="Non-Travel"/>
    <n v="439"/>
    <x v="1"/>
    <n v="9"/>
    <n v="3"/>
    <s v="Life Sciences"/>
    <n v="1132"/>
    <n v="3"/>
    <x v="1"/>
    <n v="70"/>
    <n v="3"/>
    <n v="2"/>
    <x v="2"/>
    <x v="1"/>
    <s v="Single"/>
    <n v="6782"/>
    <n v="8770"/>
    <n v="9"/>
    <x v="1"/>
    <n v="15"/>
    <n v="3"/>
    <n v="3"/>
    <n v="0"/>
    <n v="9"/>
    <n v="2"/>
    <n v="2"/>
    <n v="5"/>
    <n v="4"/>
    <n v="0"/>
    <n v="3"/>
    <x v="3"/>
    <n v="0"/>
    <s v="&lt;30"/>
    <x v="1"/>
    <n v="1"/>
    <s v="Low"/>
  </r>
  <r>
    <n v="36"/>
    <s v="No"/>
    <s v="Non-Travel"/>
    <n v="217"/>
    <x v="1"/>
    <n v="18"/>
    <n v="4"/>
    <s v="Life Sciences"/>
    <n v="1133"/>
    <n v="1"/>
    <x v="1"/>
    <n v="78"/>
    <n v="3"/>
    <n v="2"/>
    <x v="3"/>
    <x v="0"/>
    <s v="Single"/>
    <n v="7779"/>
    <n v="23238"/>
    <n v="2"/>
    <x v="1"/>
    <n v="20"/>
    <n v="4"/>
    <n v="1"/>
    <n v="0"/>
    <n v="18"/>
    <n v="0"/>
    <n v="3"/>
    <n v="11"/>
    <n v="9"/>
    <n v="0"/>
    <n v="9"/>
    <x v="0"/>
    <n v="0"/>
    <s v="30–39"/>
    <x v="0"/>
    <n v="0"/>
    <s v="Low"/>
  </r>
  <r>
    <n v="31"/>
    <s v="No"/>
    <s v="Travel_Frequently"/>
    <n v="793"/>
    <x v="0"/>
    <n v="20"/>
    <n v="3"/>
    <s v="Life Sciences"/>
    <n v="1135"/>
    <n v="3"/>
    <x v="1"/>
    <n v="67"/>
    <n v="4"/>
    <n v="1"/>
    <x v="6"/>
    <x v="0"/>
    <s v="Married"/>
    <n v="2791"/>
    <n v="21981"/>
    <n v="0"/>
    <x v="1"/>
    <n v="12"/>
    <n v="3"/>
    <n v="1"/>
    <n v="1"/>
    <n v="3"/>
    <n v="4"/>
    <n v="3"/>
    <n v="2"/>
    <n v="2"/>
    <n v="2"/>
    <n v="2"/>
    <x v="2"/>
    <n v="0"/>
    <s v="30–39"/>
    <x v="0"/>
    <n v="1"/>
    <s v="Low"/>
  </r>
  <r>
    <n v="28"/>
    <s v="No"/>
    <s v="Travel_Rarely"/>
    <n v="1451"/>
    <x v="1"/>
    <n v="2"/>
    <n v="1"/>
    <s v="Life Sciences"/>
    <n v="1136"/>
    <n v="1"/>
    <x v="1"/>
    <n v="67"/>
    <n v="2"/>
    <n v="1"/>
    <x v="1"/>
    <x v="1"/>
    <s v="Married"/>
    <n v="3201"/>
    <n v="19911"/>
    <n v="0"/>
    <x v="1"/>
    <n v="17"/>
    <n v="3"/>
    <n v="1"/>
    <n v="0"/>
    <n v="6"/>
    <n v="2"/>
    <n v="1"/>
    <n v="5"/>
    <n v="3"/>
    <n v="0"/>
    <n v="4"/>
    <x v="3"/>
    <n v="0"/>
    <s v="30–39"/>
    <x v="1"/>
    <n v="1"/>
    <s v="Low"/>
  </r>
  <r>
    <n v="35"/>
    <s v="No"/>
    <s v="Travel_Frequently"/>
    <n v="1182"/>
    <x v="0"/>
    <n v="11"/>
    <n v="2"/>
    <s v="Marketing"/>
    <n v="1137"/>
    <n v="4"/>
    <x v="1"/>
    <n v="54"/>
    <n v="3"/>
    <n v="2"/>
    <x v="0"/>
    <x v="0"/>
    <s v="Divorced"/>
    <n v="4968"/>
    <n v="18500"/>
    <n v="1"/>
    <x v="1"/>
    <n v="11"/>
    <n v="3"/>
    <n v="4"/>
    <n v="1"/>
    <n v="5"/>
    <n v="3"/>
    <n v="3"/>
    <n v="5"/>
    <n v="2"/>
    <n v="0"/>
    <n v="2"/>
    <x v="3"/>
    <n v="0"/>
    <s v="&lt;30"/>
    <x v="0"/>
    <n v="0"/>
    <s v="Low"/>
  </r>
  <r>
    <n v="49"/>
    <s v="No"/>
    <s v="Travel_Rarely"/>
    <n v="174"/>
    <x v="0"/>
    <n v="8"/>
    <n v="4"/>
    <s v="Technical Degree"/>
    <n v="1138"/>
    <n v="4"/>
    <x v="1"/>
    <n v="56"/>
    <n v="2"/>
    <n v="4"/>
    <x v="0"/>
    <x v="1"/>
    <s v="Married"/>
    <n v="13120"/>
    <n v="11879"/>
    <n v="6"/>
    <x v="1"/>
    <n v="17"/>
    <n v="3"/>
    <n v="2"/>
    <n v="1"/>
    <n v="22"/>
    <n v="3"/>
    <n v="3"/>
    <n v="9"/>
    <n v="8"/>
    <n v="2"/>
    <n v="3"/>
    <x v="0"/>
    <n v="0"/>
    <s v="30–39"/>
    <x v="1"/>
    <n v="1"/>
    <s v="Low"/>
  </r>
  <r>
    <n v="34"/>
    <s v="No"/>
    <s v="Travel_Frequently"/>
    <n v="1003"/>
    <x v="1"/>
    <n v="2"/>
    <n v="2"/>
    <s v="Life Sciences"/>
    <n v="1140"/>
    <n v="4"/>
    <x v="1"/>
    <n v="95"/>
    <n v="3"/>
    <n v="2"/>
    <x v="3"/>
    <x v="2"/>
    <s v="Single"/>
    <n v="4033"/>
    <n v="15834"/>
    <n v="2"/>
    <x v="1"/>
    <n v="11"/>
    <n v="3"/>
    <n v="4"/>
    <n v="0"/>
    <n v="5"/>
    <n v="3"/>
    <n v="2"/>
    <n v="3"/>
    <n v="2"/>
    <n v="0"/>
    <n v="2"/>
    <x v="2"/>
    <n v="0"/>
    <s v="40–49"/>
    <x v="2"/>
    <n v="1"/>
    <s v="Low"/>
  </r>
  <r>
    <n v="29"/>
    <s v="No"/>
    <s v="Travel_Frequently"/>
    <n v="490"/>
    <x v="1"/>
    <n v="10"/>
    <n v="3"/>
    <s v="Life Sciences"/>
    <n v="1143"/>
    <n v="4"/>
    <x v="0"/>
    <n v="61"/>
    <n v="3"/>
    <n v="1"/>
    <x v="1"/>
    <x v="1"/>
    <s v="Divorced"/>
    <n v="3291"/>
    <n v="17940"/>
    <n v="0"/>
    <x v="1"/>
    <n v="14"/>
    <n v="3"/>
    <n v="4"/>
    <n v="2"/>
    <n v="8"/>
    <n v="2"/>
    <n v="2"/>
    <n v="7"/>
    <n v="5"/>
    <n v="1"/>
    <n v="1"/>
    <x v="0"/>
    <n v="0"/>
    <s v="30–39"/>
    <x v="1"/>
    <n v="1"/>
    <s v="Low"/>
  </r>
  <r>
    <n v="42"/>
    <s v="No"/>
    <s v="Travel_Rarely"/>
    <n v="188"/>
    <x v="1"/>
    <n v="29"/>
    <n v="3"/>
    <s v="Medical"/>
    <n v="1148"/>
    <n v="2"/>
    <x v="1"/>
    <n v="56"/>
    <n v="1"/>
    <n v="2"/>
    <x v="2"/>
    <x v="0"/>
    <s v="Single"/>
    <n v="4272"/>
    <n v="9558"/>
    <n v="4"/>
    <x v="1"/>
    <n v="19"/>
    <n v="3"/>
    <n v="1"/>
    <n v="0"/>
    <n v="16"/>
    <n v="3"/>
    <n v="3"/>
    <n v="1"/>
    <n v="0"/>
    <n v="0"/>
    <n v="0"/>
    <x v="2"/>
    <n v="0"/>
    <s v="&lt;30"/>
    <x v="0"/>
    <n v="1"/>
    <s v="Low"/>
  </r>
  <r>
    <n v="29"/>
    <s v="No"/>
    <s v="Travel_Rarely"/>
    <n v="718"/>
    <x v="1"/>
    <n v="8"/>
    <n v="1"/>
    <s v="Medical"/>
    <n v="1150"/>
    <n v="2"/>
    <x v="1"/>
    <n v="79"/>
    <n v="2"/>
    <n v="2"/>
    <x v="3"/>
    <x v="0"/>
    <s v="Married"/>
    <n v="5056"/>
    <n v="17689"/>
    <n v="1"/>
    <x v="0"/>
    <n v="15"/>
    <n v="3"/>
    <n v="3"/>
    <n v="1"/>
    <n v="10"/>
    <n v="2"/>
    <n v="2"/>
    <n v="10"/>
    <n v="7"/>
    <n v="1"/>
    <n v="2"/>
    <x v="0"/>
    <n v="0"/>
    <s v="40–49"/>
    <x v="0"/>
    <n v="1"/>
    <s v="Low"/>
  </r>
  <r>
    <n v="38"/>
    <s v="No"/>
    <s v="Travel_Rarely"/>
    <n v="433"/>
    <x v="2"/>
    <n v="1"/>
    <n v="3"/>
    <s v="Human Resources"/>
    <n v="1152"/>
    <n v="3"/>
    <x v="1"/>
    <n v="37"/>
    <n v="4"/>
    <n v="1"/>
    <x v="8"/>
    <x v="2"/>
    <s v="Married"/>
    <n v="2844"/>
    <n v="6004"/>
    <n v="1"/>
    <x v="1"/>
    <n v="13"/>
    <n v="3"/>
    <n v="4"/>
    <n v="1"/>
    <n v="7"/>
    <n v="2"/>
    <n v="4"/>
    <n v="7"/>
    <n v="6"/>
    <n v="5"/>
    <n v="0"/>
    <x v="0"/>
    <n v="0"/>
    <s v="&lt;30"/>
    <x v="2"/>
    <n v="0"/>
    <s v="Low"/>
  </r>
  <r>
    <n v="28"/>
    <s v="No"/>
    <s v="Travel_Frequently"/>
    <n v="773"/>
    <x v="1"/>
    <n v="6"/>
    <n v="3"/>
    <s v="Life Sciences"/>
    <n v="1154"/>
    <n v="3"/>
    <x v="1"/>
    <n v="39"/>
    <n v="2"/>
    <n v="1"/>
    <x v="1"/>
    <x v="2"/>
    <s v="Divorced"/>
    <n v="2703"/>
    <n v="22088"/>
    <n v="1"/>
    <x v="0"/>
    <n v="14"/>
    <n v="3"/>
    <n v="4"/>
    <n v="1"/>
    <n v="3"/>
    <n v="2"/>
    <n v="3"/>
    <n v="3"/>
    <n v="1"/>
    <n v="0"/>
    <n v="2"/>
    <x v="2"/>
    <n v="0"/>
    <s v="30–39"/>
    <x v="2"/>
    <n v="2"/>
    <s v="Medium"/>
  </r>
  <r>
    <n v="18"/>
    <s v="Yes"/>
    <s v="Non-Travel"/>
    <n v="247"/>
    <x v="1"/>
    <n v="8"/>
    <n v="1"/>
    <s v="Medical"/>
    <n v="1156"/>
    <n v="3"/>
    <x v="1"/>
    <n v="80"/>
    <n v="3"/>
    <n v="1"/>
    <x v="2"/>
    <x v="2"/>
    <s v="Single"/>
    <n v="1904"/>
    <n v="13556"/>
    <n v="1"/>
    <x v="1"/>
    <n v="12"/>
    <n v="3"/>
    <n v="4"/>
    <n v="0"/>
    <n v="0"/>
    <n v="0"/>
    <n v="3"/>
    <n v="0"/>
    <n v="0"/>
    <n v="0"/>
    <n v="0"/>
    <x v="1"/>
    <n v="1"/>
    <s v="&lt;30"/>
    <x v="2"/>
    <n v="1"/>
    <s v="Low"/>
  </r>
  <r>
    <n v="33"/>
    <s v="Yes"/>
    <s v="Travel_Rarely"/>
    <n v="603"/>
    <x v="0"/>
    <n v="9"/>
    <n v="4"/>
    <s v="Marketing"/>
    <n v="1157"/>
    <n v="1"/>
    <x v="0"/>
    <n v="77"/>
    <n v="3"/>
    <n v="2"/>
    <x v="0"/>
    <x v="3"/>
    <s v="Single"/>
    <n v="8224"/>
    <n v="18385"/>
    <n v="0"/>
    <x v="0"/>
    <n v="17"/>
    <n v="3"/>
    <n v="1"/>
    <n v="0"/>
    <n v="6"/>
    <n v="3"/>
    <n v="3"/>
    <n v="5"/>
    <n v="2"/>
    <n v="0"/>
    <n v="3"/>
    <x v="3"/>
    <n v="1"/>
    <s v="&lt;30"/>
    <x v="1"/>
    <n v="2"/>
    <s v="Medium"/>
  </r>
  <r>
    <n v="41"/>
    <s v="No"/>
    <s v="Travel_Rarely"/>
    <n v="167"/>
    <x v="1"/>
    <n v="12"/>
    <n v="4"/>
    <s v="Life Sciences"/>
    <n v="1158"/>
    <n v="2"/>
    <x v="1"/>
    <n v="46"/>
    <n v="3"/>
    <n v="1"/>
    <x v="2"/>
    <x v="0"/>
    <s v="Married"/>
    <n v="4766"/>
    <n v="9051"/>
    <n v="3"/>
    <x v="0"/>
    <n v="11"/>
    <n v="3"/>
    <n v="1"/>
    <n v="1"/>
    <n v="6"/>
    <n v="4"/>
    <n v="3"/>
    <n v="1"/>
    <n v="0"/>
    <n v="0"/>
    <n v="0"/>
    <x v="2"/>
    <n v="0"/>
    <s v="30–39"/>
    <x v="0"/>
    <n v="2"/>
    <s v="Medium"/>
  </r>
  <r>
    <n v="31"/>
    <s v="Yes"/>
    <s v="Travel_Frequently"/>
    <n v="874"/>
    <x v="1"/>
    <n v="15"/>
    <n v="3"/>
    <s v="Medical"/>
    <n v="1160"/>
    <n v="3"/>
    <x v="1"/>
    <n v="72"/>
    <n v="3"/>
    <n v="1"/>
    <x v="2"/>
    <x v="2"/>
    <s v="Married"/>
    <n v="2610"/>
    <n v="6233"/>
    <n v="1"/>
    <x v="1"/>
    <n v="12"/>
    <n v="3"/>
    <n v="3"/>
    <n v="1"/>
    <n v="2"/>
    <n v="5"/>
    <n v="2"/>
    <n v="2"/>
    <n v="2"/>
    <n v="2"/>
    <n v="2"/>
    <x v="2"/>
    <n v="1"/>
    <s v="40–49"/>
    <x v="2"/>
    <n v="1"/>
    <s v="Low"/>
  </r>
  <r>
    <n v="37"/>
    <s v="No"/>
    <s v="Travel_Rarely"/>
    <n v="367"/>
    <x v="1"/>
    <n v="25"/>
    <n v="2"/>
    <s v="Medical"/>
    <n v="1161"/>
    <n v="3"/>
    <x v="0"/>
    <n v="52"/>
    <n v="2"/>
    <n v="2"/>
    <x v="4"/>
    <x v="0"/>
    <s v="Divorced"/>
    <n v="5731"/>
    <n v="17171"/>
    <n v="7"/>
    <x v="1"/>
    <n v="13"/>
    <n v="3"/>
    <n v="3"/>
    <n v="2"/>
    <n v="9"/>
    <n v="2"/>
    <n v="3"/>
    <n v="6"/>
    <n v="2"/>
    <n v="1"/>
    <n v="3"/>
    <x v="0"/>
    <n v="0"/>
    <s v="30–39"/>
    <x v="0"/>
    <n v="0"/>
    <s v="Low"/>
  </r>
  <r>
    <n v="27"/>
    <s v="No"/>
    <s v="Travel_Rarely"/>
    <n v="199"/>
    <x v="1"/>
    <n v="6"/>
    <n v="3"/>
    <s v="Life Sciences"/>
    <n v="1162"/>
    <n v="4"/>
    <x v="1"/>
    <n v="55"/>
    <n v="2"/>
    <n v="1"/>
    <x v="1"/>
    <x v="2"/>
    <s v="Married"/>
    <n v="2539"/>
    <n v="7950"/>
    <n v="1"/>
    <x v="1"/>
    <n v="13"/>
    <n v="3"/>
    <n v="3"/>
    <n v="1"/>
    <n v="4"/>
    <n v="0"/>
    <n v="3"/>
    <n v="4"/>
    <n v="2"/>
    <n v="2"/>
    <n v="2"/>
    <x v="3"/>
    <n v="0"/>
    <s v="30–39"/>
    <x v="2"/>
    <n v="0"/>
    <s v="Low"/>
  </r>
  <r>
    <n v="34"/>
    <s v="No"/>
    <s v="Travel_Rarely"/>
    <n v="1400"/>
    <x v="0"/>
    <n v="9"/>
    <n v="1"/>
    <s v="Life Sciences"/>
    <n v="1163"/>
    <n v="2"/>
    <x v="0"/>
    <n v="70"/>
    <n v="3"/>
    <n v="2"/>
    <x v="0"/>
    <x v="2"/>
    <s v="Married"/>
    <n v="5714"/>
    <n v="5829"/>
    <n v="1"/>
    <x v="1"/>
    <n v="20"/>
    <n v="4"/>
    <n v="1"/>
    <n v="0"/>
    <n v="6"/>
    <n v="3"/>
    <n v="2"/>
    <n v="6"/>
    <n v="5"/>
    <n v="1"/>
    <n v="3"/>
    <x v="0"/>
    <n v="0"/>
    <s v="&lt;30"/>
    <x v="2"/>
    <n v="0"/>
    <s v="Low"/>
  </r>
  <r>
    <n v="35"/>
    <s v="No"/>
    <s v="Travel_Rarely"/>
    <n v="528"/>
    <x v="2"/>
    <n v="8"/>
    <n v="4"/>
    <s v="Technical Degree"/>
    <n v="1164"/>
    <n v="3"/>
    <x v="1"/>
    <n v="100"/>
    <n v="3"/>
    <n v="1"/>
    <x v="8"/>
    <x v="2"/>
    <s v="Single"/>
    <n v="4323"/>
    <n v="7108"/>
    <n v="1"/>
    <x v="1"/>
    <n v="17"/>
    <n v="3"/>
    <n v="2"/>
    <n v="0"/>
    <n v="6"/>
    <n v="2"/>
    <n v="1"/>
    <n v="5"/>
    <n v="4"/>
    <n v="1"/>
    <n v="4"/>
    <x v="3"/>
    <n v="0"/>
    <s v="30–39"/>
    <x v="2"/>
    <n v="0"/>
    <s v="Low"/>
  </r>
  <r>
    <n v="29"/>
    <s v="Yes"/>
    <s v="Travel_Rarely"/>
    <n v="408"/>
    <x v="0"/>
    <n v="23"/>
    <n v="1"/>
    <s v="Life Sciences"/>
    <n v="1165"/>
    <n v="4"/>
    <x v="0"/>
    <n v="45"/>
    <n v="2"/>
    <n v="3"/>
    <x v="0"/>
    <x v="3"/>
    <s v="Married"/>
    <n v="7336"/>
    <n v="11162"/>
    <n v="1"/>
    <x v="1"/>
    <n v="13"/>
    <n v="3"/>
    <n v="1"/>
    <n v="1"/>
    <n v="11"/>
    <n v="3"/>
    <n v="1"/>
    <n v="11"/>
    <n v="8"/>
    <n v="3"/>
    <n v="10"/>
    <x v="0"/>
    <n v="1"/>
    <s v="30–39"/>
    <x v="1"/>
    <n v="1"/>
    <s v="Low"/>
  </r>
  <r>
    <n v="40"/>
    <s v="No"/>
    <s v="Travel_Frequently"/>
    <n v="593"/>
    <x v="1"/>
    <n v="9"/>
    <n v="4"/>
    <s v="Medical"/>
    <n v="1166"/>
    <n v="2"/>
    <x v="0"/>
    <n v="88"/>
    <n v="3"/>
    <n v="3"/>
    <x v="7"/>
    <x v="2"/>
    <s v="Single"/>
    <n v="13499"/>
    <n v="13782"/>
    <n v="9"/>
    <x v="1"/>
    <n v="17"/>
    <n v="3"/>
    <n v="3"/>
    <n v="0"/>
    <n v="20"/>
    <n v="3"/>
    <n v="2"/>
    <n v="18"/>
    <n v="7"/>
    <n v="2"/>
    <n v="13"/>
    <x v="0"/>
    <n v="0"/>
    <s v="&lt;30"/>
    <x v="2"/>
    <n v="0"/>
    <s v="Low"/>
  </r>
  <r>
    <n v="42"/>
    <s v="Yes"/>
    <s v="Travel_Frequently"/>
    <n v="481"/>
    <x v="0"/>
    <n v="12"/>
    <n v="3"/>
    <s v="Life Sciences"/>
    <n v="1167"/>
    <n v="3"/>
    <x v="1"/>
    <n v="44"/>
    <n v="3"/>
    <n v="4"/>
    <x v="0"/>
    <x v="3"/>
    <s v="Single"/>
    <n v="13758"/>
    <n v="2447"/>
    <n v="0"/>
    <x v="0"/>
    <n v="12"/>
    <n v="3"/>
    <n v="2"/>
    <n v="0"/>
    <n v="22"/>
    <n v="2"/>
    <n v="2"/>
    <n v="21"/>
    <n v="9"/>
    <n v="13"/>
    <n v="14"/>
    <x v="0"/>
    <n v="1"/>
    <s v="40–49"/>
    <x v="1"/>
    <n v="2"/>
    <s v="Medium"/>
  </r>
  <r>
    <n v="42"/>
    <s v="No"/>
    <s v="Travel_Rarely"/>
    <n v="647"/>
    <x v="0"/>
    <n v="4"/>
    <n v="4"/>
    <s v="Marketing"/>
    <n v="1171"/>
    <n v="2"/>
    <x v="1"/>
    <n v="45"/>
    <n v="3"/>
    <n v="2"/>
    <x v="0"/>
    <x v="3"/>
    <s v="Single"/>
    <n v="5155"/>
    <n v="2253"/>
    <n v="7"/>
    <x v="1"/>
    <n v="13"/>
    <n v="3"/>
    <n v="4"/>
    <n v="0"/>
    <n v="9"/>
    <n v="3"/>
    <n v="4"/>
    <n v="6"/>
    <n v="4"/>
    <n v="1"/>
    <n v="5"/>
    <x v="0"/>
    <n v="0"/>
    <s v="40–49"/>
    <x v="1"/>
    <n v="1"/>
    <s v="Low"/>
  </r>
  <r>
    <n v="35"/>
    <s v="No"/>
    <s v="Travel_Rarely"/>
    <n v="982"/>
    <x v="1"/>
    <n v="1"/>
    <n v="4"/>
    <s v="Medical"/>
    <n v="1172"/>
    <n v="4"/>
    <x v="1"/>
    <n v="58"/>
    <n v="2"/>
    <n v="1"/>
    <x v="2"/>
    <x v="2"/>
    <s v="Married"/>
    <n v="2258"/>
    <n v="16340"/>
    <n v="6"/>
    <x v="1"/>
    <n v="12"/>
    <n v="3"/>
    <n v="2"/>
    <n v="1"/>
    <n v="10"/>
    <n v="2"/>
    <n v="3"/>
    <n v="8"/>
    <n v="0"/>
    <n v="1"/>
    <n v="7"/>
    <x v="0"/>
    <n v="0"/>
    <s v="40–49"/>
    <x v="2"/>
    <n v="0"/>
    <s v="Low"/>
  </r>
  <r>
    <n v="24"/>
    <s v="No"/>
    <s v="Travel_Rarely"/>
    <n v="477"/>
    <x v="1"/>
    <n v="24"/>
    <n v="3"/>
    <s v="Medical"/>
    <n v="1173"/>
    <n v="4"/>
    <x v="1"/>
    <n v="49"/>
    <n v="3"/>
    <n v="1"/>
    <x v="2"/>
    <x v="1"/>
    <s v="Single"/>
    <n v="3597"/>
    <n v="6409"/>
    <n v="8"/>
    <x v="1"/>
    <n v="22"/>
    <n v="4"/>
    <n v="4"/>
    <n v="0"/>
    <n v="6"/>
    <n v="2"/>
    <n v="3"/>
    <n v="4"/>
    <n v="3"/>
    <n v="1"/>
    <n v="2"/>
    <x v="3"/>
    <n v="0"/>
    <s v="30–39"/>
    <x v="1"/>
    <n v="1"/>
    <s v="Low"/>
  </r>
  <r>
    <n v="28"/>
    <s v="Yes"/>
    <s v="Travel_Rarely"/>
    <n v="1485"/>
    <x v="1"/>
    <n v="12"/>
    <n v="1"/>
    <s v="Life Sciences"/>
    <n v="1175"/>
    <n v="3"/>
    <x v="0"/>
    <n v="79"/>
    <n v="3"/>
    <n v="1"/>
    <x v="2"/>
    <x v="0"/>
    <s v="Married"/>
    <n v="2515"/>
    <n v="22955"/>
    <n v="1"/>
    <x v="0"/>
    <n v="11"/>
    <n v="3"/>
    <n v="4"/>
    <n v="0"/>
    <n v="1"/>
    <n v="4"/>
    <n v="2"/>
    <n v="1"/>
    <n v="1"/>
    <n v="0"/>
    <n v="0"/>
    <x v="2"/>
    <n v="1"/>
    <s v="&lt;30"/>
    <x v="0"/>
    <n v="2"/>
    <s v="Medium"/>
  </r>
  <r>
    <n v="26"/>
    <s v="No"/>
    <s v="Travel_Rarely"/>
    <n v="1384"/>
    <x v="1"/>
    <n v="3"/>
    <n v="4"/>
    <s v="Medical"/>
    <n v="1177"/>
    <n v="1"/>
    <x v="1"/>
    <n v="82"/>
    <n v="4"/>
    <n v="1"/>
    <x v="2"/>
    <x v="0"/>
    <s v="Married"/>
    <n v="4420"/>
    <n v="13421"/>
    <n v="1"/>
    <x v="1"/>
    <n v="22"/>
    <n v="4"/>
    <n v="2"/>
    <n v="1"/>
    <n v="8"/>
    <n v="2"/>
    <n v="3"/>
    <n v="8"/>
    <n v="7"/>
    <n v="0"/>
    <n v="7"/>
    <x v="0"/>
    <n v="0"/>
    <s v="&lt;30"/>
    <x v="0"/>
    <n v="0"/>
    <s v="Low"/>
  </r>
  <r>
    <n v="30"/>
    <s v="No"/>
    <s v="Travel_Rarely"/>
    <n v="852"/>
    <x v="0"/>
    <n v="10"/>
    <n v="3"/>
    <s v="Marketing"/>
    <n v="1179"/>
    <n v="3"/>
    <x v="1"/>
    <n v="72"/>
    <n v="2"/>
    <n v="2"/>
    <x v="0"/>
    <x v="2"/>
    <s v="Married"/>
    <n v="6578"/>
    <n v="2706"/>
    <n v="1"/>
    <x v="1"/>
    <n v="18"/>
    <n v="3"/>
    <n v="1"/>
    <n v="1"/>
    <n v="10"/>
    <n v="3"/>
    <n v="3"/>
    <n v="10"/>
    <n v="3"/>
    <n v="1"/>
    <n v="4"/>
    <x v="0"/>
    <n v="0"/>
    <s v="&lt;30"/>
    <x v="2"/>
    <n v="0"/>
    <s v="Low"/>
  </r>
  <r>
    <n v="40"/>
    <s v="No"/>
    <s v="Travel_Frequently"/>
    <n v="902"/>
    <x v="1"/>
    <n v="26"/>
    <n v="2"/>
    <s v="Medical"/>
    <n v="1180"/>
    <n v="3"/>
    <x v="0"/>
    <n v="92"/>
    <n v="2"/>
    <n v="2"/>
    <x v="1"/>
    <x v="0"/>
    <s v="Married"/>
    <n v="4422"/>
    <n v="21203"/>
    <n v="3"/>
    <x v="0"/>
    <n v="13"/>
    <n v="3"/>
    <n v="4"/>
    <n v="1"/>
    <n v="16"/>
    <n v="3"/>
    <n v="1"/>
    <n v="1"/>
    <n v="1"/>
    <n v="0"/>
    <n v="0"/>
    <x v="2"/>
    <n v="0"/>
    <s v="30–39"/>
    <x v="0"/>
    <n v="2"/>
    <s v="Medium"/>
  </r>
  <r>
    <n v="35"/>
    <s v="No"/>
    <s v="Travel_Rarely"/>
    <n v="819"/>
    <x v="1"/>
    <n v="2"/>
    <n v="3"/>
    <s v="Life Sciences"/>
    <n v="1182"/>
    <n v="3"/>
    <x v="1"/>
    <n v="44"/>
    <n v="2"/>
    <n v="3"/>
    <x v="3"/>
    <x v="1"/>
    <s v="Divorced"/>
    <n v="10274"/>
    <n v="19588"/>
    <n v="2"/>
    <x v="1"/>
    <n v="18"/>
    <n v="3"/>
    <n v="2"/>
    <n v="1"/>
    <n v="15"/>
    <n v="2"/>
    <n v="4"/>
    <n v="7"/>
    <n v="7"/>
    <n v="6"/>
    <n v="4"/>
    <x v="0"/>
    <n v="0"/>
    <s v="40–49"/>
    <x v="1"/>
    <n v="1"/>
    <s v="Low"/>
  </r>
  <r>
    <n v="34"/>
    <s v="No"/>
    <s v="Travel_Frequently"/>
    <n v="669"/>
    <x v="1"/>
    <n v="1"/>
    <n v="3"/>
    <s v="Medical"/>
    <n v="1184"/>
    <n v="4"/>
    <x v="1"/>
    <n v="97"/>
    <n v="2"/>
    <n v="2"/>
    <x v="4"/>
    <x v="3"/>
    <s v="Single"/>
    <n v="5343"/>
    <n v="25755"/>
    <n v="0"/>
    <x v="1"/>
    <n v="20"/>
    <n v="4"/>
    <n v="3"/>
    <n v="0"/>
    <n v="14"/>
    <n v="3"/>
    <n v="3"/>
    <n v="13"/>
    <n v="9"/>
    <n v="4"/>
    <n v="9"/>
    <x v="0"/>
    <n v="0"/>
    <s v="30–39"/>
    <x v="1"/>
    <n v="1"/>
    <s v="Low"/>
  </r>
  <r>
    <n v="35"/>
    <s v="No"/>
    <s v="Travel_Frequently"/>
    <n v="636"/>
    <x v="1"/>
    <n v="4"/>
    <n v="4"/>
    <s v="Other"/>
    <n v="1185"/>
    <n v="4"/>
    <x v="1"/>
    <n v="47"/>
    <n v="2"/>
    <n v="1"/>
    <x v="2"/>
    <x v="0"/>
    <s v="Married"/>
    <n v="2376"/>
    <n v="26537"/>
    <n v="1"/>
    <x v="1"/>
    <n v="13"/>
    <n v="3"/>
    <n v="2"/>
    <n v="1"/>
    <n v="2"/>
    <n v="2"/>
    <n v="4"/>
    <n v="2"/>
    <n v="2"/>
    <n v="2"/>
    <n v="2"/>
    <x v="2"/>
    <n v="0"/>
    <s v="30–39"/>
    <x v="0"/>
    <n v="1"/>
    <s v="Low"/>
  </r>
  <r>
    <n v="43"/>
    <s v="Yes"/>
    <s v="Travel_Rarely"/>
    <n v="1372"/>
    <x v="0"/>
    <n v="9"/>
    <n v="3"/>
    <s v="Marketing"/>
    <n v="1188"/>
    <n v="1"/>
    <x v="0"/>
    <n v="85"/>
    <n v="1"/>
    <n v="2"/>
    <x v="0"/>
    <x v="2"/>
    <s v="Single"/>
    <n v="5346"/>
    <n v="9489"/>
    <n v="8"/>
    <x v="1"/>
    <n v="13"/>
    <n v="3"/>
    <n v="2"/>
    <n v="0"/>
    <n v="7"/>
    <n v="2"/>
    <n v="2"/>
    <n v="4"/>
    <n v="3"/>
    <n v="1"/>
    <n v="3"/>
    <x v="3"/>
    <n v="1"/>
    <s v="30–39"/>
    <x v="2"/>
    <n v="0"/>
    <s v="Low"/>
  </r>
  <r>
    <n v="32"/>
    <s v="No"/>
    <s v="Non-Travel"/>
    <n v="862"/>
    <x v="0"/>
    <n v="2"/>
    <n v="1"/>
    <s v="Life Sciences"/>
    <n v="1190"/>
    <n v="3"/>
    <x v="0"/>
    <n v="76"/>
    <n v="3"/>
    <n v="1"/>
    <x v="6"/>
    <x v="3"/>
    <s v="Divorced"/>
    <n v="2827"/>
    <n v="14947"/>
    <n v="1"/>
    <x v="1"/>
    <n v="12"/>
    <n v="3"/>
    <n v="3"/>
    <n v="3"/>
    <n v="1"/>
    <n v="3"/>
    <n v="3"/>
    <n v="1"/>
    <n v="0"/>
    <n v="0"/>
    <n v="0"/>
    <x v="2"/>
    <n v="0"/>
    <s v="40–49"/>
    <x v="1"/>
    <n v="2"/>
    <s v="Medium"/>
  </r>
  <r>
    <n v="56"/>
    <s v="No"/>
    <s v="Travel_Rarely"/>
    <n v="718"/>
    <x v="1"/>
    <n v="4"/>
    <n v="4"/>
    <s v="Technical Degree"/>
    <n v="1191"/>
    <n v="4"/>
    <x v="0"/>
    <n v="92"/>
    <n v="3"/>
    <n v="5"/>
    <x v="5"/>
    <x v="3"/>
    <s v="Divorced"/>
    <n v="19943"/>
    <n v="18575"/>
    <n v="4"/>
    <x v="1"/>
    <n v="13"/>
    <n v="3"/>
    <n v="4"/>
    <n v="1"/>
    <n v="28"/>
    <n v="2"/>
    <n v="3"/>
    <n v="5"/>
    <n v="2"/>
    <n v="4"/>
    <n v="2"/>
    <x v="3"/>
    <n v="0"/>
    <s v="30–39"/>
    <x v="1"/>
    <n v="1"/>
    <s v="Low"/>
  </r>
  <r>
    <n v="29"/>
    <s v="No"/>
    <s v="Travel_Rarely"/>
    <n v="1401"/>
    <x v="1"/>
    <n v="6"/>
    <n v="1"/>
    <s v="Medical"/>
    <n v="1192"/>
    <n v="2"/>
    <x v="0"/>
    <n v="54"/>
    <n v="3"/>
    <n v="1"/>
    <x v="2"/>
    <x v="0"/>
    <s v="Married"/>
    <n v="3131"/>
    <n v="26342"/>
    <n v="1"/>
    <x v="1"/>
    <n v="13"/>
    <n v="3"/>
    <n v="1"/>
    <n v="1"/>
    <n v="10"/>
    <n v="5"/>
    <n v="3"/>
    <n v="10"/>
    <n v="8"/>
    <n v="0"/>
    <n v="8"/>
    <x v="0"/>
    <n v="0"/>
    <s v="50+"/>
    <x v="0"/>
    <n v="0"/>
    <s v="Low"/>
  </r>
  <r>
    <n v="19"/>
    <s v="No"/>
    <s v="Travel_Rarely"/>
    <n v="645"/>
    <x v="1"/>
    <n v="9"/>
    <n v="2"/>
    <s v="Life Sciences"/>
    <n v="1193"/>
    <n v="3"/>
    <x v="1"/>
    <n v="54"/>
    <n v="3"/>
    <n v="1"/>
    <x v="1"/>
    <x v="3"/>
    <s v="Single"/>
    <n v="2552"/>
    <n v="7172"/>
    <n v="1"/>
    <x v="1"/>
    <n v="25"/>
    <n v="4"/>
    <n v="3"/>
    <n v="0"/>
    <n v="1"/>
    <n v="4"/>
    <n v="3"/>
    <n v="1"/>
    <n v="1"/>
    <n v="0"/>
    <n v="0"/>
    <x v="2"/>
    <n v="0"/>
    <s v="&lt;30"/>
    <x v="1"/>
    <n v="2"/>
    <s v="Medium"/>
  </r>
  <r>
    <n v="45"/>
    <s v="No"/>
    <s v="Travel_Rarely"/>
    <n v="1457"/>
    <x v="1"/>
    <n v="7"/>
    <n v="3"/>
    <s v="Medical"/>
    <n v="1195"/>
    <n v="1"/>
    <x v="0"/>
    <n v="83"/>
    <n v="3"/>
    <n v="1"/>
    <x v="1"/>
    <x v="2"/>
    <s v="Married"/>
    <n v="4477"/>
    <n v="20100"/>
    <n v="4"/>
    <x v="0"/>
    <n v="19"/>
    <n v="3"/>
    <n v="3"/>
    <n v="1"/>
    <n v="7"/>
    <n v="2"/>
    <n v="2"/>
    <n v="3"/>
    <n v="2"/>
    <n v="0"/>
    <n v="2"/>
    <x v="2"/>
    <n v="0"/>
    <s v="&lt;30"/>
    <x v="2"/>
    <n v="2"/>
    <s v="Medium"/>
  </r>
  <r>
    <n v="37"/>
    <s v="No"/>
    <s v="Travel_Rarely"/>
    <n v="977"/>
    <x v="1"/>
    <n v="1"/>
    <n v="3"/>
    <s v="Life Sciences"/>
    <n v="1196"/>
    <n v="4"/>
    <x v="0"/>
    <n v="56"/>
    <n v="2"/>
    <n v="2"/>
    <x v="3"/>
    <x v="0"/>
    <s v="Married"/>
    <n v="6474"/>
    <n v="9961"/>
    <n v="1"/>
    <x v="1"/>
    <n v="13"/>
    <n v="3"/>
    <n v="2"/>
    <n v="1"/>
    <n v="14"/>
    <n v="2"/>
    <n v="2"/>
    <n v="14"/>
    <n v="8"/>
    <n v="3"/>
    <n v="11"/>
    <x v="0"/>
    <n v="0"/>
    <s v="40–49"/>
    <x v="0"/>
    <n v="0"/>
    <s v="Low"/>
  </r>
  <r>
    <n v="20"/>
    <s v="No"/>
    <s v="Travel_Rarely"/>
    <n v="805"/>
    <x v="1"/>
    <n v="3"/>
    <n v="3"/>
    <s v="Life Sciences"/>
    <n v="1198"/>
    <n v="1"/>
    <x v="1"/>
    <n v="87"/>
    <n v="2"/>
    <n v="1"/>
    <x v="2"/>
    <x v="2"/>
    <s v="Single"/>
    <n v="3033"/>
    <n v="12828"/>
    <n v="1"/>
    <x v="1"/>
    <n v="12"/>
    <n v="3"/>
    <n v="1"/>
    <n v="0"/>
    <n v="2"/>
    <n v="2"/>
    <n v="2"/>
    <n v="2"/>
    <n v="2"/>
    <n v="1"/>
    <n v="2"/>
    <x v="2"/>
    <n v="0"/>
    <s v="30–39"/>
    <x v="2"/>
    <n v="1"/>
    <s v="Low"/>
  </r>
  <r>
    <n v="44"/>
    <s v="Yes"/>
    <s v="Travel_Rarely"/>
    <n v="1097"/>
    <x v="1"/>
    <n v="10"/>
    <n v="4"/>
    <s v="Life Sciences"/>
    <n v="1200"/>
    <n v="3"/>
    <x v="1"/>
    <n v="96"/>
    <n v="3"/>
    <n v="1"/>
    <x v="1"/>
    <x v="2"/>
    <s v="Single"/>
    <n v="2936"/>
    <n v="10826"/>
    <n v="1"/>
    <x v="0"/>
    <n v="11"/>
    <n v="3"/>
    <n v="3"/>
    <n v="0"/>
    <n v="6"/>
    <n v="4"/>
    <n v="3"/>
    <n v="6"/>
    <n v="4"/>
    <n v="0"/>
    <n v="2"/>
    <x v="0"/>
    <n v="1"/>
    <s v="&lt;30"/>
    <x v="2"/>
    <n v="1"/>
    <s v="Low"/>
  </r>
  <r>
    <n v="53"/>
    <s v="No"/>
    <s v="Travel_Rarely"/>
    <n v="1223"/>
    <x v="1"/>
    <n v="7"/>
    <n v="2"/>
    <s v="Medical"/>
    <n v="1201"/>
    <n v="4"/>
    <x v="0"/>
    <n v="50"/>
    <n v="3"/>
    <n v="5"/>
    <x v="5"/>
    <x v="2"/>
    <s v="Divorced"/>
    <n v="18606"/>
    <n v="18640"/>
    <n v="3"/>
    <x v="1"/>
    <n v="18"/>
    <n v="3"/>
    <n v="2"/>
    <n v="1"/>
    <n v="26"/>
    <n v="6"/>
    <n v="3"/>
    <n v="7"/>
    <n v="7"/>
    <n v="4"/>
    <n v="7"/>
    <x v="0"/>
    <n v="0"/>
    <s v="40–49"/>
    <x v="2"/>
    <n v="0"/>
    <s v="Low"/>
  </r>
  <r>
    <n v="29"/>
    <s v="No"/>
    <s v="Travel_Rarely"/>
    <n v="942"/>
    <x v="1"/>
    <n v="15"/>
    <n v="1"/>
    <s v="Life Sciences"/>
    <n v="1202"/>
    <n v="2"/>
    <x v="0"/>
    <n v="69"/>
    <n v="1"/>
    <n v="1"/>
    <x v="1"/>
    <x v="0"/>
    <s v="Married"/>
    <n v="2168"/>
    <n v="26933"/>
    <n v="0"/>
    <x v="0"/>
    <n v="18"/>
    <n v="3"/>
    <n v="1"/>
    <n v="1"/>
    <n v="6"/>
    <n v="2"/>
    <n v="2"/>
    <n v="5"/>
    <n v="4"/>
    <n v="1"/>
    <n v="3"/>
    <x v="3"/>
    <n v="0"/>
    <s v="50+"/>
    <x v="0"/>
    <n v="1"/>
    <s v="Low"/>
  </r>
  <r>
    <n v="22"/>
    <s v="Yes"/>
    <s v="Travel_Frequently"/>
    <n v="1256"/>
    <x v="1"/>
    <n v="3"/>
    <n v="4"/>
    <s v="Life Sciences"/>
    <n v="1203"/>
    <n v="3"/>
    <x v="1"/>
    <n v="48"/>
    <n v="2"/>
    <n v="1"/>
    <x v="1"/>
    <x v="0"/>
    <s v="Married"/>
    <n v="2853"/>
    <n v="4223"/>
    <n v="0"/>
    <x v="0"/>
    <n v="11"/>
    <n v="3"/>
    <n v="2"/>
    <n v="1"/>
    <n v="1"/>
    <n v="5"/>
    <n v="3"/>
    <n v="0"/>
    <n v="0"/>
    <n v="0"/>
    <n v="0"/>
    <x v="1"/>
    <n v="1"/>
    <s v="&lt;30"/>
    <x v="0"/>
    <n v="2"/>
    <s v="Medium"/>
  </r>
  <r>
    <n v="46"/>
    <s v="No"/>
    <s v="Travel_Rarely"/>
    <n v="1402"/>
    <x v="0"/>
    <n v="2"/>
    <n v="3"/>
    <s v="Marketing"/>
    <n v="1204"/>
    <n v="3"/>
    <x v="0"/>
    <n v="69"/>
    <n v="3"/>
    <n v="4"/>
    <x v="5"/>
    <x v="3"/>
    <s v="Married"/>
    <n v="17048"/>
    <n v="24097"/>
    <n v="8"/>
    <x v="1"/>
    <n v="23"/>
    <n v="4"/>
    <n v="1"/>
    <n v="0"/>
    <n v="28"/>
    <n v="2"/>
    <n v="3"/>
    <n v="26"/>
    <n v="15"/>
    <n v="15"/>
    <n v="9"/>
    <x v="0"/>
    <n v="0"/>
    <s v="&lt;30"/>
    <x v="1"/>
    <n v="1"/>
    <s v="Low"/>
  </r>
  <r>
    <n v="44"/>
    <s v="No"/>
    <s v="Non-Travel"/>
    <n v="111"/>
    <x v="1"/>
    <n v="17"/>
    <n v="3"/>
    <s v="Life Sciences"/>
    <n v="1206"/>
    <n v="4"/>
    <x v="1"/>
    <n v="74"/>
    <n v="1"/>
    <n v="1"/>
    <x v="1"/>
    <x v="2"/>
    <s v="Single"/>
    <n v="2290"/>
    <n v="4279"/>
    <n v="2"/>
    <x v="1"/>
    <n v="13"/>
    <n v="3"/>
    <n v="4"/>
    <n v="0"/>
    <n v="6"/>
    <n v="3"/>
    <n v="3"/>
    <n v="0"/>
    <n v="0"/>
    <n v="0"/>
    <n v="0"/>
    <x v="1"/>
    <n v="0"/>
    <s v="40–49"/>
    <x v="2"/>
    <n v="1"/>
    <s v="Low"/>
  </r>
  <r>
    <n v="33"/>
    <s v="No"/>
    <s v="Travel_Rarely"/>
    <n v="147"/>
    <x v="2"/>
    <n v="2"/>
    <n v="3"/>
    <s v="Human Resources"/>
    <n v="1207"/>
    <n v="2"/>
    <x v="1"/>
    <n v="99"/>
    <n v="3"/>
    <n v="1"/>
    <x v="8"/>
    <x v="2"/>
    <s v="Married"/>
    <n v="3600"/>
    <n v="8429"/>
    <n v="1"/>
    <x v="1"/>
    <n v="13"/>
    <n v="3"/>
    <n v="4"/>
    <n v="1"/>
    <n v="5"/>
    <n v="2"/>
    <n v="3"/>
    <n v="5"/>
    <n v="4"/>
    <n v="1"/>
    <n v="4"/>
    <x v="3"/>
    <n v="0"/>
    <s v="40–49"/>
    <x v="2"/>
    <n v="0"/>
    <s v="Low"/>
  </r>
  <r>
    <n v="41"/>
    <s v="Yes"/>
    <s v="Non-Travel"/>
    <n v="906"/>
    <x v="1"/>
    <n v="5"/>
    <n v="2"/>
    <s v="Life Sciences"/>
    <n v="1210"/>
    <n v="1"/>
    <x v="1"/>
    <n v="95"/>
    <n v="2"/>
    <n v="1"/>
    <x v="1"/>
    <x v="3"/>
    <s v="Divorced"/>
    <n v="2107"/>
    <n v="20293"/>
    <n v="6"/>
    <x v="1"/>
    <n v="17"/>
    <n v="3"/>
    <n v="1"/>
    <n v="1"/>
    <n v="5"/>
    <n v="2"/>
    <n v="1"/>
    <n v="1"/>
    <n v="0"/>
    <n v="0"/>
    <n v="0"/>
    <x v="2"/>
    <n v="1"/>
    <s v="30–39"/>
    <x v="1"/>
    <n v="2"/>
    <s v="Medium"/>
  </r>
  <r>
    <n v="30"/>
    <s v="No"/>
    <s v="Travel_Rarely"/>
    <n v="1329"/>
    <x v="0"/>
    <n v="29"/>
    <n v="4"/>
    <s v="Life Sciences"/>
    <n v="1211"/>
    <n v="3"/>
    <x v="1"/>
    <n v="61"/>
    <n v="3"/>
    <n v="2"/>
    <x v="0"/>
    <x v="3"/>
    <s v="Divorced"/>
    <n v="4115"/>
    <n v="13192"/>
    <n v="8"/>
    <x v="1"/>
    <n v="19"/>
    <n v="3"/>
    <n v="3"/>
    <n v="3"/>
    <n v="8"/>
    <n v="3"/>
    <n v="3"/>
    <n v="4"/>
    <n v="3"/>
    <n v="0"/>
    <n v="3"/>
    <x v="3"/>
    <n v="0"/>
    <s v="40–49"/>
    <x v="1"/>
    <n v="1"/>
    <s v="Low"/>
  </r>
  <r>
    <n v="40"/>
    <s v="No"/>
    <s v="Travel_Frequently"/>
    <n v="1184"/>
    <x v="0"/>
    <n v="2"/>
    <n v="4"/>
    <s v="Medical"/>
    <n v="1212"/>
    <n v="2"/>
    <x v="1"/>
    <n v="62"/>
    <n v="3"/>
    <n v="2"/>
    <x v="0"/>
    <x v="1"/>
    <s v="Married"/>
    <n v="4327"/>
    <n v="25440"/>
    <n v="5"/>
    <x v="1"/>
    <n v="12"/>
    <n v="3"/>
    <n v="4"/>
    <n v="3"/>
    <n v="5"/>
    <n v="2"/>
    <n v="3"/>
    <n v="0"/>
    <n v="0"/>
    <n v="0"/>
    <n v="0"/>
    <x v="1"/>
    <n v="0"/>
    <s v="30–39"/>
    <x v="1"/>
    <n v="2"/>
    <s v="Medium"/>
  </r>
  <r>
    <n v="50"/>
    <s v="No"/>
    <s v="Travel_Frequently"/>
    <n v="1421"/>
    <x v="1"/>
    <n v="2"/>
    <n v="3"/>
    <s v="Medical"/>
    <n v="1215"/>
    <n v="4"/>
    <x v="0"/>
    <n v="30"/>
    <n v="3"/>
    <n v="4"/>
    <x v="5"/>
    <x v="3"/>
    <s v="Married"/>
    <n v="17856"/>
    <n v="9490"/>
    <n v="2"/>
    <x v="1"/>
    <n v="22"/>
    <n v="4"/>
    <n v="3"/>
    <n v="1"/>
    <n v="32"/>
    <n v="3"/>
    <n v="3"/>
    <n v="2"/>
    <n v="2"/>
    <n v="2"/>
    <n v="2"/>
    <x v="2"/>
    <n v="0"/>
    <s v="40–49"/>
    <x v="1"/>
    <n v="2"/>
    <s v="Medium"/>
  </r>
  <r>
    <n v="28"/>
    <s v="No"/>
    <s v="Travel_Rarely"/>
    <n v="1179"/>
    <x v="1"/>
    <n v="19"/>
    <n v="4"/>
    <s v="Medical"/>
    <n v="1216"/>
    <n v="4"/>
    <x v="1"/>
    <n v="78"/>
    <n v="2"/>
    <n v="1"/>
    <x v="2"/>
    <x v="3"/>
    <s v="Married"/>
    <n v="3196"/>
    <n v="12449"/>
    <n v="1"/>
    <x v="1"/>
    <n v="12"/>
    <n v="3"/>
    <n v="3"/>
    <n v="3"/>
    <n v="6"/>
    <n v="2"/>
    <n v="3"/>
    <n v="6"/>
    <n v="5"/>
    <n v="3"/>
    <n v="3"/>
    <x v="0"/>
    <n v="0"/>
    <s v="50+"/>
    <x v="1"/>
    <n v="1"/>
    <s v="Low"/>
  </r>
  <r>
    <n v="46"/>
    <s v="No"/>
    <s v="Travel_Rarely"/>
    <n v="1450"/>
    <x v="1"/>
    <n v="15"/>
    <n v="2"/>
    <s v="Life Sciences"/>
    <n v="1217"/>
    <n v="4"/>
    <x v="1"/>
    <n v="52"/>
    <n v="3"/>
    <n v="5"/>
    <x v="7"/>
    <x v="1"/>
    <s v="Married"/>
    <n v="19081"/>
    <n v="10849"/>
    <n v="5"/>
    <x v="1"/>
    <n v="11"/>
    <n v="3"/>
    <n v="1"/>
    <n v="1"/>
    <n v="25"/>
    <n v="2"/>
    <n v="3"/>
    <n v="4"/>
    <n v="2"/>
    <n v="0"/>
    <n v="3"/>
    <x v="3"/>
    <n v="0"/>
    <s v="&lt;30"/>
    <x v="1"/>
    <n v="1"/>
    <s v="Low"/>
  </r>
  <r>
    <n v="35"/>
    <s v="No"/>
    <s v="Travel_Rarely"/>
    <n v="1361"/>
    <x v="0"/>
    <n v="17"/>
    <n v="4"/>
    <s v="Life Sciences"/>
    <n v="1218"/>
    <n v="3"/>
    <x v="1"/>
    <n v="94"/>
    <n v="3"/>
    <n v="2"/>
    <x v="0"/>
    <x v="3"/>
    <s v="Married"/>
    <n v="8966"/>
    <n v="21026"/>
    <n v="3"/>
    <x v="0"/>
    <n v="15"/>
    <n v="3"/>
    <n v="4"/>
    <n v="3"/>
    <n v="15"/>
    <n v="2"/>
    <n v="3"/>
    <n v="7"/>
    <n v="7"/>
    <n v="1"/>
    <n v="7"/>
    <x v="0"/>
    <n v="0"/>
    <s v="40–49"/>
    <x v="1"/>
    <n v="2"/>
    <s v="Medium"/>
  </r>
  <r>
    <n v="24"/>
    <s v="Yes"/>
    <s v="Travel_Rarely"/>
    <n v="984"/>
    <x v="1"/>
    <n v="17"/>
    <n v="2"/>
    <s v="Life Sciences"/>
    <n v="1219"/>
    <n v="4"/>
    <x v="0"/>
    <n v="97"/>
    <n v="3"/>
    <n v="1"/>
    <x v="2"/>
    <x v="1"/>
    <s v="Married"/>
    <n v="2210"/>
    <n v="3372"/>
    <n v="1"/>
    <x v="1"/>
    <n v="13"/>
    <n v="3"/>
    <n v="1"/>
    <n v="1"/>
    <n v="1"/>
    <n v="3"/>
    <n v="1"/>
    <n v="1"/>
    <n v="0"/>
    <n v="0"/>
    <n v="0"/>
    <x v="2"/>
    <n v="1"/>
    <s v="30–39"/>
    <x v="1"/>
    <n v="2"/>
    <s v="Medium"/>
  </r>
  <r>
    <n v="33"/>
    <s v="No"/>
    <s v="Travel_Frequently"/>
    <n v="1146"/>
    <x v="0"/>
    <n v="25"/>
    <n v="3"/>
    <s v="Medical"/>
    <n v="1220"/>
    <n v="2"/>
    <x v="0"/>
    <n v="82"/>
    <n v="3"/>
    <n v="2"/>
    <x v="0"/>
    <x v="2"/>
    <s v="Married"/>
    <n v="4539"/>
    <n v="4905"/>
    <n v="1"/>
    <x v="1"/>
    <n v="12"/>
    <n v="3"/>
    <n v="1"/>
    <n v="1"/>
    <n v="10"/>
    <n v="3"/>
    <n v="2"/>
    <n v="10"/>
    <n v="7"/>
    <n v="0"/>
    <n v="1"/>
    <x v="0"/>
    <n v="0"/>
    <s v="&lt;30"/>
    <x v="2"/>
    <n v="0"/>
    <s v="Low"/>
  </r>
  <r>
    <n v="36"/>
    <s v="No"/>
    <s v="Travel_Rarely"/>
    <n v="917"/>
    <x v="1"/>
    <n v="6"/>
    <n v="4"/>
    <s v="Life Sciences"/>
    <n v="1221"/>
    <n v="3"/>
    <x v="1"/>
    <n v="60"/>
    <n v="1"/>
    <n v="1"/>
    <x v="2"/>
    <x v="2"/>
    <s v="Divorced"/>
    <n v="2741"/>
    <n v="6865"/>
    <n v="1"/>
    <x v="1"/>
    <n v="14"/>
    <n v="3"/>
    <n v="3"/>
    <n v="1"/>
    <n v="7"/>
    <n v="4"/>
    <n v="3"/>
    <n v="7"/>
    <n v="7"/>
    <n v="1"/>
    <n v="7"/>
    <x v="0"/>
    <n v="0"/>
    <s v="30–39"/>
    <x v="2"/>
    <n v="0"/>
    <s v="Low"/>
  </r>
  <r>
    <n v="30"/>
    <s v="No"/>
    <s v="Travel_Rarely"/>
    <n v="853"/>
    <x v="1"/>
    <n v="7"/>
    <n v="4"/>
    <s v="Life Sciences"/>
    <n v="1224"/>
    <n v="3"/>
    <x v="1"/>
    <n v="49"/>
    <n v="3"/>
    <n v="2"/>
    <x v="2"/>
    <x v="2"/>
    <s v="Divorced"/>
    <n v="3491"/>
    <n v="11309"/>
    <n v="1"/>
    <x v="1"/>
    <n v="13"/>
    <n v="3"/>
    <n v="1"/>
    <n v="3"/>
    <n v="10"/>
    <n v="4"/>
    <n v="2"/>
    <n v="10"/>
    <n v="7"/>
    <n v="8"/>
    <n v="9"/>
    <x v="0"/>
    <n v="0"/>
    <s v="30–39"/>
    <x v="2"/>
    <n v="0"/>
    <s v="Low"/>
  </r>
  <r>
    <n v="44"/>
    <s v="No"/>
    <s v="Travel_Rarely"/>
    <n v="200"/>
    <x v="1"/>
    <n v="29"/>
    <n v="4"/>
    <s v="Other"/>
    <n v="1225"/>
    <n v="4"/>
    <x v="1"/>
    <n v="32"/>
    <n v="3"/>
    <n v="2"/>
    <x v="1"/>
    <x v="0"/>
    <s v="Single"/>
    <n v="4541"/>
    <n v="7744"/>
    <n v="1"/>
    <x v="1"/>
    <n v="25"/>
    <n v="4"/>
    <n v="2"/>
    <n v="0"/>
    <n v="20"/>
    <n v="3"/>
    <n v="3"/>
    <n v="20"/>
    <n v="11"/>
    <n v="13"/>
    <n v="17"/>
    <x v="0"/>
    <n v="0"/>
    <s v="30–39"/>
    <x v="0"/>
    <n v="0"/>
    <s v="Low"/>
  </r>
  <r>
    <n v="20"/>
    <s v="No"/>
    <s v="Travel_Rarely"/>
    <n v="654"/>
    <x v="0"/>
    <n v="21"/>
    <n v="3"/>
    <s v="Marketing"/>
    <n v="1226"/>
    <n v="3"/>
    <x v="1"/>
    <n v="43"/>
    <n v="4"/>
    <n v="1"/>
    <x v="6"/>
    <x v="0"/>
    <s v="Single"/>
    <n v="2678"/>
    <n v="5050"/>
    <n v="1"/>
    <x v="1"/>
    <n v="17"/>
    <n v="3"/>
    <n v="4"/>
    <n v="0"/>
    <n v="2"/>
    <n v="2"/>
    <n v="3"/>
    <n v="2"/>
    <n v="1"/>
    <n v="2"/>
    <n v="2"/>
    <x v="2"/>
    <n v="0"/>
    <s v="40–49"/>
    <x v="0"/>
    <n v="1"/>
    <s v="Low"/>
  </r>
  <r>
    <n v="46"/>
    <s v="No"/>
    <s v="Travel_Rarely"/>
    <n v="150"/>
    <x v="1"/>
    <n v="2"/>
    <n v="4"/>
    <s v="Technical Degree"/>
    <n v="1228"/>
    <n v="4"/>
    <x v="1"/>
    <n v="60"/>
    <n v="3"/>
    <n v="2"/>
    <x v="3"/>
    <x v="0"/>
    <s v="Divorced"/>
    <n v="7379"/>
    <n v="17433"/>
    <n v="2"/>
    <x v="1"/>
    <n v="11"/>
    <n v="3"/>
    <n v="3"/>
    <n v="1"/>
    <n v="12"/>
    <n v="3"/>
    <n v="2"/>
    <n v="6"/>
    <n v="3"/>
    <n v="1"/>
    <n v="4"/>
    <x v="0"/>
    <n v="0"/>
    <s v="&lt;30"/>
    <x v="0"/>
    <n v="0"/>
    <s v="Low"/>
  </r>
  <r>
    <n v="42"/>
    <s v="No"/>
    <s v="Non-Travel"/>
    <n v="179"/>
    <x v="2"/>
    <n v="2"/>
    <n v="5"/>
    <s v="Medical"/>
    <n v="1231"/>
    <n v="4"/>
    <x v="1"/>
    <n v="79"/>
    <n v="4"/>
    <n v="2"/>
    <x v="8"/>
    <x v="3"/>
    <s v="Married"/>
    <n v="6272"/>
    <n v="12858"/>
    <n v="7"/>
    <x v="1"/>
    <n v="16"/>
    <n v="3"/>
    <n v="1"/>
    <n v="1"/>
    <n v="10"/>
    <n v="3"/>
    <n v="4"/>
    <n v="4"/>
    <n v="3"/>
    <n v="0"/>
    <n v="3"/>
    <x v="3"/>
    <n v="0"/>
    <s v="40–49"/>
    <x v="1"/>
    <n v="1"/>
    <s v="Low"/>
  </r>
  <r>
    <n v="60"/>
    <s v="No"/>
    <s v="Travel_Rarely"/>
    <n v="696"/>
    <x v="0"/>
    <n v="7"/>
    <n v="4"/>
    <s v="Marketing"/>
    <n v="1233"/>
    <n v="2"/>
    <x v="1"/>
    <n v="52"/>
    <n v="4"/>
    <n v="2"/>
    <x v="0"/>
    <x v="0"/>
    <s v="Divorced"/>
    <n v="5220"/>
    <n v="10893"/>
    <n v="0"/>
    <x v="0"/>
    <n v="18"/>
    <n v="3"/>
    <n v="2"/>
    <n v="1"/>
    <n v="12"/>
    <n v="3"/>
    <n v="3"/>
    <n v="11"/>
    <n v="7"/>
    <n v="1"/>
    <n v="9"/>
    <x v="0"/>
    <n v="0"/>
    <s v="40–49"/>
    <x v="0"/>
    <n v="1"/>
    <s v="Low"/>
  </r>
  <r>
    <n v="32"/>
    <s v="No"/>
    <s v="Travel_Frequently"/>
    <n v="116"/>
    <x v="1"/>
    <n v="13"/>
    <n v="3"/>
    <s v="Other"/>
    <n v="1234"/>
    <n v="3"/>
    <x v="0"/>
    <n v="77"/>
    <n v="2"/>
    <n v="1"/>
    <x v="2"/>
    <x v="1"/>
    <s v="Married"/>
    <n v="2743"/>
    <n v="7331"/>
    <n v="1"/>
    <x v="1"/>
    <n v="20"/>
    <n v="4"/>
    <n v="3"/>
    <n v="1"/>
    <n v="2"/>
    <n v="2"/>
    <n v="3"/>
    <n v="2"/>
    <n v="2"/>
    <n v="2"/>
    <n v="2"/>
    <x v="2"/>
    <n v="0"/>
    <s v="50+"/>
    <x v="1"/>
    <n v="2"/>
    <s v="Medium"/>
  </r>
  <r>
    <n v="32"/>
    <s v="No"/>
    <s v="Travel_Frequently"/>
    <n v="1316"/>
    <x v="1"/>
    <n v="2"/>
    <n v="2"/>
    <s v="Life Sciences"/>
    <n v="1235"/>
    <n v="4"/>
    <x v="0"/>
    <n v="38"/>
    <n v="3"/>
    <n v="2"/>
    <x v="1"/>
    <x v="2"/>
    <s v="Single"/>
    <n v="4998"/>
    <n v="2338"/>
    <n v="4"/>
    <x v="0"/>
    <n v="14"/>
    <n v="3"/>
    <n v="4"/>
    <n v="0"/>
    <n v="10"/>
    <n v="2"/>
    <n v="3"/>
    <n v="8"/>
    <n v="7"/>
    <n v="0"/>
    <n v="7"/>
    <x v="0"/>
    <n v="0"/>
    <s v="30–39"/>
    <x v="2"/>
    <n v="1"/>
    <s v="Low"/>
  </r>
  <r>
    <n v="36"/>
    <s v="No"/>
    <s v="Travel_Rarely"/>
    <n v="363"/>
    <x v="1"/>
    <n v="1"/>
    <n v="3"/>
    <s v="Technical Degree"/>
    <n v="1237"/>
    <n v="3"/>
    <x v="0"/>
    <n v="77"/>
    <n v="1"/>
    <n v="3"/>
    <x v="3"/>
    <x v="3"/>
    <s v="Divorced"/>
    <n v="10252"/>
    <n v="4235"/>
    <n v="2"/>
    <x v="0"/>
    <n v="21"/>
    <n v="4"/>
    <n v="3"/>
    <n v="1"/>
    <n v="17"/>
    <n v="2"/>
    <n v="3"/>
    <n v="7"/>
    <n v="7"/>
    <n v="7"/>
    <n v="7"/>
    <x v="0"/>
    <n v="0"/>
    <s v="30–39"/>
    <x v="1"/>
    <n v="2"/>
    <s v="Medium"/>
  </r>
  <r>
    <n v="33"/>
    <s v="No"/>
    <s v="Travel_Rarely"/>
    <n v="117"/>
    <x v="1"/>
    <n v="9"/>
    <n v="3"/>
    <s v="Medical"/>
    <n v="1238"/>
    <n v="1"/>
    <x v="1"/>
    <n v="60"/>
    <n v="3"/>
    <n v="1"/>
    <x v="1"/>
    <x v="0"/>
    <s v="Married"/>
    <n v="2781"/>
    <n v="6311"/>
    <n v="0"/>
    <x v="1"/>
    <n v="13"/>
    <n v="3"/>
    <n v="2"/>
    <n v="1"/>
    <n v="15"/>
    <n v="5"/>
    <n v="3"/>
    <n v="14"/>
    <n v="10"/>
    <n v="4"/>
    <n v="10"/>
    <x v="0"/>
    <n v="0"/>
    <s v="30–39"/>
    <x v="0"/>
    <n v="0"/>
    <s v="Low"/>
  </r>
  <r>
    <n v="40"/>
    <s v="No"/>
    <s v="Travel_Rarely"/>
    <n v="107"/>
    <x v="0"/>
    <n v="10"/>
    <n v="3"/>
    <s v="Technical Degree"/>
    <n v="1239"/>
    <n v="2"/>
    <x v="0"/>
    <n v="84"/>
    <n v="2"/>
    <n v="2"/>
    <x v="0"/>
    <x v="1"/>
    <s v="Divorced"/>
    <n v="6852"/>
    <n v="11591"/>
    <n v="7"/>
    <x v="1"/>
    <n v="12"/>
    <n v="3"/>
    <n v="2"/>
    <n v="1"/>
    <n v="7"/>
    <n v="2"/>
    <n v="4"/>
    <n v="5"/>
    <n v="1"/>
    <n v="1"/>
    <n v="3"/>
    <x v="3"/>
    <n v="0"/>
    <s v="30–39"/>
    <x v="1"/>
    <n v="1"/>
    <s v="Low"/>
  </r>
  <r>
    <n v="25"/>
    <s v="No"/>
    <s v="Travel_Rarely"/>
    <n v="1356"/>
    <x v="0"/>
    <n v="10"/>
    <n v="4"/>
    <s v="Life Sciences"/>
    <n v="1240"/>
    <n v="3"/>
    <x v="1"/>
    <n v="57"/>
    <n v="3"/>
    <n v="2"/>
    <x v="0"/>
    <x v="0"/>
    <s v="Single"/>
    <n v="4950"/>
    <n v="20623"/>
    <n v="0"/>
    <x v="1"/>
    <n v="14"/>
    <n v="3"/>
    <n v="2"/>
    <n v="0"/>
    <n v="5"/>
    <n v="4"/>
    <n v="3"/>
    <n v="4"/>
    <n v="3"/>
    <n v="1"/>
    <n v="1"/>
    <x v="3"/>
    <n v="0"/>
    <s v="40–49"/>
    <x v="0"/>
    <n v="0"/>
    <s v="Low"/>
  </r>
  <r>
    <n v="30"/>
    <s v="No"/>
    <s v="Travel_Rarely"/>
    <n v="1465"/>
    <x v="1"/>
    <n v="1"/>
    <n v="3"/>
    <s v="Medical"/>
    <n v="1241"/>
    <n v="4"/>
    <x v="1"/>
    <n v="63"/>
    <n v="3"/>
    <n v="1"/>
    <x v="1"/>
    <x v="1"/>
    <s v="Married"/>
    <n v="3579"/>
    <n v="9369"/>
    <n v="0"/>
    <x v="0"/>
    <n v="21"/>
    <n v="4"/>
    <n v="1"/>
    <n v="1"/>
    <n v="12"/>
    <n v="2"/>
    <n v="3"/>
    <n v="11"/>
    <n v="9"/>
    <n v="5"/>
    <n v="7"/>
    <x v="0"/>
    <n v="0"/>
    <s v="&lt;30"/>
    <x v="1"/>
    <n v="2"/>
    <s v="Medium"/>
  </r>
  <r>
    <n v="42"/>
    <s v="No"/>
    <s v="Travel_Frequently"/>
    <n v="458"/>
    <x v="1"/>
    <n v="26"/>
    <n v="5"/>
    <s v="Medical"/>
    <n v="1242"/>
    <n v="1"/>
    <x v="0"/>
    <n v="60"/>
    <n v="3"/>
    <n v="3"/>
    <x v="7"/>
    <x v="3"/>
    <s v="Married"/>
    <n v="13191"/>
    <n v="23281"/>
    <n v="3"/>
    <x v="0"/>
    <n v="17"/>
    <n v="3"/>
    <n v="3"/>
    <n v="0"/>
    <n v="20"/>
    <n v="6"/>
    <n v="3"/>
    <n v="1"/>
    <n v="0"/>
    <n v="0"/>
    <n v="0"/>
    <x v="2"/>
    <n v="0"/>
    <s v="30–39"/>
    <x v="1"/>
    <n v="3"/>
    <s v="High"/>
  </r>
  <r>
    <n v="35"/>
    <s v="No"/>
    <s v="Non-Travel"/>
    <n v="1212"/>
    <x v="0"/>
    <n v="8"/>
    <n v="2"/>
    <s v="Marketing"/>
    <n v="1243"/>
    <n v="3"/>
    <x v="0"/>
    <n v="78"/>
    <n v="2"/>
    <n v="3"/>
    <x v="0"/>
    <x v="0"/>
    <s v="Married"/>
    <n v="10377"/>
    <n v="13755"/>
    <n v="4"/>
    <x v="0"/>
    <n v="11"/>
    <n v="3"/>
    <n v="2"/>
    <n v="1"/>
    <n v="16"/>
    <n v="6"/>
    <n v="2"/>
    <n v="13"/>
    <n v="2"/>
    <n v="4"/>
    <n v="12"/>
    <x v="0"/>
    <n v="0"/>
    <s v="40–49"/>
    <x v="0"/>
    <n v="1"/>
    <s v="Low"/>
  </r>
  <r>
    <n v="27"/>
    <s v="No"/>
    <s v="Travel_Rarely"/>
    <n v="1103"/>
    <x v="1"/>
    <n v="14"/>
    <n v="3"/>
    <s v="Life Sciences"/>
    <n v="1244"/>
    <n v="1"/>
    <x v="1"/>
    <n v="42"/>
    <n v="3"/>
    <n v="1"/>
    <x v="1"/>
    <x v="3"/>
    <s v="Married"/>
    <n v="2235"/>
    <n v="14377"/>
    <n v="1"/>
    <x v="0"/>
    <n v="14"/>
    <n v="3"/>
    <n v="4"/>
    <n v="2"/>
    <n v="9"/>
    <n v="3"/>
    <n v="2"/>
    <n v="9"/>
    <n v="7"/>
    <n v="6"/>
    <n v="8"/>
    <x v="0"/>
    <n v="0"/>
    <s v="30–39"/>
    <x v="1"/>
    <n v="2"/>
    <s v="Medium"/>
  </r>
  <r>
    <n v="54"/>
    <s v="No"/>
    <s v="Travel_Frequently"/>
    <n v="966"/>
    <x v="1"/>
    <n v="1"/>
    <n v="4"/>
    <s v="Life Sciences"/>
    <n v="1245"/>
    <n v="4"/>
    <x v="0"/>
    <n v="53"/>
    <n v="3"/>
    <n v="3"/>
    <x v="3"/>
    <x v="2"/>
    <s v="Divorced"/>
    <n v="10502"/>
    <n v="9659"/>
    <n v="7"/>
    <x v="1"/>
    <n v="17"/>
    <n v="3"/>
    <n v="1"/>
    <n v="1"/>
    <n v="33"/>
    <n v="2"/>
    <n v="1"/>
    <n v="5"/>
    <n v="4"/>
    <n v="1"/>
    <n v="4"/>
    <x v="3"/>
    <n v="0"/>
    <s v="&lt;30"/>
    <x v="2"/>
    <n v="0"/>
    <s v="Low"/>
  </r>
  <r>
    <n v="44"/>
    <s v="No"/>
    <s v="Travel_Rarely"/>
    <n v="1117"/>
    <x v="1"/>
    <n v="2"/>
    <n v="1"/>
    <s v="Life Sciences"/>
    <n v="1246"/>
    <n v="1"/>
    <x v="0"/>
    <n v="72"/>
    <n v="4"/>
    <n v="1"/>
    <x v="1"/>
    <x v="0"/>
    <s v="Married"/>
    <n v="2011"/>
    <n v="19982"/>
    <n v="1"/>
    <x v="1"/>
    <n v="13"/>
    <n v="3"/>
    <n v="4"/>
    <n v="1"/>
    <n v="10"/>
    <n v="5"/>
    <n v="3"/>
    <n v="10"/>
    <n v="5"/>
    <n v="7"/>
    <n v="7"/>
    <x v="0"/>
    <n v="0"/>
    <s v="50+"/>
    <x v="0"/>
    <n v="0"/>
    <s v="Low"/>
  </r>
  <r>
    <n v="19"/>
    <s v="Yes"/>
    <s v="Non-Travel"/>
    <n v="504"/>
    <x v="1"/>
    <n v="10"/>
    <n v="3"/>
    <s v="Medical"/>
    <n v="1248"/>
    <n v="1"/>
    <x v="0"/>
    <n v="96"/>
    <n v="2"/>
    <n v="1"/>
    <x v="1"/>
    <x v="1"/>
    <s v="Single"/>
    <n v="1859"/>
    <n v="6148"/>
    <n v="1"/>
    <x v="0"/>
    <n v="25"/>
    <n v="4"/>
    <n v="2"/>
    <n v="0"/>
    <n v="1"/>
    <n v="2"/>
    <n v="4"/>
    <n v="1"/>
    <n v="1"/>
    <n v="0"/>
    <n v="0"/>
    <x v="2"/>
    <n v="1"/>
    <s v="40–49"/>
    <x v="1"/>
    <n v="3"/>
    <s v="High"/>
  </r>
  <r>
    <n v="29"/>
    <s v="No"/>
    <s v="Travel_Rarely"/>
    <n v="1010"/>
    <x v="1"/>
    <n v="1"/>
    <n v="3"/>
    <s v="Life Sciences"/>
    <n v="1249"/>
    <n v="1"/>
    <x v="0"/>
    <n v="97"/>
    <n v="3"/>
    <n v="1"/>
    <x v="1"/>
    <x v="0"/>
    <s v="Divorced"/>
    <n v="3760"/>
    <n v="5598"/>
    <n v="1"/>
    <x v="1"/>
    <n v="15"/>
    <n v="3"/>
    <n v="1"/>
    <n v="3"/>
    <n v="3"/>
    <n v="5"/>
    <n v="3"/>
    <n v="3"/>
    <n v="2"/>
    <n v="1"/>
    <n v="2"/>
    <x v="2"/>
    <n v="0"/>
    <s v="&lt;30"/>
    <x v="0"/>
    <n v="1"/>
    <s v="Low"/>
  </r>
  <r>
    <n v="54"/>
    <s v="No"/>
    <s v="Travel_Rarely"/>
    <n v="685"/>
    <x v="1"/>
    <n v="3"/>
    <n v="3"/>
    <s v="Life Sciences"/>
    <n v="1250"/>
    <n v="4"/>
    <x v="1"/>
    <n v="85"/>
    <n v="3"/>
    <n v="4"/>
    <x v="7"/>
    <x v="0"/>
    <s v="Married"/>
    <n v="17779"/>
    <n v="23474"/>
    <n v="3"/>
    <x v="1"/>
    <n v="14"/>
    <n v="3"/>
    <n v="1"/>
    <n v="0"/>
    <n v="36"/>
    <n v="2"/>
    <n v="3"/>
    <n v="10"/>
    <n v="9"/>
    <n v="0"/>
    <n v="9"/>
    <x v="0"/>
    <n v="0"/>
    <s v="&lt;30"/>
    <x v="0"/>
    <n v="0"/>
    <s v="Low"/>
  </r>
  <r>
    <n v="31"/>
    <s v="No"/>
    <s v="Travel_Rarely"/>
    <n v="1332"/>
    <x v="1"/>
    <n v="11"/>
    <n v="2"/>
    <s v="Medical"/>
    <n v="1251"/>
    <n v="3"/>
    <x v="1"/>
    <n v="80"/>
    <n v="3"/>
    <n v="2"/>
    <x v="4"/>
    <x v="3"/>
    <s v="Married"/>
    <n v="6833"/>
    <n v="17089"/>
    <n v="1"/>
    <x v="0"/>
    <n v="12"/>
    <n v="3"/>
    <n v="4"/>
    <n v="0"/>
    <n v="6"/>
    <n v="2"/>
    <n v="2"/>
    <n v="6"/>
    <n v="5"/>
    <n v="0"/>
    <n v="1"/>
    <x v="0"/>
    <n v="0"/>
    <s v="50+"/>
    <x v="1"/>
    <n v="2"/>
    <s v="Medium"/>
  </r>
  <r>
    <n v="31"/>
    <s v="No"/>
    <s v="Travel_Rarely"/>
    <n v="1062"/>
    <x v="1"/>
    <n v="24"/>
    <n v="3"/>
    <s v="Medical"/>
    <n v="1252"/>
    <n v="3"/>
    <x v="0"/>
    <n v="96"/>
    <n v="2"/>
    <n v="2"/>
    <x v="4"/>
    <x v="3"/>
    <s v="Single"/>
    <n v="6812"/>
    <n v="17198"/>
    <n v="1"/>
    <x v="1"/>
    <n v="19"/>
    <n v="3"/>
    <n v="2"/>
    <n v="0"/>
    <n v="10"/>
    <n v="2"/>
    <n v="3"/>
    <n v="10"/>
    <n v="9"/>
    <n v="1"/>
    <n v="8"/>
    <x v="0"/>
    <n v="0"/>
    <s v="30–39"/>
    <x v="1"/>
    <n v="1"/>
    <s v="Low"/>
  </r>
  <r>
    <n v="59"/>
    <s v="No"/>
    <s v="Travel_Rarely"/>
    <n v="326"/>
    <x v="0"/>
    <n v="3"/>
    <n v="3"/>
    <s v="Life Sciences"/>
    <n v="1254"/>
    <n v="3"/>
    <x v="0"/>
    <n v="48"/>
    <n v="2"/>
    <n v="2"/>
    <x v="0"/>
    <x v="0"/>
    <s v="Single"/>
    <n v="5171"/>
    <n v="16490"/>
    <n v="5"/>
    <x v="1"/>
    <n v="17"/>
    <n v="3"/>
    <n v="4"/>
    <n v="0"/>
    <n v="13"/>
    <n v="2"/>
    <n v="3"/>
    <n v="6"/>
    <n v="1"/>
    <n v="0"/>
    <n v="5"/>
    <x v="0"/>
    <n v="0"/>
    <s v="30–39"/>
    <x v="0"/>
    <n v="0"/>
    <s v="Low"/>
  </r>
  <r>
    <n v="43"/>
    <s v="No"/>
    <s v="Travel_Rarely"/>
    <n v="920"/>
    <x v="1"/>
    <n v="3"/>
    <n v="3"/>
    <s v="Life Sciences"/>
    <n v="1255"/>
    <n v="3"/>
    <x v="1"/>
    <n v="96"/>
    <n v="1"/>
    <n v="5"/>
    <x v="7"/>
    <x v="0"/>
    <s v="Married"/>
    <n v="19740"/>
    <n v="18625"/>
    <n v="3"/>
    <x v="1"/>
    <n v="14"/>
    <n v="3"/>
    <n v="2"/>
    <n v="1"/>
    <n v="25"/>
    <n v="2"/>
    <n v="3"/>
    <n v="8"/>
    <n v="7"/>
    <n v="0"/>
    <n v="7"/>
    <x v="0"/>
    <n v="0"/>
    <s v="50+"/>
    <x v="0"/>
    <n v="0"/>
    <s v="Low"/>
  </r>
  <r>
    <n v="49"/>
    <s v="No"/>
    <s v="Travel_Rarely"/>
    <n v="1098"/>
    <x v="1"/>
    <n v="4"/>
    <n v="2"/>
    <s v="Medical"/>
    <n v="1256"/>
    <n v="1"/>
    <x v="1"/>
    <n v="85"/>
    <n v="2"/>
    <n v="5"/>
    <x v="5"/>
    <x v="2"/>
    <s v="Married"/>
    <n v="18711"/>
    <n v="12124"/>
    <n v="2"/>
    <x v="1"/>
    <n v="13"/>
    <n v="3"/>
    <n v="3"/>
    <n v="1"/>
    <n v="23"/>
    <n v="2"/>
    <n v="4"/>
    <n v="1"/>
    <n v="0"/>
    <n v="0"/>
    <n v="0"/>
    <x v="2"/>
    <n v="0"/>
    <s v="40–49"/>
    <x v="2"/>
    <n v="1"/>
    <s v="Low"/>
  </r>
  <r>
    <n v="36"/>
    <s v="No"/>
    <s v="Travel_Frequently"/>
    <n v="469"/>
    <x v="1"/>
    <n v="3"/>
    <n v="3"/>
    <s v="Technical Degree"/>
    <n v="1257"/>
    <n v="3"/>
    <x v="1"/>
    <n v="46"/>
    <n v="3"/>
    <n v="1"/>
    <x v="1"/>
    <x v="1"/>
    <s v="Married"/>
    <n v="3692"/>
    <n v="9256"/>
    <n v="1"/>
    <x v="1"/>
    <n v="12"/>
    <n v="3"/>
    <n v="3"/>
    <n v="0"/>
    <n v="12"/>
    <n v="2"/>
    <n v="2"/>
    <n v="11"/>
    <n v="10"/>
    <n v="0"/>
    <n v="7"/>
    <x v="0"/>
    <n v="0"/>
    <s v="40–49"/>
    <x v="1"/>
    <n v="1"/>
    <s v="Low"/>
  </r>
  <r>
    <n v="48"/>
    <s v="No"/>
    <s v="Travel_Rarely"/>
    <n v="969"/>
    <x v="1"/>
    <n v="2"/>
    <n v="2"/>
    <s v="Technical Degree"/>
    <n v="1258"/>
    <n v="4"/>
    <x v="1"/>
    <n v="76"/>
    <n v="4"/>
    <n v="1"/>
    <x v="2"/>
    <x v="1"/>
    <s v="Single"/>
    <n v="2559"/>
    <n v="16620"/>
    <n v="5"/>
    <x v="1"/>
    <n v="11"/>
    <n v="3"/>
    <n v="3"/>
    <n v="0"/>
    <n v="7"/>
    <n v="4"/>
    <n v="2"/>
    <n v="1"/>
    <n v="0"/>
    <n v="0"/>
    <n v="0"/>
    <x v="2"/>
    <n v="0"/>
    <s v="30–39"/>
    <x v="1"/>
    <n v="2"/>
    <s v="Medium"/>
  </r>
  <r>
    <n v="27"/>
    <s v="No"/>
    <s v="Travel_Rarely"/>
    <n v="1167"/>
    <x v="1"/>
    <n v="4"/>
    <n v="2"/>
    <s v="Life Sciences"/>
    <n v="1259"/>
    <n v="1"/>
    <x v="1"/>
    <n v="76"/>
    <n v="3"/>
    <n v="1"/>
    <x v="1"/>
    <x v="2"/>
    <s v="Divorced"/>
    <n v="2517"/>
    <n v="3208"/>
    <n v="1"/>
    <x v="1"/>
    <n v="11"/>
    <n v="3"/>
    <n v="2"/>
    <n v="3"/>
    <n v="5"/>
    <n v="2"/>
    <n v="3"/>
    <n v="5"/>
    <n v="3"/>
    <n v="0"/>
    <n v="3"/>
    <x v="3"/>
    <n v="0"/>
    <s v="40–49"/>
    <x v="2"/>
    <n v="0"/>
    <s v="Low"/>
  </r>
  <r>
    <n v="29"/>
    <s v="No"/>
    <s v="Travel_Rarely"/>
    <n v="1329"/>
    <x v="1"/>
    <n v="7"/>
    <n v="3"/>
    <s v="Life Sciences"/>
    <n v="1260"/>
    <n v="3"/>
    <x v="1"/>
    <n v="82"/>
    <n v="3"/>
    <n v="2"/>
    <x v="4"/>
    <x v="0"/>
    <s v="Divorced"/>
    <n v="6623"/>
    <n v="4204"/>
    <n v="1"/>
    <x v="0"/>
    <n v="11"/>
    <n v="3"/>
    <n v="2"/>
    <n v="2"/>
    <n v="6"/>
    <n v="2"/>
    <n v="3"/>
    <n v="6"/>
    <n v="0"/>
    <n v="1"/>
    <n v="0"/>
    <x v="0"/>
    <n v="0"/>
    <s v="&lt;30"/>
    <x v="0"/>
    <n v="1"/>
    <s v="Low"/>
  </r>
  <r>
    <n v="48"/>
    <s v="No"/>
    <s v="Travel_Rarely"/>
    <n v="715"/>
    <x v="1"/>
    <n v="1"/>
    <n v="3"/>
    <s v="Life Sciences"/>
    <n v="1263"/>
    <n v="4"/>
    <x v="1"/>
    <n v="76"/>
    <n v="2"/>
    <n v="5"/>
    <x v="7"/>
    <x v="0"/>
    <s v="Single"/>
    <n v="18265"/>
    <n v="8733"/>
    <n v="6"/>
    <x v="1"/>
    <n v="12"/>
    <n v="3"/>
    <n v="3"/>
    <n v="0"/>
    <n v="25"/>
    <n v="3"/>
    <n v="4"/>
    <n v="1"/>
    <n v="0"/>
    <n v="0"/>
    <n v="0"/>
    <x v="2"/>
    <n v="0"/>
    <s v="&lt;30"/>
    <x v="0"/>
    <n v="1"/>
    <s v="Low"/>
  </r>
  <r>
    <n v="29"/>
    <s v="No"/>
    <s v="Travel_Rarely"/>
    <n v="694"/>
    <x v="1"/>
    <n v="1"/>
    <n v="3"/>
    <s v="Life Sciences"/>
    <n v="1264"/>
    <n v="4"/>
    <x v="0"/>
    <n v="87"/>
    <n v="2"/>
    <n v="4"/>
    <x v="7"/>
    <x v="0"/>
    <s v="Divorced"/>
    <n v="16124"/>
    <n v="3423"/>
    <n v="3"/>
    <x v="1"/>
    <n v="14"/>
    <n v="3"/>
    <n v="2"/>
    <n v="2"/>
    <n v="9"/>
    <n v="2"/>
    <n v="2"/>
    <n v="7"/>
    <n v="7"/>
    <n v="1"/>
    <n v="7"/>
    <x v="0"/>
    <n v="0"/>
    <s v="40–49"/>
    <x v="0"/>
    <n v="0"/>
    <s v="Low"/>
  </r>
  <r>
    <n v="34"/>
    <s v="No"/>
    <s v="Travel_Rarely"/>
    <n v="1320"/>
    <x v="1"/>
    <n v="20"/>
    <n v="3"/>
    <s v="Technical Degree"/>
    <n v="1265"/>
    <n v="3"/>
    <x v="0"/>
    <n v="89"/>
    <n v="4"/>
    <n v="1"/>
    <x v="1"/>
    <x v="2"/>
    <s v="Married"/>
    <n v="2585"/>
    <n v="21643"/>
    <n v="0"/>
    <x v="1"/>
    <n v="17"/>
    <n v="3"/>
    <n v="4"/>
    <n v="0"/>
    <n v="2"/>
    <n v="5"/>
    <n v="2"/>
    <n v="1"/>
    <n v="0"/>
    <n v="0"/>
    <n v="0"/>
    <x v="2"/>
    <n v="0"/>
    <s v="&lt;30"/>
    <x v="2"/>
    <n v="1"/>
    <s v="Low"/>
  </r>
  <r>
    <n v="44"/>
    <s v="No"/>
    <s v="Travel_Rarely"/>
    <n v="1099"/>
    <x v="0"/>
    <n v="5"/>
    <n v="3"/>
    <s v="Marketing"/>
    <n v="1267"/>
    <n v="2"/>
    <x v="1"/>
    <n v="88"/>
    <n v="3"/>
    <n v="5"/>
    <x v="5"/>
    <x v="1"/>
    <s v="Married"/>
    <n v="18213"/>
    <n v="8751"/>
    <n v="7"/>
    <x v="1"/>
    <n v="11"/>
    <n v="3"/>
    <n v="3"/>
    <n v="1"/>
    <n v="26"/>
    <n v="5"/>
    <n v="3"/>
    <n v="22"/>
    <n v="9"/>
    <n v="3"/>
    <n v="10"/>
    <x v="0"/>
    <n v="0"/>
    <s v="30–39"/>
    <x v="1"/>
    <n v="1"/>
    <s v="Low"/>
  </r>
  <r>
    <n v="33"/>
    <s v="No"/>
    <s v="Travel_Rarely"/>
    <n v="536"/>
    <x v="0"/>
    <n v="10"/>
    <n v="5"/>
    <s v="Marketing"/>
    <n v="1268"/>
    <n v="4"/>
    <x v="1"/>
    <n v="82"/>
    <n v="4"/>
    <n v="3"/>
    <x v="0"/>
    <x v="2"/>
    <s v="Divorced"/>
    <n v="8380"/>
    <n v="21708"/>
    <n v="0"/>
    <x v="0"/>
    <n v="14"/>
    <n v="3"/>
    <n v="4"/>
    <n v="2"/>
    <n v="10"/>
    <n v="3"/>
    <n v="3"/>
    <n v="9"/>
    <n v="8"/>
    <n v="0"/>
    <n v="8"/>
    <x v="0"/>
    <n v="0"/>
    <s v="40–49"/>
    <x v="2"/>
    <n v="1"/>
    <s v="Low"/>
  </r>
  <r>
    <n v="19"/>
    <s v="No"/>
    <s v="Travel_Rarely"/>
    <n v="265"/>
    <x v="1"/>
    <n v="25"/>
    <n v="3"/>
    <s v="Life Sciences"/>
    <n v="1269"/>
    <n v="2"/>
    <x v="0"/>
    <n v="57"/>
    <n v="4"/>
    <n v="1"/>
    <x v="1"/>
    <x v="0"/>
    <s v="Single"/>
    <n v="2994"/>
    <n v="21221"/>
    <n v="1"/>
    <x v="0"/>
    <n v="12"/>
    <n v="3"/>
    <n v="4"/>
    <n v="0"/>
    <n v="1"/>
    <n v="2"/>
    <n v="3"/>
    <n v="1"/>
    <n v="0"/>
    <n v="0"/>
    <n v="1"/>
    <x v="2"/>
    <n v="0"/>
    <s v="30–39"/>
    <x v="0"/>
    <n v="2"/>
    <s v="Medium"/>
  </r>
  <r>
    <n v="23"/>
    <s v="No"/>
    <s v="Travel_Rarely"/>
    <n v="373"/>
    <x v="1"/>
    <n v="1"/>
    <n v="2"/>
    <s v="Life Sciences"/>
    <n v="1270"/>
    <n v="4"/>
    <x v="1"/>
    <n v="47"/>
    <n v="3"/>
    <n v="1"/>
    <x v="1"/>
    <x v="2"/>
    <s v="Married"/>
    <n v="1223"/>
    <n v="16901"/>
    <n v="1"/>
    <x v="1"/>
    <n v="22"/>
    <n v="4"/>
    <n v="4"/>
    <n v="1"/>
    <n v="1"/>
    <n v="2"/>
    <n v="3"/>
    <n v="1"/>
    <n v="0"/>
    <n v="0"/>
    <n v="1"/>
    <x v="2"/>
    <n v="0"/>
    <s v="&lt;30"/>
    <x v="2"/>
    <n v="1"/>
    <s v="Low"/>
  </r>
  <r>
    <n v="25"/>
    <s v="Yes"/>
    <s v="Travel_Frequently"/>
    <n v="599"/>
    <x v="0"/>
    <n v="24"/>
    <n v="1"/>
    <s v="Life Sciences"/>
    <n v="1273"/>
    <n v="3"/>
    <x v="1"/>
    <n v="73"/>
    <n v="1"/>
    <n v="1"/>
    <x v="6"/>
    <x v="0"/>
    <s v="Single"/>
    <n v="1118"/>
    <n v="8040"/>
    <n v="1"/>
    <x v="0"/>
    <n v="14"/>
    <n v="3"/>
    <n v="4"/>
    <n v="0"/>
    <n v="1"/>
    <n v="4"/>
    <n v="3"/>
    <n v="1"/>
    <n v="0"/>
    <n v="1"/>
    <n v="0"/>
    <x v="2"/>
    <n v="1"/>
    <s v="&lt;30"/>
    <x v="0"/>
    <n v="2"/>
    <s v="Medium"/>
  </r>
  <r>
    <n v="26"/>
    <s v="No"/>
    <s v="Travel_Rarely"/>
    <n v="583"/>
    <x v="1"/>
    <n v="4"/>
    <n v="2"/>
    <s v="Life Sciences"/>
    <n v="1275"/>
    <n v="3"/>
    <x v="1"/>
    <n v="53"/>
    <n v="3"/>
    <n v="1"/>
    <x v="1"/>
    <x v="0"/>
    <s v="Single"/>
    <n v="2875"/>
    <n v="9973"/>
    <n v="1"/>
    <x v="0"/>
    <n v="20"/>
    <n v="4"/>
    <n v="2"/>
    <n v="0"/>
    <n v="8"/>
    <n v="2"/>
    <n v="2"/>
    <n v="8"/>
    <n v="5"/>
    <n v="2"/>
    <n v="2"/>
    <x v="0"/>
    <n v="0"/>
    <s v="&lt;30"/>
    <x v="0"/>
    <n v="1"/>
    <s v="Low"/>
  </r>
  <r>
    <n v="45"/>
    <s v="Yes"/>
    <s v="Travel_Rarely"/>
    <n v="1449"/>
    <x v="0"/>
    <n v="2"/>
    <n v="3"/>
    <s v="Marketing"/>
    <n v="1277"/>
    <n v="1"/>
    <x v="0"/>
    <n v="94"/>
    <n v="1"/>
    <n v="5"/>
    <x v="5"/>
    <x v="1"/>
    <s v="Single"/>
    <n v="18824"/>
    <n v="2493"/>
    <n v="2"/>
    <x v="0"/>
    <n v="16"/>
    <n v="3"/>
    <n v="1"/>
    <n v="0"/>
    <n v="26"/>
    <n v="2"/>
    <n v="3"/>
    <n v="24"/>
    <n v="10"/>
    <n v="1"/>
    <n v="11"/>
    <x v="0"/>
    <n v="1"/>
    <s v="&lt;30"/>
    <x v="1"/>
    <n v="2"/>
    <s v="Medium"/>
  </r>
  <r>
    <n v="55"/>
    <s v="No"/>
    <s v="Non-Travel"/>
    <n v="177"/>
    <x v="1"/>
    <n v="8"/>
    <n v="1"/>
    <s v="Medical"/>
    <n v="1278"/>
    <n v="4"/>
    <x v="1"/>
    <n v="37"/>
    <n v="2"/>
    <n v="4"/>
    <x v="4"/>
    <x v="1"/>
    <s v="Divorced"/>
    <n v="13577"/>
    <n v="25592"/>
    <n v="1"/>
    <x v="0"/>
    <n v="15"/>
    <n v="3"/>
    <n v="4"/>
    <n v="1"/>
    <n v="34"/>
    <n v="3"/>
    <n v="3"/>
    <n v="33"/>
    <n v="9"/>
    <n v="15"/>
    <n v="0"/>
    <x v="0"/>
    <n v="0"/>
    <s v="40–49"/>
    <x v="1"/>
    <n v="2"/>
    <s v="Medium"/>
  </r>
  <r>
    <n v="21"/>
    <s v="Yes"/>
    <s v="Travel_Frequently"/>
    <n v="251"/>
    <x v="1"/>
    <n v="10"/>
    <n v="2"/>
    <s v="Life Sciences"/>
    <n v="1279"/>
    <n v="1"/>
    <x v="0"/>
    <n v="45"/>
    <n v="2"/>
    <n v="1"/>
    <x v="2"/>
    <x v="2"/>
    <s v="Single"/>
    <n v="2625"/>
    <n v="25308"/>
    <n v="1"/>
    <x v="1"/>
    <n v="20"/>
    <n v="4"/>
    <n v="3"/>
    <n v="0"/>
    <n v="2"/>
    <n v="2"/>
    <n v="1"/>
    <n v="2"/>
    <n v="2"/>
    <n v="2"/>
    <n v="2"/>
    <x v="2"/>
    <n v="1"/>
    <s v="50+"/>
    <x v="2"/>
    <n v="1"/>
    <s v="Low"/>
  </r>
  <r>
    <n v="46"/>
    <s v="No"/>
    <s v="Travel_Rarely"/>
    <n v="168"/>
    <x v="0"/>
    <n v="4"/>
    <n v="2"/>
    <s v="Marketing"/>
    <n v="1280"/>
    <n v="4"/>
    <x v="0"/>
    <n v="33"/>
    <n v="2"/>
    <n v="5"/>
    <x v="5"/>
    <x v="1"/>
    <s v="Married"/>
    <n v="18789"/>
    <n v="9946"/>
    <n v="2"/>
    <x v="1"/>
    <n v="14"/>
    <n v="3"/>
    <n v="3"/>
    <n v="1"/>
    <n v="26"/>
    <n v="2"/>
    <n v="3"/>
    <n v="11"/>
    <n v="4"/>
    <n v="0"/>
    <n v="8"/>
    <x v="0"/>
    <n v="0"/>
    <s v="&lt;30"/>
    <x v="1"/>
    <n v="1"/>
    <s v="Low"/>
  </r>
  <r>
    <n v="34"/>
    <s v="No"/>
    <s v="Travel_Rarely"/>
    <n v="131"/>
    <x v="0"/>
    <n v="2"/>
    <n v="3"/>
    <s v="Marketing"/>
    <n v="1281"/>
    <n v="3"/>
    <x v="0"/>
    <n v="86"/>
    <n v="3"/>
    <n v="2"/>
    <x v="0"/>
    <x v="3"/>
    <s v="Single"/>
    <n v="4538"/>
    <n v="6039"/>
    <n v="0"/>
    <x v="0"/>
    <n v="12"/>
    <n v="3"/>
    <n v="4"/>
    <n v="0"/>
    <n v="4"/>
    <n v="3"/>
    <n v="3"/>
    <n v="3"/>
    <n v="2"/>
    <n v="0"/>
    <n v="2"/>
    <x v="2"/>
    <n v="0"/>
    <s v="40–49"/>
    <x v="1"/>
    <n v="3"/>
    <s v="High"/>
  </r>
  <r>
    <n v="51"/>
    <s v="No"/>
    <s v="Travel_Frequently"/>
    <n v="237"/>
    <x v="0"/>
    <n v="9"/>
    <n v="3"/>
    <s v="Life Sciences"/>
    <n v="1282"/>
    <n v="4"/>
    <x v="1"/>
    <n v="83"/>
    <n v="3"/>
    <n v="5"/>
    <x v="5"/>
    <x v="1"/>
    <s v="Divorced"/>
    <n v="19847"/>
    <n v="19196"/>
    <n v="4"/>
    <x v="0"/>
    <n v="24"/>
    <n v="4"/>
    <n v="1"/>
    <n v="1"/>
    <n v="31"/>
    <n v="5"/>
    <n v="2"/>
    <n v="29"/>
    <n v="10"/>
    <n v="11"/>
    <n v="10"/>
    <x v="0"/>
    <n v="0"/>
    <s v="30–39"/>
    <x v="1"/>
    <n v="2"/>
    <s v="Medium"/>
  </r>
  <r>
    <n v="59"/>
    <s v="No"/>
    <s v="Travel_Rarely"/>
    <n v="1429"/>
    <x v="1"/>
    <n v="18"/>
    <n v="4"/>
    <s v="Medical"/>
    <n v="1283"/>
    <n v="4"/>
    <x v="1"/>
    <n v="67"/>
    <n v="3"/>
    <n v="3"/>
    <x v="3"/>
    <x v="0"/>
    <s v="Single"/>
    <n v="10512"/>
    <n v="20002"/>
    <n v="6"/>
    <x v="1"/>
    <n v="12"/>
    <n v="3"/>
    <n v="4"/>
    <n v="0"/>
    <n v="25"/>
    <n v="6"/>
    <n v="2"/>
    <n v="9"/>
    <n v="7"/>
    <n v="5"/>
    <n v="4"/>
    <x v="0"/>
    <n v="0"/>
    <s v="50+"/>
    <x v="0"/>
    <n v="0"/>
    <s v="Low"/>
  </r>
  <r>
    <n v="34"/>
    <s v="No"/>
    <s v="Travel_Frequently"/>
    <n v="135"/>
    <x v="1"/>
    <n v="19"/>
    <n v="3"/>
    <s v="Medical"/>
    <n v="1285"/>
    <n v="3"/>
    <x v="0"/>
    <n v="46"/>
    <n v="3"/>
    <n v="2"/>
    <x v="2"/>
    <x v="1"/>
    <s v="Divorced"/>
    <n v="4444"/>
    <n v="22534"/>
    <n v="4"/>
    <x v="1"/>
    <n v="13"/>
    <n v="3"/>
    <n v="3"/>
    <n v="2"/>
    <n v="15"/>
    <n v="2"/>
    <n v="4"/>
    <n v="11"/>
    <n v="8"/>
    <n v="5"/>
    <n v="10"/>
    <x v="0"/>
    <n v="0"/>
    <s v="50+"/>
    <x v="1"/>
    <n v="1"/>
    <s v="Low"/>
  </r>
  <r>
    <n v="28"/>
    <s v="No"/>
    <s v="Travel_Frequently"/>
    <n v="791"/>
    <x v="1"/>
    <n v="1"/>
    <n v="4"/>
    <s v="Medical"/>
    <n v="1286"/>
    <n v="4"/>
    <x v="1"/>
    <n v="44"/>
    <n v="3"/>
    <n v="1"/>
    <x v="2"/>
    <x v="2"/>
    <s v="Single"/>
    <n v="2154"/>
    <n v="6842"/>
    <n v="0"/>
    <x v="0"/>
    <n v="11"/>
    <n v="3"/>
    <n v="3"/>
    <n v="0"/>
    <n v="5"/>
    <n v="2"/>
    <n v="2"/>
    <n v="4"/>
    <n v="2"/>
    <n v="0"/>
    <n v="2"/>
    <x v="3"/>
    <n v="0"/>
    <s v="30–39"/>
    <x v="2"/>
    <n v="1"/>
    <s v="Low"/>
  </r>
  <r>
    <n v="44"/>
    <s v="No"/>
    <s v="Travel_Rarely"/>
    <n v="1199"/>
    <x v="1"/>
    <n v="4"/>
    <n v="2"/>
    <s v="Life Sciences"/>
    <n v="1288"/>
    <n v="3"/>
    <x v="1"/>
    <n v="92"/>
    <n v="4"/>
    <n v="5"/>
    <x v="5"/>
    <x v="3"/>
    <s v="Divorced"/>
    <n v="19190"/>
    <n v="17477"/>
    <n v="1"/>
    <x v="1"/>
    <n v="14"/>
    <n v="3"/>
    <n v="4"/>
    <n v="2"/>
    <n v="26"/>
    <n v="4"/>
    <n v="2"/>
    <n v="25"/>
    <n v="9"/>
    <n v="14"/>
    <n v="13"/>
    <x v="0"/>
    <n v="0"/>
    <s v="&lt;30"/>
    <x v="1"/>
    <n v="1"/>
    <s v="Low"/>
  </r>
  <r>
    <n v="34"/>
    <s v="No"/>
    <s v="Travel_Frequently"/>
    <n v="648"/>
    <x v="2"/>
    <n v="11"/>
    <n v="3"/>
    <s v="Life Sciences"/>
    <n v="1289"/>
    <n v="3"/>
    <x v="1"/>
    <n v="56"/>
    <n v="2"/>
    <n v="2"/>
    <x v="8"/>
    <x v="1"/>
    <s v="Married"/>
    <n v="4490"/>
    <n v="21833"/>
    <n v="4"/>
    <x v="1"/>
    <n v="11"/>
    <n v="3"/>
    <n v="4"/>
    <n v="2"/>
    <n v="14"/>
    <n v="5"/>
    <n v="4"/>
    <n v="10"/>
    <n v="9"/>
    <n v="1"/>
    <n v="8"/>
    <x v="0"/>
    <n v="0"/>
    <s v="40–49"/>
    <x v="1"/>
    <n v="1"/>
    <s v="Low"/>
  </r>
  <r>
    <n v="35"/>
    <s v="No"/>
    <s v="Travel_Rarely"/>
    <n v="735"/>
    <x v="1"/>
    <n v="6"/>
    <n v="1"/>
    <s v="Life Sciences"/>
    <n v="1291"/>
    <n v="3"/>
    <x v="1"/>
    <n v="66"/>
    <n v="3"/>
    <n v="1"/>
    <x v="1"/>
    <x v="2"/>
    <s v="Married"/>
    <n v="3506"/>
    <n v="6020"/>
    <n v="0"/>
    <x v="0"/>
    <n v="14"/>
    <n v="3"/>
    <n v="4"/>
    <n v="0"/>
    <n v="4"/>
    <n v="3"/>
    <n v="3"/>
    <n v="3"/>
    <n v="2"/>
    <n v="2"/>
    <n v="2"/>
    <x v="2"/>
    <n v="0"/>
    <s v="30–39"/>
    <x v="2"/>
    <n v="2"/>
    <s v="Medium"/>
  </r>
  <r>
    <n v="42"/>
    <s v="No"/>
    <s v="Travel_Rarely"/>
    <n v="603"/>
    <x v="1"/>
    <n v="7"/>
    <n v="4"/>
    <s v="Medical"/>
    <n v="1292"/>
    <n v="2"/>
    <x v="0"/>
    <n v="78"/>
    <n v="4"/>
    <n v="2"/>
    <x v="1"/>
    <x v="1"/>
    <s v="Married"/>
    <n v="2372"/>
    <n v="5628"/>
    <n v="6"/>
    <x v="0"/>
    <n v="16"/>
    <n v="3"/>
    <n v="4"/>
    <n v="0"/>
    <n v="18"/>
    <n v="2"/>
    <n v="3"/>
    <n v="1"/>
    <n v="0"/>
    <n v="0"/>
    <n v="0"/>
    <x v="2"/>
    <n v="0"/>
    <s v="30–39"/>
    <x v="1"/>
    <n v="3"/>
    <s v="High"/>
  </r>
  <r>
    <n v="43"/>
    <s v="No"/>
    <s v="Travel_Rarely"/>
    <n v="531"/>
    <x v="0"/>
    <n v="4"/>
    <n v="4"/>
    <s v="Marketing"/>
    <n v="1293"/>
    <n v="4"/>
    <x v="0"/>
    <n v="56"/>
    <n v="2"/>
    <n v="3"/>
    <x v="0"/>
    <x v="0"/>
    <s v="Single"/>
    <n v="10231"/>
    <n v="20364"/>
    <n v="3"/>
    <x v="1"/>
    <n v="14"/>
    <n v="3"/>
    <n v="4"/>
    <n v="0"/>
    <n v="23"/>
    <n v="3"/>
    <n v="4"/>
    <n v="21"/>
    <n v="7"/>
    <n v="15"/>
    <n v="17"/>
    <x v="0"/>
    <n v="0"/>
    <s v="40–49"/>
    <x v="0"/>
    <n v="0"/>
    <s v="Low"/>
  </r>
  <r>
    <n v="36"/>
    <s v="No"/>
    <s v="Travel_Rarely"/>
    <n v="429"/>
    <x v="1"/>
    <n v="2"/>
    <n v="4"/>
    <s v="Life Sciences"/>
    <n v="1294"/>
    <n v="3"/>
    <x v="0"/>
    <n v="53"/>
    <n v="3"/>
    <n v="2"/>
    <x v="3"/>
    <x v="1"/>
    <s v="Single"/>
    <n v="5410"/>
    <n v="2323"/>
    <n v="9"/>
    <x v="0"/>
    <n v="11"/>
    <n v="3"/>
    <n v="4"/>
    <n v="0"/>
    <n v="18"/>
    <n v="2"/>
    <n v="3"/>
    <n v="16"/>
    <n v="14"/>
    <n v="5"/>
    <n v="12"/>
    <x v="0"/>
    <n v="0"/>
    <s v="40–49"/>
    <x v="1"/>
    <n v="2"/>
    <s v="Medium"/>
  </r>
  <r>
    <n v="44"/>
    <s v="Yes"/>
    <s v="Travel_Rarely"/>
    <n v="621"/>
    <x v="1"/>
    <n v="15"/>
    <n v="3"/>
    <s v="Medical"/>
    <n v="1295"/>
    <n v="1"/>
    <x v="0"/>
    <n v="73"/>
    <n v="3"/>
    <n v="3"/>
    <x v="4"/>
    <x v="0"/>
    <s v="Married"/>
    <n v="7978"/>
    <n v="14075"/>
    <n v="1"/>
    <x v="1"/>
    <n v="11"/>
    <n v="3"/>
    <n v="4"/>
    <n v="1"/>
    <n v="10"/>
    <n v="2"/>
    <n v="3"/>
    <n v="10"/>
    <n v="7"/>
    <n v="0"/>
    <n v="5"/>
    <x v="0"/>
    <n v="1"/>
    <s v="30–39"/>
    <x v="0"/>
    <n v="0"/>
    <s v="Low"/>
  </r>
  <r>
    <n v="28"/>
    <s v="No"/>
    <s v="Travel_Frequently"/>
    <n v="193"/>
    <x v="1"/>
    <n v="2"/>
    <n v="3"/>
    <s v="Life Sciences"/>
    <n v="1296"/>
    <n v="4"/>
    <x v="1"/>
    <n v="52"/>
    <n v="2"/>
    <n v="1"/>
    <x v="2"/>
    <x v="0"/>
    <s v="Married"/>
    <n v="3867"/>
    <n v="14222"/>
    <n v="1"/>
    <x v="0"/>
    <n v="12"/>
    <n v="3"/>
    <n v="2"/>
    <n v="1"/>
    <n v="2"/>
    <n v="2"/>
    <n v="3"/>
    <n v="2"/>
    <n v="2"/>
    <n v="2"/>
    <n v="2"/>
    <x v="2"/>
    <n v="0"/>
    <s v="40–49"/>
    <x v="0"/>
    <n v="2"/>
    <s v="Medium"/>
  </r>
  <r>
    <n v="51"/>
    <s v="No"/>
    <s v="Travel_Frequently"/>
    <n v="968"/>
    <x v="1"/>
    <n v="6"/>
    <n v="2"/>
    <s v="Medical"/>
    <n v="1297"/>
    <n v="2"/>
    <x v="0"/>
    <n v="40"/>
    <n v="2"/>
    <n v="1"/>
    <x v="2"/>
    <x v="2"/>
    <s v="Single"/>
    <n v="2838"/>
    <n v="4257"/>
    <n v="0"/>
    <x v="1"/>
    <n v="14"/>
    <n v="3"/>
    <n v="2"/>
    <n v="0"/>
    <n v="8"/>
    <n v="6"/>
    <n v="2"/>
    <n v="7"/>
    <n v="0"/>
    <n v="7"/>
    <n v="7"/>
    <x v="0"/>
    <n v="0"/>
    <s v="&lt;30"/>
    <x v="2"/>
    <n v="0"/>
    <s v="Low"/>
  </r>
  <r>
    <n v="30"/>
    <s v="No"/>
    <s v="Non-Travel"/>
    <n v="879"/>
    <x v="1"/>
    <n v="9"/>
    <n v="2"/>
    <s v="Medical"/>
    <n v="1298"/>
    <n v="3"/>
    <x v="0"/>
    <n v="72"/>
    <n v="3"/>
    <n v="2"/>
    <x v="3"/>
    <x v="2"/>
    <s v="Single"/>
    <n v="4695"/>
    <n v="12858"/>
    <n v="7"/>
    <x v="0"/>
    <n v="18"/>
    <n v="3"/>
    <n v="3"/>
    <n v="0"/>
    <n v="10"/>
    <n v="3"/>
    <n v="3"/>
    <n v="8"/>
    <n v="4"/>
    <n v="1"/>
    <n v="7"/>
    <x v="0"/>
    <n v="0"/>
    <s v="50+"/>
    <x v="2"/>
    <n v="1"/>
    <s v="Low"/>
  </r>
  <r>
    <n v="29"/>
    <s v="Yes"/>
    <s v="Travel_Rarely"/>
    <n v="806"/>
    <x v="1"/>
    <n v="7"/>
    <n v="3"/>
    <s v="Technical Degree"/>
    <n v="1299"/>
    <n v="2"/>
    <x v="0"/>
    <n v="39"/>
    <n v="3"/>
    <n v="1"/>
    <x v="2"/>
    <x v="2"/>
    <s v="Divorced"/>
    <n v="3339"/>
    <n v="17285"/>
    <n v="3"/>
    <x v="0"/>
    <n v="13"/>
    <n v="3"/>
    <n v="1"/>
    <n v="2"/>
    <n v="10"/>
    <n v="2"/>
    <n v="3"/>
    <n v="7"/>
    <n v="7"/>
    <n v="7"/>
    <n v="7"/>
    <x v="0"/>
    <n v="1"/>
    <s v="30–39"/>
    <x v="2"/>
    <n v="1"/>
    <s v="Low"/>
  </r>
  <r>
    <n v="28"/>
    <s v="No"/>
    <s v="Travel_Rarely"/>
    <n v="640"/>
    <x v="1"/>
    <n v="1"/>
    <n v="3"/>
    <s v="Technical Degree"/>
    <n v="1301"/>
    <n v="4"/>
    <x v="1"/>
    <n v="84"/>
    <n v="3"/>
    <n v="1"/>
    <x v="1"/>
    <x v="3"/>
    <s v="Single"/>
    <n v="2080"/>
    <n v="4732"/>
    <n v="2"/>
    <x v="1"/>
    <n v="11"/>
    <n v="3"/>
    <n v="2"/>
    <n v="0"/>
    <n v="5"/>
    <n v="2"/>
    <n v="2"/>
    <n v="3"/>
    <n v="2"/>
    <n v="1"/>
    <n v="2"/>
    <x v="2"/>
    <n v="0"/>
    <s v="&lt;30"/>
    <x v="1"/>
    <n v="2"/>
    <s v="Medium"/>
  </r>
  <r>
    <n v="25"/>
    <s v="No"/>
    <s v="Travel_Rarely"/>
    <n v="266"/>
    <x v="1"/>
    <n v="1"/>
    <n v="3"/>
    <s v="Medical"/>
    <n v="1303"/>
    <n v="4"/>
    <x v="0"/>
    <n v="40"/>
    <n v="3"/>
    <n v="1"/>
    <x v="1"/>
    <x v="1"/>
    <s v="Single"/>
    <n v="2096"/>
    <n v="18830"/>
    <n v="1"/>
    <x v="1"/>
    <n v="18"/>
    <n v="3"/>
    <n v="4"/>
    <n v="0"/>
    <n v="2"/>
    <n v="3"/>
    <n v="2"/>
    <n v="2"/>
    <n v="2"/>
    <n v="2"/>
    <n v="1"/>
    <x v="2"/>
    <n v="0"/>
    <s v="&lt;30"/>
    <x v="1"/>
    <n v="2"/>
    <s v="Medium"/>
  </r>
  <r>
    <n v="32"/>
    <s v="No"/>
    <s v="Travel_Rarely"/>
    <n v="604"/>
    <x v="0"/>
    <n v="8"/>
    <n v="3"/>
    <s v="Medical"/>
    <n v="1304"/>
    <n v="3"/>
    <x v="1"/>
    <n v="56"/>
    <n v="4"/>
    <n v="2"/>
    <x v="0"/>
    <x v="0"/>
    <s v="Married"/>
    <n v="6209"/>
    <n v="11693"/>
    <n v="1"/>
    <x v="1"/>
    <n v="15"/>
    <n v="3"/>
    <n v="3"/>
    <n v="2"/>
    <n v="10"/>
    <n v="4"/>
    <n v="4"/>
    <n v="10"/>
    <n v="7"/>
    <n v="0"/>
    <n v="8"/>
    <x v="0"/>
    <n v="0"/>
    <s v="&lt;30"/>
    <x v="0"/>
    <n v="0"/>
    <s v="Low"/>
  </r>
  <r>
    <n v="45"/>
    <s v="No"/>
    <s v="Travel_Frequently"/>
    <n v="364"/>
    <x v="1"/>
    <n v="25"/>
    <n v="3"/>
    <s v="Medical"/>
    <n v="1306"/>
    <n v="2"/>
    <x v="0"/>
    <n v="83"/>
    <n v="3"/>
    <n v="5"/>
    <x v="5"/>
    <x v="1"/>
    <s v="Single"/>
    <n v="18061"/>
    <n v="13035"/>
    <n v="3"/>
    <x v="1"/>
    <n v="22"/>
    <n v="4"/>
    <n v="3"/>
    <n v="0"/>
    <n v="22"/>
    <n v="4"/>
    <n v="3"/>
    <n v="0"/>
    <n v="0"/>
    <n v="0"/>
    <n v="0"/>
    <x v="1"/>
    <n v="0"/>
    <s v="30–39"/>
    <x v="1"/>
    <n v="2"/>
    <s v="Medium"/>
  </r>
  <r>
    <n v="39"/>
    <s v="No"/>
    <s v="Travel_Rarely"/>
    <n v="412"/>
    <x v="1"/>
    <n v="13"/>
    <n v="4"/>
    <s v="Medical"/>
    <n v="1307"/>
    <n v="3"/>
    <x v="0"/>
    <n v="94"/>
    <n v="2"/>
    <n v="4"/>
    <x v="5"/>
    <x v="1"/>
    <s v="Divorced"/>
    <n v="17123"/>
    <n v="17334"/>
    <n v="6"/>
    <x v="0"/>
    <n v="13"/>
    <n v="3"/>
    <n v="4"/>
    <n v="2"/>
    <n v="21"/>
    <n v="4"/>
    <n v="3"/>
    <n v="19"/>
    <n v="9"/>
    <n v="15"/>
    <n v="2"/>
    <x v="0"/>
    <n v="0"/>
    <s v="40–49"/>
    <x v="1"/>
    <n v="2"/>
    <s v="Medium"/>
  </r>
  <r>
    <n v="58"/>
    <s v="No"/>
    <s v="Travel_Rarely"/>
    <n v="848"/>
    <x v="1"/>
    <n v="23"/>
    <n v="4"/>
    <s v="Life Sciences"/>
    <n v="1308"/>
    <n v="1"/>
    <x v="1"/>
    <n v="88"/>
    <n v="3"/>
    <n v="1"/>
    <x v="1"/>
    <x v="2"/>
    <s v="Divorced"/>
    <n v="2372"/>
    <n v="26076"/>
    <n v="1"/>
    <x v="1"/>
    <n v="12"/>
    <n v="3"/>
    <n v="4"/>
    <n v="2"/>
    <n v="2"/>
    <n v="3"/>
    <n v="3"/>
    <n v="2"/>
    <n v="2"/>
    <n v="2"/>
    <n v="2"/>
    <x v="2"/>
    <n v="0"/>
    <s v="30–39"/>
    <x v="2"/>
    <n v="1"/>
    <s v="Low"/>
  </r>
  <r>
    <n v="32"/>
    <s v="Yes"/>
    <s v="Travel_Rarely"/>
    <n v="1089"/>
    <x v="1"/>
    <n v="7"/>
    <n v="2"/>
    <s v="Life Sciences"/>
    <n v="1309"/>
    <n v="4"/>
    <x v="1"/>
    <n v="79"/>
    <n v="3"/>
    <n v="2"/>
    <x v="2"/>
    <x v="2"/>
    <s v="Married"/>
    <n v="4883"/>
    <n v="22845"/>
    <n v="1"/>
    <x v="1"/>
    <n v="18"/>
    <n v="3"/>
    <n v="1"/>
    <n v="1"/>
    <n v="10"/>
    <n v="3"/>
    <n v="3"/>
    <n v="10"/>
    <n v="4"/>
    <n v="1"/>
    <n v="1"/>
    <x v="0"/>
    <n v="1"/>
    <s v="50+"/>
    <x v="2"/>
    <n v="0"/>
    <s v="Low"/>
  </r>
  <r>
    <n v="39"/>
    <s v="Yes"/>
    <s v="Travel_Rarely"/>
    <n v="360"/>
    <x v="1"/>
    <n v="23"/>
    <n v="3"/>
    <s v="Medical"/>
    <n v="1310"/>
    <n v="3"/>
    <x v="1"/>
    <n v="93"/>
    <n v="3"/>
    <n v="1"/>
    <x v="1"/>
    <x v="3"/>
    <s v="Single"/>
    <n v="3904"/>
    <n v="22154"/>
    <n v="0"/>
    <x v="1"/>
    <n v="13"/>
    <n v="3"/>
    <n v="1"/>
    <n v="0"/>
    <n v="6"/>
    <n v="2"/>
    <n v="3"/>
    <n v="5"/>
    <n v="2"/>
    <n v="0"/>
    <n v="3"/>
    <x v="3"/>
    <n v="1"/>
    <s v="30–39"/>
    <x v="1"/>
    <n v="1"/>
    <s v="Low"/>
  </r>
  <r>
    <n v="30"/>
    <s v="No"/>
    <s v="Travel_Rarely"/>
    <n v="1138"/>
    <x v="1"/>
    <n v="6"/>
    <n v="3"/>
    <s v="Technical Degree"/>
    <n v="1311"/>
    <n v="1"/>
    <x v="0"/>
    <n v="48"/>
    <n v="2"/>
    <n v="2"/>
    <x v="2"/>
    <x v="0"/>
    <s v="Married"/>
    <n v="4627"/>
    <n v="23631"/>
    <n v="0"/>
    <x v="1"/>
    <n v="12"/>
    <n v="3"/>
    <n v="1"/>
    <n v="1"/>
    <n v="10"/>
    <n v="6"/>
    <n v="3"/>
    <n v="9"/>
    <n v="2"/>
    <n v="6"/>
    <n v="7"/>
    <x v="0"/>
    <n v="0"/>
    <s v="30–39"/>
    <x v="0"/>
    <n v="0"/>
    <s v="Low"/>
  </r>
  <r>
    <n v="36"/>
    <s v="No"/>
    <s v="Travel_Rarely"/>
    <n v="325"/>
    <x v="1"/>
    <n v="10"/>
    <n v="4"/>
    <s v="Technical Degree"/>
    <n v="1312"/>
    <n v="4"/>
    <x v="0"/>
    <n v="63"/>
    <n v="3"/>
    <n v="3"/>
    <x v="4"/>
    <x v="2"/>
    <s v="Married"/>
    <n v="7094"/>
    <n v="5747"/>
    <n v="3"/>
    <x v="1"/>
    <n v="12"/>
    <n v="3"/>
    <n v="1"/>
    <n v="0"/>
    <n v="10"/>
    <n v="0"/>
    <n v="3"/>
    <n v="7"/>
    <n v="7"/>
    <n v="1"/>
    <n v="7"/>
    <x v="0"/>
    <n v="0"/>
    <s v="30–39"/>
    <x v="2"/>
    <n v="0"/>
    <s v="Low"/>
  </r>
  <r>
    <n v="46"/>
    <s v="No"/>
    <s v="Travel_Rarely"/>
    <n v="991"/>
    <x v="2"/>
    <n v="1"/>
    <n v="2"/>
    <s v="Life Sciences"/>
    <n v="1314"/>
    <n v="4"/>
    <x v="0"/>
    <n v="44"/>
    <n v="3"/>
    <n v="1"/>
    <x v="8"/>
    <x v="3"/>
    <s v="Single"/>
    <n v="3423"/>
    <n v="22957"/>
    <n v="6"/>
    <x v="1"/>
    <n v="12"/>
    <n v="3"/>
    <n v="3"/>
    <n v="0"/>
    <n v="10"/>
    <n v="3"/>
    <n v="4"/>
    <n v="7"/>
    <n v="6"/>
    <n v="5"/>
    <n v="7"/>
    <x v="0"/>
    <n v="0"/>
    <s v="30–39"/>
    <x v="1"/>
    <n v="1"/>
    <s v="Low"/>
  </r>
  <r>
    <n v="28"/>
    <s v="No"/>
    <s v="Non-Travel"/>
    <n v="1476"/>
    <x v="1"/>
    <n v="1"/>
    <n v="3"/>
    <s v="Life Sciences"/>
    <n v="1315"/>
    <n v="3"/>
    <x v="0"/>
    <n v="55"/>
    <n v="1"/>
    <n v="2"/>
    <x v="2"/>
    <x v="0"/>
    <s v="Married"/>
    <n v="6674"/>
    <n v="16392"/>
    <n v="0"/>
    <x v="1"/>
    <n v="11"/>
    <n v="3"/>
    <n v="1"/>
    <n v="3"/>
    <n v="10"/>
    <n v="6"/>
    <n v="3"/>
    <n v="9"/>
    <n v="8"/>
    <n v="7"/>
    <n v="5"/>
    <x v="0"/>
    <n v="0"/>
    <s v="40–49"/>
    <x v="0"/>
    <n v="0"/>
    <s v="Low"/>
  </r>
  <r>
    <n v="50"/>
    <s v="No"/>
    <s v="Travel_Rarely"/>
    <n v="1322"/>
    <x v="1"/>
    <n v="28"/>
    <n v="3"/>
    <s v="Life Sciences"/>
    <n v="1317"/>
    <n v="4"/>
    <x v="0"/>
    <n v="43"/>
    <n v="3"/>
    <n v="4"/>
    <x v="7"/>
    <x v="3"/>
    <s v="Married"/>
    <n v="16880"/>
    <n v="22422"/>
    <n v="4"/>
    <x v="0"/>
    <n v="11"/>
    <n v="3"/>
    <n v="2"/>
    <n v="0"/>
    <n v="25"/>
    <n v="2"/>
    <n v="3"/>
    <n v="3"/>
    <n v="2"/>
    <n v="1"/>
    <n v="2"/>
    <x v="2"/>
    <n v="0"/>
    <s v="&lt;30"/>
    <x v="1"/>
    <n v="3"/>
    <s v="High"/>
  </r>
  <r>
    <n v="40"/>
    <s v="Yes"/>
    <s v="Travel_Rarely"/>
    <n v="299"/>
    <x v="0"/>
    <n v="25"/>
    <n v="4"/>
    <s v="Marketing"/>
    <n v="1318"/>
    <n v="4"/>
    <x v="1"/>
    <n v="57"/>
    <n v="2"/>
    <n v="3"/>
    <x v="0"/>
    <x v="1"/>
    <s v="Single"/>
    <n v="9094"/>
    <n v="17235"/>
    <n v="2"/>
    <x v="0"/>
    <n v="12"/>
    <n v="3"/>
    <n v="3"/>
    <n v="0"/>
    <n v="9"/>
    <n v="2"/>
    <n v="3"/>
    <n v="5"/>
    <n v="4"/>
    <n v="1"/>
    <n v="0"/>
    <x v="3"/>
    <n v="1"/>
    <s v="50+"/>
    <x v="1"/>
    <n v="2"/>
    <s v="Medium"/>
  </r>
  <r>
    <n v="52"/>
    <s v="Yes"/>
    <s v="Travel_Rarely"/>
    <n v="1030"/>
    <x v="0"/>
    <n v="5"/>
    <n v="3"/>
    <s v="Life Sciences"/>
    <n v="1319"/>
    <n v="2"/>
    <x v="1"/>
    <n v="64"/>
    <n v="3"/>
    <n v="3"/>
    <x v="0"/>
    <x v="1"/>
    <s v="Single"/>
    <n v="8446"/>
    <n v="21534"/>
    <n v="9"/>
    <x v="0"/>
    <n v="19"/>
    <n v="3"/>
    <n v="3"/>
    <n v="0"/>
    <n v="10"/>
    <n v="2"/>
    <n v="2"/>
    <n v="8"/>
    <n v="7"/>
    <n v="7"/>
    <n v="7"/>
    <x v="0"/>
    <n v="1"/>
    <s v="40–49"/>
    <x v="1"/>
    <n v="2"/>
    <s v="Medium"/>
  </r>
  <r>
    <n v="30"/>
    <s v="No"/>
    <s v="Travel_Rarely"/>
    <n v="634"/>
    <x v="1"/>
    <n v="17"/>
    <n v="4"/>
    <s v="Medical"/>
    <n v="1321"/>
    <n v="2"/>
    <x v="0"/>
    <n v="95"/>
    <n v="3"/>
    <n v="3"/>
    <x v="5"/>
    <x v="3"/>
    <s v="Married"/>
    <n v="11916"/>
    <n v="25927"/>
    <n v="1"/>
    <x v="0"/>
    <n v="23"/>
    <n v="4"/>
    <n v="4"/>
    <n v="2"/>
    <n v="9"/>
    <n v="2"/>
    <n v="3"/>
    <n v="9"/>
    <n v="1"/>
    <n v="0"/>
    <n v="8"/>
    <x v="0"/>
    <n v="0"/>
    <s v="50+"/>
    <x v="1"/>
    <n v="2"/>
    <s v="Medium"/>
  </r>
  <r>
    <n v="39"/>
    <s v="No"/>
    <s v="Travel_Rarely"/>
    <n v="524"/>
    <x v="1"/>
    <n v="18"/>
    <n v="2"/>
    <s v="Life Sciences"/>
    <n v="1322"/>
    <n v="1"/>
    <x v="1"/>
    <n v="32"/>
    <n v="3"/>
    <n v="2"/>
    <x v="3"/>
    <x v="2"/>
    <s v="Single"/>
    <n v="4534"/>
    <n v="13352"/>
    <n v="0"/>
    <x v="1"/>
    <n v="11"/>
    <n v="3"/>
    <n v="1"/>
    <n v="0"/>
    <n v="9"/>
    <n v="6"/>
    <n v="3"/>
    <n v="8"/>
    <n v="7"/>
    <n v="1"/>
    <n v="7"/>
    <x v="0"/>
    <n v="0"/>
    <s v="30–39"/>
    <x v="2"/>
    <n v="0"/>
    <s v="Low"/>
  </r>
  <r>
    <n v="31"/>
    <s v="No"/>
    <s v="Non-Travel"/>
    <n v="587"/>
    <x v="0"/>
    <n v="2"/>
    <n v="4"/>
    <s v="Life Sciences"/>
    <n v="1324"/>
    <n v="4"/>
    <x v="0"/>
    <n v="57"/>
    <n v="3"/>
    <n v="3"/>
    <x v="0"/>
    <x v="2"/>
    <s v="Divorced"/>
    <n v="9852"/>
    <n v="8935"/>
    <n v="1"/>
    <x v="0"/>
    <n v="19"/>
    <n v="3"/>
    <n v="1"/>
    <n v="1"/>
    <n v="10"/>
    <n v="5"/>
    <n v="2"/>
    <n v="10"/>
    <n v="8"/>
    <n v="9"/>
    <n v="6"/>
    <x v="0"/>
    <n v="0"/>
    <s v="30–39"/>
    <x v="2"/>
    <n v="1"/>
    <s v="Low"/>
  </r>
  <r>
    <n v="41"/>
    <s v="No"/>
    <s v="Non-Travel"/>
    <n v="256"/>
    <x v="0"/>
    <n v="10"/>
    <n v="2"/>
    <s v="Medical"/>
    <n v="1329"/>
    <n v="3"/>
    <x v="1"/>
    <n v="40"/>
    <n v="1"/>
    <n v="2"/>
    <x v="0"/>
    <x v="1"/>
    <s v="Single"/>
    <n v="6151"/>
    <n v="22074"/>
    <n v="1"/>
    <x v="1"/>
    <n v="13"/>
    <n v="3"/>
    <n v="1"/>
    <n v="0"/>
    <n v="19"/>
    <n v="4"/>
    <n v="3"/>
    <n v="19"/>
    <n v="2"/>
    <n v="11"/>
    <n v="9"/>
    <x v="0"/>
    <n v="0"/>
    <s v="30–39"/>
    <x v="1"/>
    <n v="1"/>
    <s v="Low"/>
  </r>
  <r>
    <n v="31"/>
    <s v="Yes"/>
    <s v="Travel_Frequently"/>
    <n v="1060"/>
    <x v="0"/>
    <n v="1"/>
    <n v="3"/>
    <s v="Life Sciences"/>
    <n v="1331"/>
    <n v="4"/>
    <x v="0"/>
    <n v="54"/>
    <n v="3"/>
    <n v="1"/>
    <x v="6"/>
    <x v="1"/>
    <s v="Single"/>
    <n v="2302"/>
    <n v="8319"/>
    <n v="1"/>
    <x v="0"/>
    <n v="11"/>
    <n v="3"/>
    <n v="1"/>
    <n v="0"/>
    <n v="3"/>
    <n v="2"/>
    <n v="4"/>
    <n v="3"/>
    <n v="2"/>
    <n v="2"/>
    <n v="2"/>
    <x v="2"/>
    <n v="1"/>
    <s v="40–49"/>
    <x v="1"/>
    <n v="3"/>
    <s v="High"/>
  </r>
  <r>
    <n v="44"/>
    <s v="Yes"/>
    <s v="Travel_Rarely"/>
    <n v="935"/>
    <x v="1"/>
    <n v="3"/>
    <n v="3"/>
    <s v="Life Sciences"/>
    <n v="1333"/>
    <n v="1"/>
    <x v="1"/>
    <n v="89"/>
    <n v="3"/>
    <n v="1"/>
    <x v="2"/>
    <x v="3"/>
    <s v="Married"/>
    <n v="2362"/>
    <n v="14669"/>
    <n v="4"/>
    <x v="1"/>
    <n v="12"/>
    <n v="3"/>
    <n v="3"/>
    <n v="0"/>
    <n v="10"/>
    <n v="4"/>
    <n v="4"/>
    <n v="3"/>
    <n v="2"/>
    <n v="1"/>
    <n v="2"/>
    <x v="2"/>
    <n v="1"/>
    <s v="30–39"/>
    <x v="1"/>
    <n v="2"/>
    <s v="Medium"/>
  </r>
  <r>
    <n v="42"/>
    <s v="No"/>
    <s v="Non-Travel"/>
    <n v="495"/>
    <x v="1"/>
    <n v="2"/>
    <n v="1"/>
    <s v="Life Sciences"/>
    <n v="1334"/>
    <n v="3"/>
    <x v="1"/>
    <n v="37"/>
    <n v="3"/>
    <n v="4"/>
    <x v="5"/>
    <x v="2"/>
    <s v="Married"/>
    <n v="17861"/>
    <n v="26582"/>
    <n v="0"/>
    <x v="0"/>
    <n v="13"/>
    <n v="3"/>
    <n v="4"/>
    <n v="0"/>
    <n v="21"/>
    <n v="3"/>
    <n v="2"/>
    <n v="20"/>
    <n v="8"/>
    <n v="2"/>
    <n v="10"/>
    <x v="0"/>
    <n v="0"/>
    <s v="40–49"/>
    <x v="2"/>
    <n v="1"/>
    <s v="Low"/>
  </r>
  <r>
    <n v="55"/>
    <s v="No"/>
    <s v="Travel_Rarely"/>
    <n v="282"/>
    <x v="1"/>
    <n v="2"/>
    <n v="2"/>
    <s v="Medical"/>
    <n v="1336"/>
    <n v="4"/>
    <x v="0"/>
    <n v="58"/>
    <n v="1"/>
    <n v="5"/>
    <x v="5"/>
    <x v="2"/>
    <s v="Married"/>
    <n v="19187"/>
    <n v="6992"/>
    <n v="4"/>
    <x v="1"/>
    <n v="14"/>
    <n v="3"/>
    <n v="4"/>
    <n v="1"/>
    <n v="23"/>
    <n v="5"/>
    <n v="3"/>
    <n v="19"/>
    <n v="9"/>
    <n v="9"/>
    <n v="11"/>
    <x v="0"/>
    <n v="0"/>
    <s v="40–49"/>
    <x v="2"/>
    <n v="0"/>
    <s v="Low"/>
  </r>
  <r>
    <n v="56"/>
    <s v="No"/>
    <s v="Travel_Rarely"/>
    <n v="206"/>
    <x v="2"/>
    <n v="8"/>
    <n v="4"/>
    <s v="Life Sciences"/>
    <n v="1338"/>
    <n v="4"/>
    <x v="1"/>
    <n v="99"/>
    <n v="3"/>
    <n v="5"/>
    <x v="5"/>
    <x v="1"/>
    <s v="Single"/>
    <n v="19717"/>
    <n v="4022"/>
    <n v="6"/>
    <x v="1"/>
    <n v="14"/>
    <n v="3"/>
    <n v="1"/>
    <n v="0"/>
    <n v="36"/>
    <n v="4"/>
    <n v="3"/>
    <n v="7"/>
    <n v="3"/>
    <n v="7"/>
    <n v="7"/>
    <x v="0"/>
    <n v="0"/>
    <s v="50+"/>
    <x v="1"/>
    <n v="1"/>
    <s v="Low"/>
  </r>
  <r>
    <n v="40"/>
    <s v="No"/>
    <s v="Non-Travel"/>
    <n v="458"/>
    <x v="1"/>
    <n v="16"/>
    <n v="2"/>
    <s v="Life Sciences"/>
    <n v="1340"/>
    <n v="3"/>
    <x v="1"/>
    <n v="74"/>
    <n v="3"/>
    <n v="1"/>
    <x v="1"/>
    <x v="2"/>
    <s v="Divorced"/>
    <n v="3544"/>
    <n v="8532"/>
    <n v="9"/>
    <x v="1"/>
    <n v="16"/>
    <n v="3"/>
    <n v="2"/>
    <n v="1"/>
    <n v="6"/>
    <n v="0"/>
    <n v="3"/>
    <n v="4"/>
    <n v="2"/>
    <n v="0"/>
    <n v="0"/>
    <x v="3"/>
    <n v="0"/>
    <s v="50+"/>
    <x v="2"/>
    <n v="0"/>
    <s v="Low"/>
  </r>
  <r>
    <n v="34"/>
    <s v="No"/>
    <s v="Travel_Rarely"/>
    <n v="943"/>
    <x v="1"/>
    <n v="9"/>
    <n v="3"/>
    <s v="Life Sciences"/>
    <n v="1344"/>
    <n v="4"/>
    <x v="1"/>
    <n v="86"/>
    <n v="3"/>
    <n v="3"/>
    <x v="4"/>
    <x v="0"/>
    <s v="Divorced"/>
    <n v="8500"/>
    <n v="5494"/>
    <n v="0"/>
    <x v="1"/>
    <n v="11"/>
    <n v="3"/>
    <n v="4"/>
    <n v="1"/>
    <n v="10"/>
    <n v="0"/>
    <n v="2"/>
    <n v="9"/>
    <n v="7"/>
    <n v="1"/>
    <n v="6"/>
    <x v="0"/>
    <n v="0"/>
    <s v="40–49"/>
    <x v="0"/>
    <n v="0"/>
    <s v="Low"/>
  </r>
  <r>
    <n v="40"/>
    <s v="No"/>
    <s v="Travel_Rarely"/>
    <n v="523"/>
    <x v="1"/>
    <n v="2"/>
    <n v="3"/>
    <s v="Life Sciences"/>
    <n v="1346"/>
    <n v="3"/>
    <x v="1"/>
    <n v="98"/>
    <n v="3"/>
    <n v="2"/>
    <x v="1"/>
    <x v="0"/>
    <s v="Single"/>
    <n v="4661"/>
    <n v="22455"/>
    <n v="1"/>
    <x v="1"/>
    <n v="13"/>
    <n v="3"/>
    <n v="3"/>
    <n v="0"/>
    <n v="9"/>
    <n v="4"/>
    <n v="3"/>
    <n v="9"/>
    <n v="8"/>
    <n v="8"/>
    <n v="8"/>
    <x v="0"/>
    <n v="0"/>
    <s v="30–39"/>
    <x v="0"/>
    <n v="0"/>
    <s v="Low"/>
  </r>
  <r>
    <n v="41"/>
    <s v="No"/>
    <s v="Travel_Frequently"/>
    <n v="1018"/>
    <x v="0"/>
    <n v="1"/>
    <n v="3"/>
    <s v="Marketing"/>
    <n v="1349"/>
    <n v="3"/>
    <x v="0"/>
    <n v="66"/>
    <n v="3"/>
    <n v="2"/>
    <x v="0"/>
    <x v="3"/>
    <s v="Divorced"/>
    <n v="4103"/>
    <n v="4297"/>
    <n v="0"/>
    <x v="1"/>
    <n v="17"/>
    <n v="3"/>
    <n v="4"/>
    <n v="1"/>
    <n v="10"/>
    <n v="2"/>
    <n v="3"/>
    <n v="9"/>
    <n v="3"/>
    <n v="1"/>
    <n v="7"/>
    <x v="0"/>
    <n v="0"/>
    <s v="40–49"/>
    <x v="1"/>
    <n v="1"/>
    <s v="Low"/>
  </r>
  <r>
    <n v="35"/>
    <s v="No"/>
    <s v="Travel_Frequently"/>
    <n v="482"/>
    <x v="1"/>
    <n v="4"/>
    <n v="4"/>
    <s v="Life Sciences"/>
    <n v="1350"/>
    <n v="3"/>
    <x v="1"/>
    <n v="87"/>
    <n v="3"/>
    <n v="2"/>
    <x v="1"/>
    <x v="2"/>
    <s v="Single"/>
    <n v="4249"/>
    <n v="2690"/>
    <n v="1"/>
    <x v="0"/>
    <n v="11"/>
    <n v="3"/>
    <n v="2"/>
    <n v="0"/>
    <n v="9"/>
    <n v="3"/>
    <n v="3"/>
    <n v="9"/>
    <n v="6"/>
    <n v="1"/>
    <n v="1"/>
    <x v="0"/>
    <n v="0"/>
    <s v="40–49"/>
    <x v="2"/>
    <n v="1"/>
    <s v="Low"/>
  </r>
  <r>
    <n v="51"/>
    <s v="No"/>
    <s v="Travel_Rarely"/>
    <n v="770"/>
    <x v="2"/>
    <n v="5"/>
    <n v="3"/>
    <s v="Life Sciences"/>
    <n v="1352"/>
    <n v="3"/>
    <x v="1"/>
    <n v="84"/>
    <n v="3"/>
    <n v="4"/>
    <x v="5"/>
    <x v="1"/>
    <s v="Divorced"/>
    <n v="14026"/>
    <n v="17588"/>
    <n v="1"/>
    <x v="0"/>
    <n v="11"/>
    <n v="3"/>
    <n v="2"/>
    <n v="1"/>
    <n v="33"/>
    <n v="2"/>
    <n v="3"/>
    <n v="33"/>
    <n v="9"/>
    <n v="0"/>
    <n v="10"/>
    <x v="0"/>
    <n v="0"/>
    <s v="30–39"/>
    <x v="1"/>
    <n v="2"/>
    <s v="Medium"/>
  </r>
  <r>
    <n v="38"/>
    <s v="No"/>
    <s v="Travel_Rarely"/>
    <n v="1009"/>
    <x v="0"/>
    <n v="2"/>
    <n v="2"/>
    <s v="Life Sciences"/>
    <n v="1355"/>
    <n v="2"/>
    <x v="0"/>
    <n v="31"/>
    <n v="3"/>
    <n v="2"/>
    <x v="0"/>
    <x v="3"/>
    <s v="Divorced"/>
    <n v="6893"/>
    <n v="19461"/>
    <n v="3"/>
    <x v="1"/>
    <n v="15"/>
    <n v="3"/>
    <n v="4"/>
    <n v="1"/>
    <n v="11"/>
    <n v="3"/>
    <n v="3"/>
    <n v="7"/>
    <n v="7"/>
    <n v="1"/>
    <n v="7"/>
    <x v="0"/>
    <n v="0"/>
    <s v="50+"/>
    <x v="1"/>
    <n v="1"/>
    <s v="Low"/>
  </r>
  <r>
    <n v="34"/>
    <s v="No"/>
    <s v="Travel_Rarely"/>
    <n v="507"/>
    <x v="0"/>
    <n v="15"/>
    <n v="2"/>
    <s v="Medical"/>
    <n v="1356"/>
    <n v="3"/>
    <x v="0"/>
    <n v="66"/>
    <n v="3"/>
    <n v="2"/>
    <x v="0"/>
    <x v="3"/>
    <s v="Single"/>
    <n v="6125"/>
    <n v="23553"/>
    <n v="1"/>
    <x v="1"/>
    <n v="12"/>
    <n v="3"/>
    <n v="4"/>
    <n v="0"/>
    <n v="10"/>
    <n v="6"/>
    <n v="4"/>
    <n v="10"/>
    <n v="8"/>
    <n v="9"/>
    <n v="6"/>
    <x v="0"/>
    <n v="0"/>
    <s v="30–39"/>
    <x v="1"/>
    <n v="1"/>
    <s v="Low"/>
  </r>
  <r>
    <n v="25"/>
    <s v="No"/>
    <s v="Travel_Rarely"/>
    <n v="882"/>
    <x v="1"/>
    <n v="19"/>
    <n v="1"/>
    <s v="Medical"/>
    <n v="1358"/>
    <n v="4"/>
    <x v="1"/>
    <n v="67"/>
    <n v="3"/>
    <n v="1"/>
    <x v="2"/>
    <x v="0"/>
    <s v="Married"/>
    <n v="3669"/>
    <n v="9075"/>
    <n v="3"/>
    <x v="1"/>
    <n v="11"/>
    <n v="3"/>
    <n v="3"/>
    <n v="3"/>
    <n v="7"/>
    <n v="6"/>
    <n v="2"/>
    <n v="3"/>
    <n v="2"/>
    <n v="1"/>
    <n v="2"/>
    <x v="2"/>
    <n v="0"/>
    <s v="30–39"/>
    <x v="0"/>
    <n v="1"/>
    <s v="Low"/>
  </r>
  <r>
    <n v="58"/>
    <s v="Yes"/>
    <s v="Travel_Rarely"/>
    <n v="601"/>
    <x v="1"/>
    <n v="7"/>
    <n v="4"/>
    <s v="Medical"/>
    <n v="1360"/>
    <n v="3"/>
    <x v="0"/>
    <n v="53"/>
    <n v="2"/>
    <n v="3"/>
    <x v="3"/>
    <x v="3"/>
    <s v="Married"/>
    <n v="10008"/>
    <n v="12023"/>
    <n v="7"/>
    <x v="0"/>
    <n v="14"/>
    <n v="3"/>
    <n v="4"/>
    <n v="0"/>
    <n v="31"/>
    <n v="0"/>
    <n v="2"/>
    <n v="10"/>
    <n v="9"/>
    <n v="5"/>
    <n v="9"/>
    <x v="0"/>
    <n v="1"/>
    <s v="&lt;30"/>
    <x v="1"/>
    <n v="2"/>
    <s v="Medium"/>
  </r>
  <r>
    <n v="40"/>
    <s v="No"/>
    <s v="Travel_Rarely"/>
    <n v="329"/>
    <x v="1"/>
    <n v="1"/>
    <n v="4"/>
    <s v="Life Sciences"/>
    <n v="1361"/>
    <n v="2"/>
    <x v="1"/>
    <n v="88"/>
    <n v="3"/>
    <n v="1"/>
    <x v="2"/>
    <x v="1"/>
    <s v="Married"/>
    <n v="2387"/>
    <n v="6762"/>
    <n v="3"/>
    <x v="1"/>
    <n v="22"/>
    <n v="4"/>
    <n v="3"/>
    <n v="1"/>
    <n v="7"/>
    <n v="3"/>
    <n v="3"/>
    <n v="4"/>
    <n v="2"/>
    <n v="0"/>
    <n v="3"/>
    <x v="3"/>
    <n v="0"/>
    <s v="50+"/>
    <x v="1"/>
    <n v="1"/>
    <s v="Low"/>
  </r>
  <r>
    <n v="36"/>
    <s v="No"/>
    <s v="Travel_Frequently"/>
    <n v="607"/>
    <x v="0"/>
    <n v="7"/>
    <n v="3"/>
    <s v="Marketing"/>
    <n v="1362"/>
    <n v="1"/>
    <x v="0"/>
    <n v="83"/>
    <n v="4"/>
    <n v="2"/>
    <x v="0"/>
    <x v="3"/>
    <s v="Married"/>
    <n v="4639"/>
    <n v="2261"/>
    <n v="2"/>
    <x v="1"/>
    <n v="16"/>
    <n v="3"/>
    <n v="4"/>
    <n v="1"/>
    <n v="17"/>
    <n v="2"/>
    <n v="2"/>
    <n v="15"/>
    <n v="7"/>
    <n v="6"/>
    <n v="13"/>
    <x v="0"/>
    <n v="0"/>
    <s v="40–49"/>
    <x v="1"/>
    <n v="1"/>
    <s v="Low"/>
  </r>
  <r>
    <n v="48"/>
    <s v="No"/>
    <s v="Travel_Rarely"/>
    <n v="855"/>
    <x v="1"/>
    <n v="4"/>
    <n v="3"/>
    <s v="Life Sciences"/>
    <n v="1363"/>
    <n v="4"/>
    <x v="1"/>
    <n v="54"/>
    <n v="3"/>
    <n v="3"/>
    <x v="3"/>
    <x v="0"/>
    <s v="Single"/>
    <n v="7898"/>
    <n v="18706"/>
    <n v="1"/>
    <x v="1"/>
    <n v="11"/>
    <n v="3"/>
    <n v="3"/>
    <n v="0"/>
    <n v="11"/>
    <n v="2"/>
    <n v="3"/>
    <n v="10"/>
    <n v="9"/>
    <n v="0"/>
    <n v="8"/>
    <x v="0"/>
    <n v="0"/>
    <s v="30–39"/>
    <x v="0"/>
    <n v="0"/>
    <s v="Low"/>
  </r>
  <r>
    <n v="27"/>
    <s v="No"/>
    <s v="Travel_Rarely"/>
    <n v="1291"/>
    <x v="0"/>
    <n v="11"/>
    <n v="3"/>
    <s v="Medical"/>
    <n v="1364"/>
    <n v="3"/>
    <x v="0"/>
    <n v="98"/>
    <n v="4"/>
    <n v="1"/>
    <x v="6"/>
    <x v="0"/>
    <s v="Married"/>
    <n v="2534"/>
    <n v="6527"/>
    <n v="8"/>
    <x v="1"/>
    <n v="14"/>
    <n v="3"/>
    <n v="2"/>
    <n v="1"/>
    <n v="5"/>
    <n v="4"/>
    <n v="3"/>
    <n v="1"/>
    <n v="0"/>
    <n v="0"/>
    <n v="0"/>
    <x v="2"/>
    <n v="0"/>
    <s v="40–49"/>
    <x v="0"/>
    <n v="1"/>
    <s v="Low"/>
  </r>
  <r>
    <n v="51"/>
    <s v="No"/>
    <s v="Travel_Rarely"/>
    <n v="1405"/>
    <x v="1"/>
    <n v="11"/>
    <n v="2"/>
    <s v="Technical Degree"/>
    <n v="1367"/>
    <n v="4"/>
    <x v="0"/>
    <n v="82"/>
    <n v="2"/>
    <n v="4"/>
    <x v="3"/>
    <x v="1"/>
    <s v="Single"/>
    <n v="13142"/>
    <n v="24439"/>
    <n v="3"/>
    <x v="1"/>
    <n v="16"/>
    <n v="3"/>
    <n v="2"/>
    <n v="0"/>
    <n v="29"/>
    <n v="1"/>
    <n v="2"/>
    <n v="5"/>
    <n v="2"/>
    <n v="0"/>
    <n v="3"/>
    <x v="3"/>
    <n v="0"/>
    <s v="&lt;30"/>
    <x v="1"/>
    <n v="1"/>
    <s v="Low"/>
  </r>
  <r>
    <n v="18"/>
    <s v="No"/>
    <s v="Non-Travel"/>
    <n v="1124"/>
    <x v="1"/>
    <n v="1"/>
    <n v="3"/>
    <s v="Life Sciences"/>
    <n v="1368"/>
    <n v="4"/>
    <x v="0"/>
    <n v="97"/>
    <n v="3"/>
    <n v="1"/>
    <x v="2"/>
    <x v="0"/>
    <s v="Single"/>
    <n v="1611"/>
    <n v="19305"/>
    <n v="1"/>
    <x v="1"/>
    <n v="15"/>
    <n v="3"/>
    <n v="3"/>
    <n v="0"/>
    <n v="0"/>
    <n v="5"/>
    <n v="4"/>
    <n v="0"/>
    <n v="0"/>
    <n v="0"/>
    <n v="0"/>
    <x v="1"/>
    <n v="0"/>
    <s v="50+"/>
    <x v="0"/>
    <n v="1"/>
    <s v="Low"/>
  </r>
  <r>
    <n v="35"/>
    <s v="No"/>
    <s v="Travel_Rarely"/>
    <n v="817"/>
    <x v="1"/>
    <n v="1"/>
    <n v="3"/>
    <s v="Medical"/>
    <n v="1369"/>
    <n v="4"/>
    <x v="0"/>
    <n v="60"/>
    <n v="2"/>
    <n v="2"/>
    <x v="2"/>
    <x v="0"/>
    <s v="Married"/>
    <n v="5363"/>
    <n v="10846"/>
    <n v="0"/>
    <x v="1"/>
    <n v="12"/>
    <n v="3"/>
    <n v="2"/>
    <n v="1"/>
    <n v="10"/>
    <n v="0"/>
    <n v="3"/>
    <n v="9"/>
    <n v="7"/>
    <n v="0"/>
    <n v="0"/>
    <x v="0"/>
    <n v="0"/>
    <s v="&lt;30"/>
    <x v="0"/>
    <n v="0"/>
    <s v="Low"/>
  </r>
  <r>
    <n v="27"/>
    <s v="No"/>
    <s v="Travel_Frequently"/>
    <n v="793"/>
    <x v="0"/>
    <n v="2"/>
    <n v="1"/>
    <s v="Life Sciences"/>
    <n v="1371"/>
    <n v="4"/>
    <x v="1"/>
    <n v="43"/>
    <n v="1"/>
    <n v="2"/>
    <x v="0"/>
    <x v="0"/>
    <s v="Single"/>
    <n v="5071"/>
    <n v="20392"/>
    <n v="3"/>
    <x v="1"/>
    <n v="20"/>
    <n v="4"/>
    <n v="2"/>
    <n v="0"/>
    <n v="8"/>
    <n v="3"/>
    <n v="3"/>
    <n v="6"/>
    <n v="2"/>
    <n v="0"/>
    <n v="0"/>
    <x v="0"/>
    <n v="0"/>
    <s v="30–39"/>
    <x v="0"/>
    <n v="0"/>
    <s v="Low"/>
  </r>
  <r>
    <n v="55"/>
    <s v="Yes"/>
    <s v="Travel_Rarely"/>
    <n v="267"/>
    <x v="0"/>
    <n v="13"/>
    <n v="4"/>
    <s v="Marketing"/>
    <n v="1372"/>
    <n v="1"/>
    <x v="1"/>
    <n v="85"/>
    <n v="4"/>
    <n v="4"/>
    <x v="0"/>
    <x v="2"/>
    <s v="Single"/>
    <n v="13695"/>
    <n v="9277"/>
    <n v="6"/>
    <x v="0"/>
    <n v="17"/>
    <n v="3"/>
    <n v="3"/>
    <n v="0"/>
    <n v="24"/>
    <n v="2"/>
    <n v="2"/>
    <n v="19"/>
    <n v="7"/>
    <n v="3"/>
    <n v="8"/>
    <x v="0"/>
    <n v="1"/>
    <s v="&lt;30"/>
    <x v="2"/>
    <n v="1"/>
    <s v="Low"/>
  </r>
  <r>
    <n v="56"/>
    <s v="No"/>
    <s v="Travel_Rarely"/>
    <n v="1369"/>
    <x v="1"/>
    <n v="23"/>
    <n v="3"/>
    <s v="Life Sciences"/>
    <n v="1373"/>
    <n v="4"/>
    <x v="1"/>
    <n v="68"/>
    <n v="3"/>
    <n v="4"/>
    <x v="3"/>
    <x v="1"/>
    <s v="Married"/>
    <n v="13402"/>
    <n v="18235"/>
    <n v="4"/>
    <x v="0"/>
    <n v="12"/>
    <n v="3"/>
    <n v="1"/>
    <n v="1"/>
    <n v="33"/>
    <n v="0"/>
    <n v="3"/>
    <n v="19"/>
    <n v="16"/>
    <n v="15"/>
    <n v="9"/>
    <x v="0"/>
    <n v="0"/>
    <s v="50+"/>
    <x v="1"/>
    <n v="2"/>
    <s v="Medium"/>
  </r>
  <r>
    <n v="34"/>
    <s v="No"/>
    <s v="Non-Travel"/>
    <n v="999"/>
    <x v="1"/>
    <n v="26"/>
    <n v="1"/>
    <s v="Technical Degree"/>
    <n v="1374"/>
    <n v="1"/>
    <x v="0"/>
    <n v="92"/>
    <n v="2"/>
    <n v="1"/>
    <x v="1"/>
    <x v="2"/>
    <s v="Divorced"/>
    <n v="2029"/>
    <n v="15891"/>
    <n v="1"/>
    <x v="1"/>
    <n v="20"/>
    <n v="4"/>
    <n v="3"/>
    <n v="3"/>
    <n v="5"/>
    <n v="2"/>
    <n v="3"/>
    <n v="5"/>
    <n v="4"/>
    <n v="0"/>
    <n v="0"/>
    <x v="3"/>
    <n v="0"/>
    <s v="50+"/>
    <x v="2"/>
    <n v="0"/>
    <s v="Low"/>
  </r>
  <r>
    <n v="40"/>
    <s v="No"/>
    <s v="Travel_Rarely"/>
    <n v="1202"/>
    <x v="1"/>
    <n v="2"/>
    <n v="1"/>
    <s v="Medical"/>
    <n v="1375"/>
    <n v="2"/>
    <x v="0"/>
    <n v="89"/>
    <n v="4"/>
    <n v="2"/>
    <x v="4"/>
    <x v="2"/>
    <s v="Divorced"/>
    <n v="6377"/>
    <n v="13888"/>
    <n v="5"/>
    <x v="1"/>
    <n v="20"/>
    <n v="4"/>
    <n v="2"/>
    <n v="3"/>
    <n v="15"/>
    <n v="0"/>
    <n v="3"/>
    <n v="12"/>
    <n v="11"/>
    <n v="11"/>
    <n v="8"/>
    <x v="0"/>
    <n v="0"/>
    <s v="30–39"/>
    <x v="2"/>
    <n v="0"/>
    <s v="Low"/>
  </r>
  <r>
    <n v="34"/>
    <s v="No"/>
    <s v="Travel_Rarely"/>
    <n v="285"/>
    <x v="1"/>
    <n v="29"/>
    <n v="3"/>
    <s v="Medical"/>
    <n v="1377"/>
    <n v="2"/>
    <x v="1"/>
    <n v="86"/>
    <n v="3"/>
    <n v="2"/>
    <x v="2"/>
    <x v="2"/>
    <s v="Married"/>
    <n v="5429"/>
    <n v="17491"/>
    <n v="4"/>
    <x v="1"/>
    <n v="13"/>
    <n v="3"/>
    <n v="1"/>
    <n v="2"/>
    <n v="10"/>
    <n v="1"/>
    <n v="3"/>
    <n v="8"/>
    <n v="7"/>
    <n v="7"/>
    <n v="7"/>
    <x v="0"/>
    <n v="0"/>
    <s v="40–49"/>
    <x v="2"/>
    <n v="0"/>
    <s v="Low"/>
  </r>
  <r>
    <n v="31"/>
    <s v="Yes"/>
    <s v="Travel_Frequently"/>
    <n v="703"/>
    <x v="0"/>
    <n v="2"/>
    <n v="3"/>
    <s v="Life Sciences"/>
    <n v="1379"/>
    <n v="3"/>
    <x v="0"/>
    <n v="90"/>
    <n v="2"/>
    <n v="1"/>
    <x v="6"/>
    <x v="0"/>
    <s v="Single"/>
    <n v="2785"/>
    <n v="11882"/>
    <n v="7"/>
    <x v="1"/>
    <n v="14"/>
    <n v="3"/>
    <n v="3"/>
    <n v="0"/>
    <n v="3"/>
    <n v="3"/>
    <n v="4"/>
    <n v="1"/>
    <n v="0"/>
    <n v="0"/>
    <n v="0"/>
    <x v="2"/>
    <n v="1"/>
    <s v="30–39"/>
    <x v="0"/>
    <n v="1"/>
    <s v="Low"/>
  </r>
  <r>
    <n v="35"/>
    <s v="Yes"/>
    <s v="Travel_Frequently"/>
    <n v="662"/>
    <x v="0"/>
    <n v="18"/>
    <n v="4"/>
    <s v="Marketing"/>
    <n v="1380"/>
    <n v="4"/>
    <x v="0"/>
    <n v="67"/>
    <n v="3"/>
    <n v="2"/>
    <x v="0"/>
    <x v="2"/>
    <s v="Married"/>
    <n v="4614"/>
    <n v="23288"/>
    <n v="0"/>
    <x v="0"/>
    <n v="18"/>
    <n v="3"/>
    <n v="3"/>
    <n v="1"/>
    <n v="5"/>
    <n v="0"/>
    <n v="2"/>
    <n v="4"/>
    <n v="2"/>
    <n v="3"/>
    <n v="2"/>
    <x v="3"/>
    <n v="1"/>
    <s v="30–39"/>
    <x v="2"/>
    <n v="1"/>
    <s v="Low"/>
  </r>
  <r>
    <n v="38"/>
    <s v="No"/>
    <s v="Travel_Frequently"/>
    <n v="693"/>
    <x v="1"/>
    <n v="7"/>
    <n v="3"/>
    <s v="Life Sciences"/>
    <n v="1382"/>
    <n v="4"/>
    <x v="1"/>
    <n v="57"/>
    <n v="4"/>
    <n v="1"/>
    <x v="1"/>
    <x v="2"/>
    <s v="Divorced"/>
    <n v="2610"/>
    <n v="15748"/>
    <n v="1"/>
    <x v="1"/>
    <n v="11"/>
    <n v="3"/>
    <n v="4"/>
    <n v="3"/>
    <n v="4"/>
    <n v="2"/>
    <n v="3"/>
    <n v="4"/>
    <n v="2"/>
    <n v="0"/>
    <n v="3"/>
    <x v="3"/>
    <n v="0"/>
    <s v="30–39"/>
    <x v="2"/>
    <n v="0"/>
    <s v="Low"/>
  </r>
  <r>
    <n v="34"/>
    <s v="No"/>
    <s v="Travel_Rarely"/>
    <n v="404"/>
    <x v="1"/>
    <n v="2"/>
    <n v="4"/>
    <s v="Technical Degree"/>
    <n v="1383"/>
    <n v="3"/>
    <x v="0"/>
    <n v="98"/>
    <n v="3"/>
    <n v="2"/>
    <x v="4"/>
    <x v="0"/>
    <s v="Single"/>
    <n v="6687"/>
    <n v="6163"/>
    <n v="1"/>
    <x v="1"/>
    <n v="11"/>
    <n v="3"/>
    <n v="4"/>
    <n v="0"/>
    <n v="14"/>
    <n v="2"/>
    <n v="4"/>
    <n v="14"/>
    <n v="11"/>
    <n v="4"/>
    <n v="11"/>
    <x v="0"/>
    <n v="0"/>
    <s v="30–39"/>
    <x v="0"/>
    <n v="0"/>
    <s v="Low"/>
  </r>
  <r>
    <n v="28"/>
    <s v="No"/>
    <s v="Travel_Rarely"/>
    <n v="736"/>
    <x v="0"/>
    <n v="26"/>
    <n v="3"/>
    <s v="Life Sciences"/>
    <n v="1387"/>
    <n v="3"/>
    <x v="1"/>
    <n v="48"/>
    <n v="2"/>
    <n v="2"/>
    <x v="0"/>
    <x v="3"/>
    <s v="Married"/>
    <n v="4724"/>
    <n v="24232"/>
    <n v="1"/>
    <x v="1"/>
    <n v="11"/>
    <n v="3"/>
    <n v="3"/>
    <n v="1"/>
    <n v="5"/>
    <n v="0"/>
    <n v="3"/>
    <n v="5"/>
    <n v="3"/>
    <n v="0"/>
    <n v="4"/>
    <x v="3"/>
    <n v="0"/>
    <s v="30–39"/>
    <x v="1"/>
    <n v="1"/>
    <s v="Low"/>
  </r>
  <r>
    <n v="31"/>
    <s v="Yes"/>
    <s v="Travel_Rarely"/>
    <n v="330"/>
    <x v="1"/>
    <n v="22"/>
    <n v="4"/>
    <s v="Medical"/>
    <n v="1389"/>
    <n v="4"/>
    <x v="1"/>
    <n v="98"/>
    <n v="3"/>
    <n v="2"/>
    <x v="3"/>
    <x v="2"/>
    <s v="Married"/>
    <n v="6179"/>
    <n v="21057"/>
    <n v="1"/>
    <x v="0"/>
    <n v="15"/>
    <n v="3"/>
    <n v="4"/>
    <n v="2"/>
    <n v="10"/>
    <n v="3"/>
    <n v="2"/>
    <n v="10"/>
    <n v="2"/>
    <n v="6"/>
    <n v="7"/>
    <x v="0"/>
    <n v="1"/>
    <s v="&lt;30"/>
    <x v="2"/>
    <n v="1"/>
    <s v="Low"/>
  </r>
  <r>
    <n v="39"/>
    <s v="No"/>
    <s v="Travel_Rarely"/>
    <n v="1498"/>
    <x v="0"/>
    <n v="21"/>
    <n v="4"/>
    <s v="Life Sciences"/>
    <n v="1390"/>
    <n v="1"/>
    <x v="1"/>
    <n v="44"/>
    <n v="2"/>
    <n v="2"/>
    <x v="0"/>
    <x v="0"/>
    <s v="Married"/>
    <n v="6120"/>
    <n v="3567"/>
    <n v="3"/>
    <x v="0"/>
    <n v="12"/>
    <n v="3"/>
    <n v="4"/>
    <n v="2"/>
    <n v="8"/>
    <n v="2"/>
    <n v="4"/>
    <n v="5"/>
    <n v="4"/>
    <n v="1"/>
    <n v="4"/>
    <x v="3"/>
    <n v="0"/>
    <s v="30–39"/>
    <x v="0"/>
    <n v="1"/>
    <s v="Low"/>
  </r>
  <r>
    <n v="51"/>
    <s v="No"/>
    <s v="Travel_Frequently"/>
    <n v="541"/>
    <x v="0"/>
    <n v="2"/>
    <n v="3"/>
    <s v="Marketing"/>
    <n v="1391"/>
    <n v="2"/>
    <x v="1"/>
    <n v="52"/>
    <n v="3"/>
    <n v="3"/>
    <x v="0"/>
    <x v="1"/>
    <s v="Married"/>
    <n v="10596"/>
    <n v="15395"/>
    <n v="2"/>
    <x v="1"/>
    <n v="11"/>
    <n v="3"/>
    <n v="2"/>
    <n v="0"/>
    <n v="14"/>
    <n v="5"/>
    <n v="3"/>
    <n v="4"/>
    <n v="2"/>
    <n v="3"/>
    <n v="2"/>
    <x v="3"/>
    <n v="0"/>
    <s v="30–39"/>
    <x v="1"/>
    <n v="1"/>
    <s v="Low"/>
  </r>
  <r>
    <n v="41"/>
    <s v="No"/>
    <s v="Travel_Frequently"/>
    <n v="1200"/>
    <x v="1"/>
    <n v="22"/>
    <n v="3"/>
    <s v="Life Sciences"/>
    <n v="1392"/>
    <n v="4"/>
    <x v="0"/>
    <n v="75"/>
    <n v="3"/>
    <n v="2"/>
    <x v="1"/>
    <x v="0"/>
    <s v="Divorced"/>
    <n v="5467"/>
    <n v="13953"/>
    <n v="3"/>
    <x v="0"/>
    <n v="14"/>
    <n v="3"/>
    <n v="1"/>
    <n v="2"/>
    <n v="12"/>
    <n v="4"/>
    <n v="2"/>
    <n v="6"/>
    <n v="2"/>
    <n v="3"/>
    <n v="3"/>
    <x v="0"/>
    <n v="0"/>
    <s v="50+"/>
    <x v="0"/>
    <n v="1"/>
    <s v="Low"/>
  </r>
  <r>
    <n v="37"/>
    <s v="No"/>
    <s v="Travel_Rarely"/>
    <n v="1439"/>
    <x v="1"/>
    <n v="4"/>
    <n v="1"/>
    <s v="Life Sciences"/>
    <n v="1394"/>
    <n v="3"/>
    <x v="1"/>
    <n v="54"/>
    <n v="3"/>
    <n v="1"/>
    <x v="1"/>
    <x v="2"/>
    <s v="Married"/>
    <n v="2996"/>
    <n v="5182"/>
    <n v="7"/>
    <x v="0"/>
    <n v="15"/>
    <n v="3"/>
    <n v="4"/>
    <n v="0"/>
    <n v="8"/>
    <n v="2"/>
    <n v="3"/>
    <n v="6"/>
    <n v="4"/>
    <n v="1"/>
    <n v="3"/>
    <x v="0"/>
    <n v="0"/>
    <s v="40–49"/>
    <x v="2"/>
    <n v="1"/>
    <s v="Low"/>
  </r>
  <r>
    <n v="33"/>
    <s v="No"/>
    <s v="Travel_Frequently"/>
    <n v="1111"/>
    <x v="0"/>
    <n v="5"/>
    <n v="1"/>
    <s v="Life Sciences"/>
    <n v="1395"/>
    <n v="2"/>
    <x v="1"/>
    <n v="61"/>
    <n v="3"/>
    <n v="2"/>
    <x v="0"/>
    <x v="0"/>
    <s v="Married"/>
    <n v="9998"/>
    <n v="19293"/>
    <n v="6"/>
    <x v="1"/>
    <n v="13"/>
    <n v="3"/>
    <n v="1"/>
    <n v="0"/>
    <n v="8"/>
    <n v="2"/>
    <n v="4"/>
    <n v="5"/>
    <n v="4"/>
    <n v="1"/>
    <n v="2"/>
    <x v="3"/>
    <n v="0"/>
    <s v="30–39"/>
    <x v="0"/>
    <n v="0"/>
    <s v="Low"/>
  </r>
  <r>
    <n v="32"/>
    <s v="No"/>
    <s v="Travel_Rarely"/>
    <n v="499"/>
    <x v="0"/>
    <n v="2"/>
    <n v="1"/>
    <s v="Marketing"/>
    <n v="1396"/>
    <n v="3"/>
    <x v="1"/>
    <n v="36"/>
    <n v="3"/>
    <n v="2"/>
    <x v="0"/>
    <x v="1"/>
    <s v="Married"/>
    <n v="4078"/>
    <n v="20497"/>
    <n v="0"/>
    <x v="0"/>
    <n v="13"/>
    <n v="3"/>
    <n v="1"/>
    <n v="3"/>
    <n v="4"/>
    <n v="3"/>
    <n v="2"/>
    <n v="3"/>
    <n v="2"/>
    <n v="1"/>
    <n v="2"/>
    <x v="2"/>
    <n v="0"/>
    <s v="30–39"/>
    <x v="1"/>
    <n v="3"/>
    <s v="High"/>
  </r>
  <r>
    <n v="39"/>
    <s v="No"/>
    <s v="Non-Travel"/>
    <n v="1485"/>
    <x v="1"/>
    <n v="25"/>
    <n v="2"/>
    <s v="Life Sciences"/>
    <n v="1397"/>
    <n v="3"/>
    <x v="1"/>
    <n v="71"/>
    <n v="3"/>
    <n v="3"/>
    <x v="4"/>
    <x v="2"/>
    <s v="Married"/>
    <n v="10920"/>
    <n v="3449"/>
    <n v="3"/>
    <x v="1"/>
    <n v="21"/>
    <n v="4"/>
    <n v="2"/>
    <n v="1"/>
    <n v="13"/>
    <n v="2"/>
    <n v="3"/>
    <n v="6"/>
    <n v="4"/>
    <n v="0"/>
    <n v="5"/>
    <x v="0"/>
    <n v="0"/>
    <s v="30–39"/>
    <x v="2"/>
    <n v="0"/>
    <s v="Low"/>
  </r>
  <r>
    <n v="25"/>
    <s v="No"/>
    <s v="Travel_Rarely"/>
    <n v="1372"/>
    <x v="0"/>
    <n v="18"/>
    <n v="1"/>
    <s v="Life Sciences"/>
    <n v="1399"/>
    <n v="1"/>
    <x v="1"/>
    <n v="93"/>
    <n v="4"/>
    <n v="2"/>
    <x v="0"/>
    <x v="2"/>
    <s v="Married"/>
    <n v="6232"/>
    <n v="12477"/>
    <n v="2"/>
    <x v="1"/>
    <n v="11"/>
    <n v="3"/>
    <n v="2"/>
    <n v="0"/>
    <n v="6"/>
    <n v="3"/>
    <n v="2"/>
    <n v="3"/>
    <n v="2"/>
    <n v="1"/>
    <n v="2"/>
    <x v="2"/>
    <n v="0"/>
    <s v="30–39"/>
    <x v="2"/>
    <n v="1"/>
    <s v="Low"/>
  </r>
  <r>
    <n v="52"/>
    <s v="No"/>
    <s v="Travel_Frequently"/>
    <n v="322"/>
    <x v="1"/>
    <n v="28"/>
    <n v="2"/>
    <s v="Medical"/>
    <n v="1401"/>
    <n v="4"/>
    <x v="0"/>
    <n v="59"/>
    <n v="4"/>
    <n v="4"/>
    <x v="3"/>
    <x v="2"/>
    <s v="Married"/>
    <n v="13247"/>
    <n v="9731"/>
    <n v="2"/>
    <x v="0"/>
    <n v="11"/>
    <n v="3"/>
    <n v="2"/>
    <n v="1"/>
    <n v="24"/>
    <n v="3"/>
    <n v="2"/>
    <n v="5"/>
    <n v="3"/>
    <n v="0"/>
    <n v="2"/>
    <x v="3"/>
    <n v="0"/>
    <s v="&lt;30"/>
    <x v="2"/>
    <n v="1"/>
    <s v="Low"/>
  </r>
  <r>
    <n v="43"/>
    <s v="No"/>
    <s v="Travel_Rarely"/>
    <n v="930"/>
    <x v="1"/>
    <n v="6"/>
    <n v="3"/>
    <s v="Medical"/>
    <n v="1402"/>
    <n v="1"/>
    <x v="0"/>
    <n v="73"/>
    <n v="2"/>
    <n v="2"/>
    <x v="1"/>
    <x v="2"/>
    <s v="Single"/>
    <n v="4081"/>
    <n v="20003"/>
    <n v="1"/>
    <x v="0"/>
    <n v="14"/>
    <n v="3"/>
    <n v="1"/>
    <n v="0"/>
    <n v="20"/>
    <n v="3"/>
    <n v="1"/>
    <n v="20"/>
    <n v="7"/>
    <n v="1"/>
    <n v="8"/>
    <x v="0"/>
    <n v="0"/>
    <s v="50+"/>
    <x v="2"/>
    <n v="1"/>
    <s v="Low"/>
  </r>
  <r>
    <n v="27"/>
    <s v="No"/>
    <s v="Travel_Rarely"/>
    <n v="205"/>
    <x v="0"/>
    <n v="10"/>
    <n v="3"/>
    <s v="Marketing"/>
    <n v="1403"/>
    <n v="4"/>
    <x v="0"/>
    <n v="98"/>
    <n v="2"/>
    <n v="2"/>
    <x v="0"/>
    <x v="0"/>
    <s v="Married"/>
    <n v="5769"/>
    <n v="7100"/>
    <n v="1"/>
    <x v="0"/>
    <n v="11"/>
    <n v="3"/>
    <n v="4"/>
    <n v="0"/>
    <n v="6"/>
    <n v="3"/>
    <n v="3"/>
    <n v="6"/>
    <n v="2"/>
    <n v="4"/>
    <n v="4"/>
    <x v="0"/>
    <n v="0"/>
    <s v="40–49"/>
    <x v="0"/>
    <n v="1"/>
    <s v="Low"/>
  </r>
  <r>
    <n v="27"/>
    <s v="Yes"/>
    <s v="Travel_Rarely"/>
    <n v="135"/>
    <x v="1"/>
    <n v="17"/>
    <n v="4"/>
    <s v="Life Sciences"/>
    <n v="1405"/>
    <n v="4"/>
    <x v="0"/>
    <n v="51"/>
    <n v="3"/>
    <n v="1"/>
    <x v="1"/>
    <x v="2"/>
    <s v="Single"/>
    <n v="2394"/>
    <n v="25681"/>
    <n v="1"/>
    <x v="0"/>
    <n v="13"/>
    <n v="3"/>
    <n v="4"/>
    <n v="0"/>
    <n v="8"/>
    <n v="2"/>
    <n v="3"/>
    <n v="8"/>
    <n v="2"/>
    <n v="7"/>
    <n v="7"/>
    <x v="0"/>
    <n v="1"/>
    <s v="&lt;30"/>
    <x v="2"/>
    <n v="1"/>
    <s v="Low"/>
  </r>
  <r>
    <n v="26"/>
    <s v="No"/>
    <s v="Travel_Rarely"/>
    <n v="683"/>
    <x v="1"/>
    <n v="2"/>
    <n v="1"/>
    <s v="Medical"/>
    <n v="1407"/>
    <n v="1"/>
    <x v="1"/>
    <n v="36"/>
    <n v="2"/>
    <n v="1"/>
    <x v="1"/>
    <x v="0"/>
    <s v="Single"/>
    <n v="3904"/>
    <n v="4050"/>
    <n v="0"/>
    <x v="1"/>
    <n v="12"/>
    <n v="3"/>
    <n v="4"/>
    <n v="0"/>
    <n v="5"/>
    <n v="2"/>
    <n v="3"/>
    <n v="4"/>
    <n v="3"/>
    <n v="1"/>
    <n v="1"/>
    <x v="3"/>
    <n v="0"/>
    <s v="&lt;30"/>
    <x v="0"/>
    <n v="0"/>
    <s v="Low"/>
  </r>
  <r>
    <n v="42"/>
    <s v="No"/>
    <s v="Travel_Rarely"/>
    <n v="1147"/>
    <x v="2"/>
    <n v="10"/>
    <n v="3"/>
    <s v="Human Resources"/>
    <n v="1408"/>
    <n v="3"/>
    <x v="0"/>
    <n v="31"/>
    <n v="3"/>
    <n v="4"/>
    <x v="5"/>
    <x v="3"/>
    <s v="Married"/>
    <n v="16799"/>
    <n v="16616"/>
    <n v="0"/>
    <x v="1"/>
    <n v="14"/>
    <n v="3"/>
    <n v="3"/>
    <n v="1"/>
    <n v="21"/>
    <n v="5"/>
    <n v="3"/>
    <n v="20"/>
    <n v="7"/>
    <n v="0"/>
    <n v="9"/>
    <x v="0"/>
    <n v="0"/>
    <s v="&lt;30"/>
    <x v="1"/>
    <n v="1"/>
    <s v="Low"/>
  </r>
  <r>
    <n v="52"/>
    <s v="No"/>
    <s v="Travel_Rarely"/>
    <n v="258"/>
    <x v="1"/>
    <n v="8"/>
    <n v="4"/>
    <s v="Other"/>
    <n v="1409"/>
    <n v="3"/>
    <x v="0"/>
    <n v="54"/>
    <n v="3"/>
    <n v="1"/>
    <x v="2"/>
    <x v="3"/>
    <s v="Married"/>
    <n v="2950"/>
    <n v="17363"/>
    <n v="9"/>
    <x v="1"/>
    <n v="13"/>
    <n v="3"/>
    <n v="3"/>
    <n v="0"/>
    <n v="12"/>
    <n v="2"/>
    <n v="1"/>
    <n v="5"/>
    <n v="4"/>
    <n v="0"/>
    <n v="4"/>
    <x v="3"/>
    <n v="0"/>
    <s v="40–49"/>
    <x v="1"/>
    <n v="1"/>
    <s v="Low"/>
  </r>
  <r>
    <n v="37"/>
    <s v="No"/>
    <s v="Travel_Rarely"/>
    <n v="1462"/>
    <x v="1"/>
    <n v="11"/>
    <n v="3"/>
    <s v="Medical"/>
    <n v="1411"/>
    <n v="1"/>
    <x v="0"/>
    <n v="94"/>
    <n v="3"/>
    <n v="1"/>
    <x v="2"/>
    <x v="2"/>
    <s v="Single"/>
    <n v="3629"/>
    <n v="19106"/>
    <n v="4"/>
    <x v="1"/>
    <n v="18"/>
    <n v="3"/>
    <n v="1"/>
    <n v="0"/>
    <n v="8"/>
    <n v="6"/>
    <n v="3"/>
    <n v="3"/>
    <n v="2"/>
    <n v="0"/>
    <n v="2"/>
    <x v="2"/>
    <n v="0"/>
    <s v="50+"/>
    <x v="2"/>
    <n v="1"/>
    <s v="Low"/>
  </r>
  <r>
    <n v="35"/>
    <s v="No"/>
    <s v="Travel_Frequently"/>
    <n v="200"/>
    <x v="1"/>
    <n v="18"/>
    <n v="2"/>
    <s v="Life Sciences"/>
    <n v="1412"/>
    <n v="3"/>
    <x v="1"/>
    <n v="60"/>
    <n v="3"/>
    <n v="3"/>
    <x v="3"/>
    <x v="0"/>
    <s v="Single"/>
    <n v="9362"/>
    <n v="19944"/>
    <n v="2"/>
    <x v="1"/>
    <n v="11"/>
    <n v="3"/>
    <n v="3"/>
    <n v="0"/>
    <n v="10"/>
    <n v="2"/>
    <n v="3"/>
    <n v="2"/>
    <n v="2"/>
    <n v="2"/>
    <n v="2"/>
    <x v="2"/>
    <n v="0"/>
    <s v="30–39"/>
    <x v="0"/>
    <n v="1"/>
    <s v="Low"/>
  </r>
  <r>
    <n v="25"/>
    <s v="No"/>
    <s v="Travel_Rarely"/>
    <n v="949"/>
    <x v="1"/>
    <n v="1"/>
    <n v="3"/>
    <s v="Technical Degree"/>
    <n v="1415"/>
    <n v="1"/>
    <x v="1"/>
    <n v="81"/>
    <n v="3"/>
    <n v="1"/>
    <x v="2"/>
    <x v="0"/>
    <s v="Married"/>
    <n v="3229"/>
    <n v="4910"/>
    <n v="4"/>
    <x v="1"/>
    <n v="11"/>
    <n v="3"/>
    <n v="2"/>
    <n v="1"/>
    <n v="7"/>
    <n v="2"/>
    <n v="2"/>
    <n v="3"/>
    <n v="2"/>
    <n v="0"/>
    <n v="2"/>
    <x v="2"/>
    <n v="0"/>
    <s v="30–39"/>
    <x v="0"/>
    <n v="1"/>
    <s v="Low"/>
  </r>
  <r>
    <n v="26"/>
    <s v="No"/>
    <s v="Travel_Rarely"/>
    <n v="652"/>
    <x v="1"/>
    <n v="7"/>
    <n v="3"/>
    <s v="Other"/>
    <n v="1417"/>
    <n v="3"/>
    <x v="1"/>
    <n v="100"/>
    <n v="4"/>
    <n v="1"/>
    <x v="2"/>
    <x v="3"/>
    <s v="Single"/>
    <n v="3578"/>
    <n v="23577"/>
    <n v="0"/>
    <x v="1"/>
    <n v="12"/>
    <n v="3"/>
    <n v="4"/>
    <n v="0"/>
    <n v="8"/>
    <n v="2"/>
    <n v="3"/>
    <n v="7"/>
    <n v="7"/>
    <n v="0"/>
    <n v="7"/>
    <x v="0"/>
    <n v="0"/>
    <s v="&lt;30"/>
    <x v="1"/>
    <n v="1"/>
    <s v="Low"/>
  </r>
  <r>
    <n v="29"/>
    <s v="No"/>
    <s v="Travel_Rarely"/>
    <n v="332"/>
    <x v="2"/>
    <n v="17"/>
    <n v="3"/>
    <s v="Other"/>
    <n v="1419"/>
    <n v="2"/>
    <x v="1"/>
    <n v="51"/>
    <n v="2"/>
    <n v="3"/>
    <x v="8"/>
    <x v="3"/>
    <s v="Single"/>
    <n v="7988"/>
    <n v="9769"/>
    <n v="1"/>
    <x v="1"/>
    <n v="13"/>
    <n v="3"/>
    <n v="1"/>
    <n v="0"/>
    <n v="10"/>
    <n v="3"/>
    <n v="2"/>
    <n v="10"/>
    <n v="9"/>
    <n v="0"/>
    <n v="9"/>
    <x v="0"/>
    <n v="0"/>
    <s v="&lt;30"/>
    <x v="1"/>
    <n v="1"/>
    <s v="Low"/>
  </r>
  <r>
    <n v="49"/>
    <s v="Yes"/>
    <s v="Travel_Frequently"/>
    <n v="1475"/>
    <x v="1"/>
    <n v="28"/>
    <n v="2"/>
    <s v="Life Sciences"/>
    <n v="1420"/>
    <n v="1"/>
    <x v="1"/>
    <n v="97"/>
    <n v="2"/>
    <n v="2"/>
    <x v="2"/>
    <x v="3"/>
    <s v="Single"/>
    <n v="4284"/>
    <n v="22710"/>
    <n v="3"/>
    <x v="1"/>
    <n v="20"/>
    <n v="4"/>
    <n v="1"/>
    <n v="0"/>
    <n v="20"/>
    <n v="2"/>
    <n v="3"/>
    <n v="4"/>
    <n v="3"/>
    <n v="1"/>
    <n v="3"/>
    <x v="3"/>
    <n v="1"/>
    <s v="&lt;30"/>
    <x v="1"/>
    <n v="1"/>
    <s v="Low"/>
  </r>
  <r>
    <n v="29"/>
    <s v="Yes"/>
    <s v="Travel_Frequently"/>
    <n v="337"/>
    <x v="1"/>
    <n v="14"/>
    <n v="1"/>
    <s v="Other"/>
    <n v="1421"/>
    <n v="3"/>
    <x v="0"/>
    <n v="84"/>
    <n v="3"/>
    <n v="3"/>
    <x v="4"/>
    <x v="0"/>
    <s v="Single"/>
    <n v="7553"/>
    <n v="22930"/>
    <n v="0"/>
    <x v="0"/>
    <n v="12"/>
    <n v="3"/>
    <n v="1"/>
    <n v="0"/>
    <n v="9"/>
    <n v="1"/>
    <n v="3"/>
    <n v="8"/>
    <n v="7"/>
    <n v="7"/>
    <n v="7"/>
    <x v="0"/>
    <n v="1"/>
    <s v="40–49"/>
    <x v="0"/>
    <n v="1"/>
    <s v="Low"/>
  </r>
  <r>
    <n v="54"/>
    <s v="No"/>
    <s v="Travel_Rarely"/>
    <n v="971"/>
    <x v="1"/>
    <n v="1"/>
    <n v="3"/>
    <s v="Medical"/>
    <n v="1422"/>
    <n v="4"/>
    <x v="0"/>
    <n v="54"/>
    <n v="3"/>
    <n v="4"/>
    <x v="7"/>
    <x v="0"/>
    <s v="Single"/>
    <n v="17328"/>
    <n v="5652"/>
    <n v="6"/>
    <x v="1"/>
    <n v="19"/>
    <n v="3"/>
    <n v="4"/>
    <n v="0"/>
    <n v="29"/>
    <n v="3"/>
    <n v="2"/>
    <n v="20"/>
    <n v="7"/>
    <n v="12"/>
    <n v="7"/>
    <x v="0"/>
    <n v="0"/>
    <s v="&lt;30"/>
    <x v="0"/>
    <n v="0"/>
    <s v="Low"/>
  </r>
  <r>
    <n v="58"/>
    <s v="No"/>
    <s v="Travel_Rarely"/>
    <n v="1055"/>
    <x v="1"/>
    <n v="1"/>
    <n v="3"/>
    <s v="Medical"/>
    <n v="1423"/>
    <n v="4"/>
    <x v="0"/>
    <n v="76"/>
    <n v="3"/>
    <n v="5"/>
    <x v="7"/>
    <x v="3"/>
    <s v="Married"/>
    <n v="19701"/>
    <n v="22456"/>
    <n v="3"/>
    <x v="0"/>
    <n v="21"/>
    <n v="4"/>
    <n v="3"/>
    <n v="1"/>
    <n v="32"/>
    <n v="3"/>
    <n v="3"/>
    <n v="9"/>
    <n v="8"/>
    <n v="1"/>
    <n v="5"/>
    <x v="0"/>
    <n v="0"/>
    <s v="50+"/>
    <x v="1"/>
    <n v="2"/>
    <s v="Medium"/>
  </r>
  <r>
    <n v="55"/>
    <s v="No"/>
    <s v="Travel_Rarely"/>
    <n v="1136"/>
    <x v="1"/>
    <n v="1"/>
    <n v="4"/>
    <s v="Medical"/>
    <n v="1424"/>
    <n v="2"/>
    <x v="1"/>
    <n v="81"/>
    <n v="4"/>
    <n v="4"/>
    <x v="7"/>
    <x v="0"/>
    <s v="Divorced"/>
    <n v="14732"/>
    <n v="12414"/>
    <n v="2"/>
    <x v="1"/>
    <n v="13"/>
    <n v="3"/>
    <n v="4"/>
    <n v="2"/>
    <n v="31"/>
    <n v="4"/>
    <n v="4"/>
    <n v="7"/>
    <n v="7"/>
    <n v="0"/>
    <n v="0"/>
    <x v="0"/>
    <n v="0"/>
    <s v="50+"/>
    <x v="0"/>
    <n v="0"/>
    <s v="Low"/>
  </r>
  <r>
    <n v="36"/>
    <s v="No"/>
    <s v="Travel_Rarely"/>
    <n v="1174"/>
    <x v="0"/>
    <n v="3"/>
    <n v="4"/>
    <s v="Marketing"/>
    <n v="1425"/>
    <n v="1"/>
    <x v="0"/>
    <n v="99"/>
    <n v="3"/>
    <n v="2"/>
    <x v="0"/>
    <x v="1"/>
    <s v="Single"/>
    <n v="9278"/>
    <n v="20763"/>
    <n v="3"/>
    <x v="0"/>
    <n v="16"/>
    <n v="3"/>
    <n v="4"/>
    <n v="0"/>
    <n v="15"/>
    <n v="3"/>
    <n v="3"/>
    <n v="5"/>
    <n v="4"/>
    <n v="0"/>
    <n v="1"/>
    <x v="3"/>
    <n v="0"/>
    <s v="50+"/>
    <x v="1"/>
    <n v="2"/>
    <s v="Medium"/>
  </r>
  <r>
    <n v="31"/>
    <s v="Yes"/>
    <s v="Travel_Frequently"/>
    <n v="667"/>
    <x v="0"/>
    <n v="1"/>
    <n v="4"/>
    <s v="Life Sciences"/>
    <n v="1427"/>
    <n v="2"/>
    <x v="0"/>
    <n v="50"/>
    <n v="1"/>
    <n v="1"/>
    <x v="6"/>
    <x v="2"/>
    <s v="Single"/>
    <n v="1359"/>
    <n v="16154"/>
    <n v="1"/>
    <x v="1"/>
    <n v="12"/>
    <n v="3"/>
    <n v="2"/>
    <n v="0"/>
    <n v="1"/>
    <n v="3"/>
    <n v="3"/>
    <n v="1"/>
    <n v="0"/>
    <n v="0"/>
    <n v="0"/>
    <x v="2"/>
    <n v="1"/>
    <s v="30–39"/>
    <x v="2"/>
    <n v="1"/>
    <s v="Low"/>
  </r>
  <r>
    <n v="30"/>
    <s v="No"/>
    <s v="Travel_Rarely"/>
    <n v="855"/>
    <x v="0"/>
    <n v="7"/>
    <n v="4"/>
    <s v="Marketing"/>
    <n v="1428"/>
    <n v="4"/>
    <x v="0"/>
    <n v="73"/>
    <n v="3"/>
    <n v="2"/>
    <x v="0"/>
    <x v="3"/>
    <s v="Divorced"/>
    <n v="4779"/>
    <n v="12761"/>
    <n v="7"/>
    <x v="1"/>
    <n v="14"/>
    <n v="3"/>
    <n v="2"/>
    <n v="2"/>
    <n v="8"/>
    <n v="3"/>
    <n v="3"/>
    <n v="3"/>
    <n v="2"/>
    <n v="0"/>
    <n v="2"/>
    <x v="2"/>
    <n v="0"/>
    <s v="30–39"/>
    <x v="1"/>
    <n v="2"/>
    <s v="Medium"/>
  </r>
  <r>
    <n v="31"/>
    <s v="No"/>
    <s v="Travel_Rarely"/>
    <n v="182"/>
    <x v="1"/>
    <n v="8"/>
    <n v="5"/>
    <s v="Life Sciences"/>
    <n v="1430"/>
    <n v="1"/>
    <x v="0"/>
    <n v="93"/>
    <n v="3"/>
    <n v="4"/>
    <x v="7"/>
    <x v="1"/>
    <s v="Single"/>
    <n v="16422"/>
    <n v="8847"/>
    <n v="3"/>
    <x v="1"/>
    <n v="11"/>
    <n v="3"/>
    <n v="3"/>
    <n v="0"/>
    <n v="9"/>
    <n v="3"/>
    <n v="4"/>
    <n v="3"/>
    <n v="2"/>
    <n v="1"/>
    <n v="0"/>
    <x v="2"/>
    <n v="0"/>
    <s v="30–39"/>
    <x v="1"/>
    <n v="2"/>
    <s v="Medium"/>
  </r>
  <r>
    <n v="34"/>
    <s v="No"/>
    <s v="Travel_Frequently"/>
    <n v="560"/>
    <x v="1"/>
    <n v="1"/>
    <n v="4"/>
    <s v="Other"/>
    <n v="1431"/>
    <n v="4"/>
    <x v="1"/>
    <n v="91"/>
    <n v="3"/>
    <n v="1"/>
    <x v="1"/>
    <x v="3"/>
    <s v="Divorced"/>
    <n v="2996"/>
    <n v="20284"/>
    <n v="5"/>
    <x v="1"/>
    <n v="14"/>
    <n v="3"/>
    <n v="3"/>
    <n v="2"/>
    <n v="10"/>
    <n v="2"/>
    <n v="3"/>
    <n v="4"/>
    <n v="3"/>
    <n v="1"/>
    <n v="3"/>
    <x v="3"/>
    <n v="0"/>
    <s v="30–39"/>
    <x v="1"/>
    <n v="1"/>
    <s v="Low"/>
  </r>
  <r>
    <n v="31"/>
    <s v="Yes"/>
    <s v="Travel_Rarely"/>
    <n v="202"/>
    <x v="1"/>
    <n v="8"/>
    <n v="3"/>
    <s v="Life Sciences"/>
    <n v="1433"/>
    <n v="1"/>
    <x v="0"/>
    <n v="34"/>
    <n v="2"/>
    <n v="1"/>
    <x v="1"/>
    <x v="1"/>
    <s v="Single"/>
    <n v="1261"/>
    <n v="22262"/>
    <n v="1"/>
    <x v="1"/>
    <n v="12"/>
    <n v="3"/>
    <n v="3"/>
    <n v="0"/>
    <n v="1"/>
    <n v="3"/>
    <n v="4"/>
    <n v="1"/>
    <n v="0"/>
    <n v="0"/>
    <n v="0"/>
    <x v="2"/>
    <n v="1"/>
    <s v="30–39"/>
    <x v="1"/>
    <n v="2"/>
    <s v="Medium"/>
  </r>
  <r>
    <n v="27"/>
    <s v="No"/>
    <s v="Travel_Rarely"/>
    <n v="1377"/>
    <x v="1"/>
    <n v="11"/>
    <n v="1"/>
    <s v="Life Sciences"/>
    <n v="1434"/>
    <n v="2"/>
    <x v="1"/>
    <n v="91"/>
    <n v="3"/>
    <n v="1"/>
    <x v="2"/>
    <x v="3"/>
    <s v="Married"/>
    <n v="2099"/>
    <n v="7679"/>
    <n v="0"/>
    <x v="1"/>
    <n v="14"/>
    <n v="3"/>
    <n v="2"/>
    <n v="0"/>
    <n v="6"/>
    <n v="3"/>
    <n v="4"/>
    <n v="5"/>
    <n v="0"/>
    <n v="1"/>
    <n v="4"/>
    <x v="3"/>
    <n v="0"/>
    <s v="30–39"/>
    <x v="1"/>
    <n v="1"/>
    <s v="Low"/>
  </r>
  <r>
    <n v="36"/>
    <s v="No"/>
    <s v="Travel_Rarely"/>
    <n v="172"/>
    <x v="1"/>
    <n v="4"/>
    <n v="4"/>
    <s v="Life Sciences"/>
    <n v="1435"/>
    <n v="1"/>
    <x v="1"/>
    <n v="37"/>
    <n v="2"/>
    <n v="2"/>
    <x v="2"/>
    <x v="0"/>
    <s v="Single"/>
    <n v="5810"/>
    <n v="22604"/>
    <n v="1"/>
    <x v="1"/>
    <n v="16"/>
    <n v="3"/>
    <n v="3"/>
    <n v="0"/>
    <n v="10"/>
    <n v="2"/>
    <n v="2"/>
    <n v="10"/>
    <n v="4"/>
    <n v="1"/>
    <n v="8"/>
    <x v="0"/>
    <n v="0"/>
    <s v="&lt;30"/>
    <x v="0"/>
    <n v="0"/>
    <s v="Low"/>
  </r>
  <r>
    <n v="36"/>
    <s v="No"/>
    <s v="Travel_Rarely"/>
    <n v="329"/>
    <x v="0"/>
    <n v="16"/>
    <n v="4"/>
    <s v="Marketing"/>
    <n v="1436"/>
    <n v="3"/>
    <x v="0"/>
    <n v="98"/>
    <n v="2"/>
    <n v="2"/>
    <x v="0"/>
    <x v="3"/>
    <s v="Married"/>
    <n v="5647"/>
    <n v="13494"/>
    <n v="4"/>
    <x v="1"/>
    <n v="13"/>
    <n v="3"/>
    <n v="1"/>
    <n v="2"/>
    <n v="11"/>
    <n v="3"/>
    <n v="2"/>
    <n v="3"/>
    <n v="2"/>
    <n v="0"/>
    <n v="2"/>
    <x v="2"/>
    <n v="0"/>
    <s v="30–39"/>
    <x v="1"/>
    <n v="2"/>
    <s v="Medium"/>
  </r>
  <r>
    <n v="47"/>
    <s v="No"/>
    <s v="Travel_Rarely"/>
    <n v="465"/>
    <x v="1"/>
    <n v="1"/>
    <n v="3"/>
    <s v="Technical Degree"/>
    <n v="1438"/>
    <n v="1"/>
    <x v="1"/>
    <n v="74"/>
    <n v="3"/>
    <n v="1"/>
    <x v="1"/>
    <x v="0"/>
    <s v="Married"/>
    <n v="3420"/>
    <n v="10205"/>
    <n v="7"/>
    <x v="1"/>
    <n v="12"/>
    <n v="3"/>
    <n v="3"/>
    <n v="1"/>
    <n v="17"/>
    <n v="2"/>
    <n v="2"/>
    <n v="6"/>
    <n v="5"/>
    <n v="1"/>
    <n v="2"/>
    <x v="0"/>
    <n v="0"/>
    <s v="30–39"/>
    <x v="0"/>
    <n v="0"/>
    <s v="Low"/>
  </r>
  <r>
    <n v="25"/>
    <s v="Yes"/>
    <s v="Travel_Rarely"/>
    <n v="383"/>
    <x v="0"/>
    <n v="9"/>
    <n v="2"/>
    <s v="Life Sciences"/>
    <n v="1439"/>
    <n v="1"/>
    <x v="1"/>
    <n v="68"/>
    <n v="2"/>
    <n v="1"/>
    <x v="6"/>
    <x v="3"/>
    <s v="Married"/>
    <n v="4400"/>
    <n v="15182"/>
    <n v="3"/>
    <x v="1"/>
    <n v="12"/>
    <n v="3"/>
    <n v="1"/>
    <n v="0"/>
    <n v="6"/>
    <n v="2"/>
    <n v="3"/>
    <n v="3"/>
    <n v="2"/>
    <n v="2"/>
    <n v="2"/>
    <x v="2"/>
    <n v="1"/>
    <s v="40–49"/>
    <x v="1"/>
    <n v="2"/>
    <s v="Medium"/>
  </r>
  <r>
    <n v="37"/>
    <s v="No"/>
    <s v="Non-Travel"/>
    <n v="1413"/>
    <x v="1"/>
    <n v="5"/>
    <n v="2"/>
    <s v="Technical Degree"/>
    <n v="1440"/>
    <n v="3"/>
    <x v="1"/>
    <n v="84"/>
    <n v="4"/>
    <n v="1"/>
    <x v="2"/>
    <x v="2"/>
    <s v="Single"/>
    <n v="3500"/>
    <n v="25470"/>
    <n v="0"/>
    <x v="1"/>
    <n v="14"/>
    <n v="3"/>
    <n v="1"/>
    <n v="0"/>
    <n v="7"/>
    <n v="2"/>
    <n v="1"/>
    <n v="6"/>
    <n v="5"/>
    <n v="1"/>
    <n v="3"/>
    <x v="0"/>
    <n v="0"/>
    <s v="&lt;30"/>
    <x v="2"/>
    <n v="0"/>
    <s v="Low"/>
  </r>
  <r>
    <n v="56"/>
    <s v="No"/>
    <s v="Travel_Rarely"/>
    <n v="1255"/>
    <x v="1"/>
    <n v="1"/>
    <n v="2"/>
    <s v="Life Sciences"/>
    <n v="1441"/>
    <n v="1"/>
    <x v="0"/>
    <n v="90"/>
    <n v="3"/>
    <n v="1"/>
    <x v="1"/>
    <x v="3"/>
    <s v="Married"/>
    <n v="2066"/>
    <n v="10494"/>
    <n v="2"/>
    <x v="1"/>
    <n v="22"/>
    <n v="4"/>
    <n v="4"/>
    <n v="1"/>
    <n v="5"/>
    <n v="3"/>
    <n v="4"/>
    <n v="3"/>
    <n v="2"/>
    <n v="1"/>
    <n v="0"/>
    <x v="2"/>
    <n v="0"/>
    <s v="30–39"/>
    <x v="1"/>
    <n v="2"/>
    <s v="Medium"/>
  </r>
  <r>
    <n v="47"/>
    <s v="No"/>
    <s v="Travel_Rarely"/>
    <n v="359"/>
    <x v="1"/>
    <n v="2"/>
    <n v="4"/>
    <s v="Medical"/>
    <n v="1443"/>
    <n v="1"/>
    <x v="0"/>
    <n v="82"/>
    <n v="3"/>
    <n v="4"/>
    <x v="7"/>
    <x v="2"/>
    <s v="Married"/>
    <n v="17169"/>
    <n v="26703"/>
    <n v="3"/>
    <x v="1"/>
    <n v="19"/>
    <n v="3"/>
    <n v="2"/>
    <n v="2"/>
    <n v="26"/>
    <n v="2"/>
    <n v="4"/>
    <n v="20"/>
    <n v="17"/>
    <n v="5"/>
    <n v="6"/>
    <x v="0"/>
    <n v="0"/>
    <s v="50+"/>
    <x v="2"/>
    <n v="0"/>
    <s v="Low"/>
  </r>
  <r>
    <n v="24"/>
    <s v="No"/>
    <s v="Travel_Rarely"/>
    <n v="1476"/>
    <x v="0"/>
    <n v="4"/>
    <n v="1"/>
    <s v="Medical"/>
    <n v="1445"/>
    <n v="4"/>
    <x v="0"/>
    <n v="42"/>
    <n v="3"/>
    <n v="2"/>
    <x v="0"/>
    <x v="2"/>
    <s v="Married"/>
    <n v="4162"/>
    <n v="15211"/>
    <n v="1"/>
    <x v="0"/>
    <n v="12"/>
    <n v="3"/>
    <n v="3"/>
    <n v="2"/>
    <n v="5"/>
    <n v="3"/>
    <n v="3"/>
    <n v="5"/>
    <n v="4"/>
    <n v="0"/>
    <n v="3"/>
    <x v="3"/>
    <n v="0"/>
    <s v="40–49"/>
    <x v="2"/>
    <n v="1"/>
    <s v="Low"/>
  </r>
  <r>
    <n v="32"/>
    <s v="No"/>
    <s v="Travel_Rarely"/>
    <n v="601"/>
    <x v="0"/>
    <n v="7"/>
    <n v="5"/>
    <s v="Marketing"/>
    <n v="1446"/>
    <n v="4"/>
    <x v="1"/>
    <n v="97"/>
    <n v="3"/>
    <n v="2"/>
    <x v="0"/>
    <x v="0"/>
    <s v="Married"/>
    <n v="9204"/>
    <n v="23343"/>
    <n v="4"/>
    <x v="1"/>
    <n v="12"/>
    <n v="3"/>
    <n v="3"/>
    <n v="1"/>
    <n v="7"/>
    <n v="3"/>
    <n v="2"/>
    <n v="4"/>
    <n v="3"/>
    <n v="0"/>
    <n v="3"/>
    <x v="3"/>
    <n v="0"/>
    <s v="&lt;30"/>
    <x v="0"/>
    <n v="0"/>
    <s v="Low"/>
  </r>
  <r>
    <n v="34"/>
    <s v="No"/>
    <s v="Travel_Rarely"/>
    <n v="401"/>
    <x v="1"/>
    <n v="1"/>
    <n v="3"/>
    <s v="Life Sciences"/>
    <n v="1447"/>
    <n v="4"/>
    <x v="0"/>
    <n v="86"/>
    <n v="2"/>
    <n v="1"/>
    <x v="2"/>
    <x v="1"/>
    <s v="Married"/>
    <n v="3294"/>
    <n v="3708"/>
    <n v="5"/>
    <x v="1"/>
    <n v="17"/>
    <n v="3"/>
    <n v="1"/>
    <n v="1"/>
    <n v="7"/>
    <n v="2"/>
    <n v="2"/>
    <n v="5"/>
    <n v="4"/>
    <n v="0"/>
    <n v="2"/>
    <x v="3"/>
    <n v="0"/>
    <s v="30–39"/>
    <x v="1"/>
    <n v="1"/>
    <s v="Low"/>
  </r>
  <r>
    <n v="41"/>
    <s v="No"/>
    <s v="Travel_Rarely"/>
    <n v="1283"/>
    <x v="1"/>
    <n v="5"/>
    <n v="5"/>
    <s v="Medical"/>
    <n v="1448"/>
    <n v="2"/>
    <x v="1"/>
    <n v="90"/>
    <n v="4"/>
    <n v="1"/>
    <x v="1"/>
    <x v="2"/>
    <s v="Married"/>
    <n v="2127"/>
    <n v="5561"/>
    <n v="2"/>
    <x v="0"/>
    <n v="12"/>
    <n v="3"/>
    <n v="1"/>
    <n v="0"/>
    <n v="7"/>
    <n v="5"/>
    <n v="2"/>
    <n v="4"/>
    <n v="2"/>
    <n v="0"/>
    <n v="3"/>
    <x v="3"/>
    <n v="0"/>
    <s v="30–39"/>
    <x v="2"/>
    <n v="1"/>
    <s v="Low"/>
  </r>
  <r>
    <n v="40"/>
    <s v="No"/>
    <s v="Non-Travel"/>
    <n v="663"/>
    <x v="1"/>
    <n v="9"/>
    <n v="4"/>
    <s v="Other"/>
    <n v="1449"/>
    <n v="3"/>
    <x v="1"/>
    <n v="81"/>
    <n v="3"/>
    <n v="2"/>
    <x v="2"/>
    <x v="2"/>
    <s v="Divorced"/>
    <n v="3975"/>
    <n v="23099"/>
    <n v="3"/>
    <x v="1"/>
    <n v="11"/>
    <n v="3"/>
    <n v="3"/>
    <n v="2"/>
    <n v="11"/>
    <n v="2"/>
    <n v="4"/>
    <n v="8"/>
    <n v="7"/>
    <n v="0"/>
    <n v="7"/>
    <x v="0"/>
    <n v="0"/>
    <s v="40–49"/>
    <x v="2"/>
    <n v="0"/>
    <s v="Low"/>
  </r>
  <r>
    <n v="31"/>
    <s v="No"/>
    <s v="Travel_Rarely"/>
    <n v="326"/>
    <x v="0"/>
    <n v="8"/>
    <n v="2"/>
    <s v="Life Sciences"/>
    <n v="1453"/>
    <n v="1"/>
    <x v="1"/>
    <n v="31"/>
    <n v="3"/>
    <n v="3"/>
    <x v="0"/>
    <x v="0"/>
    <s v="Divorced"/>
    <n v="10793"/>
    <n v="8386"/>
    <n v="1"/>
    <x v="1"/>
    <n v="18"/>
    <n v="3"/>
    <n v="1"/>
    <n v="1"/>
    <n v="13"/>
    <n v="5"/>
    <n v="3"/>
    <n v="13"/>
    <n v="7"/>
    <n v="9"/>
    <n v="9"/>
    <x v="0"/>
    <n v="0"/>
    <s v="40–49"/>
    <x v="0"/>
    <n v="0"/>
    <s v="Low"/>
  </r>
  <r>
    <n v="46"/>
    <s v="Yes"/>
    <s v="Travel_Rarely"/>
    <n v="377"/>
    <x v="0"/>
    <n v="9"/>
    <n v="3"/>
    <s v="Marketing"/>
    <n v="1457"/>
    <n v="1"/>
    <x v="1"/>
    <n v="52"/>
    <n v="3"/>
    <n v="3"/>
    <x v="0"/>
    <x v="0"/>
    <s v="Divorced"/>
    <n v="10096"/>
    <n v="15986"/>
    <n v="4"/>
    <x v="1"/>
    <n v="11"/>
    <n v="3"/>
    <n v="1"/>
    <n v="1"/>
    <n v="28"/>
    <n v="1"/>
    <n v="4"/>
    <n v="7"/>
    <n v="7"/>
    <n v="4"/>
    <n v="3"/>
    <x v="0"/>
    <n v="1"/>
    <s v="30–39"/>
    <x v="0"/>
    <n v="0"/>
    <s v="Low"/>
  </r>
  <r>
    <n v="39"/>
    <s v="Yes"/>
    <s v="Non-Travel"/>
    <n v="592"/>
    <x v="1"/>
    <n v="2"/>
    <n v="3"/>
    <s v="Life Sciences"/>
    <n v="1458"/>
    <n v="1"/>
    <x v="0"/>
    <n v="54"/>
    <n v="2"/>
    <n v="1"/>
    <x v="2"/>
    <x v="3"/>
    <s v="Single"/>
    <n v="3646"/>
    <n v="17181"/>
    <n v="2"/>
    <x v="0"/>
    <n v="23"/>
    <n v="4"/>
    <n v="2"/>
    <n v="0"/>
    <n v="11"/>
    <n v="2"/>
    <n v="4"/>
    <n v="1"/>
    <n v="0"/>
    <n v="0"/>
    <n v="0"/>
    <x v="2"/>
    <n v="1"/>
    <s v="40–49"/>
    <x v="1"/>
    <n v="3"/>
    <s v="High"/>
  </r>
  <r>
    <n v="31"/>
    <s v="Yes"/>
    <s v="Travel_Frequently"/>
    <n v="1445"/>
    <x v="1"/>
    <n v="1"/>
    <n v="5"/>
    <s v="Life Sciences"/>
    <n v="1459"/>
    <n v="3"/>
    <x v="0"/>
    <n v="100"/>
    <n v="4"/>
    <n v="3"/>
    <x v="3"/>
    <x v="1"/>
    <s v="Single"/>
    <n v="7446"/>
    <n v="8931"/>
    <n v="1"/>
    <x v="1"/>
    <n v="11"/>
    <n v="3"/>
    <n v="1"/>
    <n v="0"/>
    <n v="10"/>
    <n v="2"/>
    <n v="3"/>
    <n v="10"/>
    <n v="8"/>
    <n v="4"/>
    <n v="7"/>
    <x v="0"/>
    <n v="1"/>
    <s v="30–39"/>
    <x v="1"/>
    <n v="1"/>
    <s v="Low"/>
  </r>
  <r>
    <n v="45"/>
    <s v="No"/>
    <s v="Travel_Rarely"/>
    <n v="1038"/>
    <x v="1"/>
    <n v="20"/>
    <n v="3"/>
    <s v="Medical"/>
    <n v="1460"/>
    <n v="2"/>
    <x v="1"/>
    <n v="95"/>
    <n v="1"/>
    <n v="3"/>
    <x v="4"/>
    <x v="3"/>
    <s v="Divorced"/>
    <n v="10851"/>
    <n v="19863"/>
    <n v="2"/>
    <x v="0"/>
    <n v="18"/>
    <n v="3"/>
    <n v="2"/>
    <n v="1"/>
    <n v="24"/>
    <n v="2"/>
    <n v="3"/>
    <n v="7"/>
    <n v="7"/>
    <n v="0"/>
    <n v="7"/>
    <x v="0"/>
    <n v="0"/>
    <s v="30–39"/>
    <x v="1"/>
    <n v="2"/>
    <s v="Medium"/>
  </r>
  <r>
    <n v="31"/>
    <s v="No"/>
    <s v="Travel_Rarely"/>
    <n v="1398"/>
    <x v="2"/>
    <n v="8"/>
    <n v="2"/>
    <s v="Medical"/>
    <n v="1461"/>
    <n v="4"/>
    <x v="0"/>
    <n v="96"/>
    <n v="4"/>
    <n v="1"/>
    <x v="8"/>
    <x v="1"/>
    <s v="Single"/>
    <n v="2109"/>
    <n v="24609"/>
    <n v="9"/>
    <x v="1"/>
    <n v="18"/>
    <n v="3"/>
    <n v="4"/>
    <n v="0"/>
    <n v="8"/>
    <n v="3"/>
    <n v="3"/>
    <n v="3"/>
    <n v="2"/>
    <n v="0"/>
    <n v="2"/>
    <x v="2"/>
    <n v="0"/>
    <s v="40–49"/>
    <x v="1"/>
    <n v="2"/>
    <s v="Medium"/>
  </r>
  <r>
    <n v="31"/>
    <s v="Yes"/>
    <s v="Travel_Frequently"/>
    <n v="523"/>
    <x v="1"/>
    <n v="2"/>
    <n v="3"/>
    <s v="Life Sciences"/>
    <n v="1464"/>
    <n v="2"/>
    <x v="1"/>
    <n v="94"/>
    <n v="3"/>
    <n v="1"/>
    <x v="2"/>
    <x v="0"/>
    <s v="Married"/>
    <n v="3722"/>
    <n v="21081"/>
    <n v="6"/>
    <x v="0"/>
    <n v="13"/>
    <n v="3"/>
    <n v="3"/>
    <n v="1"/>
    <n v="7"/>
    <n v="2"/>
    <n v="1"/>
    <n v="2"/>
    <n v="2"/>
    <n v="2"/>
    <n v="2"/>
    <x v="2"/>
    <n v="1"/>
    <s v="30–39"/>
    <x v="0"/>
    <n v="2"/>
    <s v="Medium"/>
  </r>
  <r>
    <n v="45"/>
    <s v="No"/>
    <s v="Travel_Rarely"/>
    <n v="1448"/>
    <x v="1"/>
    <n v="29"/>
    <n v="3"/>
    <s v="Technical Degree"/>
    <n v="1465"/>
    <n v="2"/>
    <x v="1"/>
    <n v="55"/>
    <n v="3"/>
    <n v="3"/>
    <x v="3"/>
    <x v="0"/>
    <s v="Married"/>
    <n v="9380"/>
    <n v="14720"/>
    <n v="4"/>
    <x v="0"/>
    <n v="18"/>
    <n v="3"/>
    <n v="4"/>
    <n v="2"/>
    <n v="10"/>
    <n v="4"/>
    <n v="4"/>
    <n v="3"/>
    <n v="1"/>
    <n v="1"/>
    <n v="2"/>
    <x v="2"/>
    <n v="0"/>
    <s v="30–39"/>
    <x v="0"/>
    <n v="2"/>
    <s v="Medium"/>
  </r>
  <r>
    <n v="48"/>
    <s v="No"/>
    <s v="Travel_Rarely"/>
    <n v="1221"/>
    <x v="0"/>
    <n v="7"/>
    <n v="3"/>
    <s v="Marketing"/>
    <n v="1466"/>
    <n v="3"/>
    <x v="1"/>
    <n v="96"/>
    <n v="3"/>
    <n v="2"/>
    <x v="0"/>
    <x v="3"/>
    <s v="Divorced"/>
    <n v="5486"/>
    <n v="24795"/>
    <n v="4"/>
    <x v="1"/>
    <n v="11"/>
    <n v="3"/>
    <n v="1"/>
    <n v="3"/>
    <n v="15"/>
    <n v="3"/>
    <n v="3"/>
    <n v="2"/>
    <n v="2"/>
    <n v="2"/>
    <n v="2"/>
    <x v="2"/>
    <n v="0"/>
    <s v="40–49"/>
    <x v="1"/>
    <n v="2"/>
    <s v="Medium"/>
  </r>
  <r>
    <n v="34"/>
    <s v="Yes"/>
    <s v="Travel_Rarely"/>
    <n v="1107"/>
    <x v="2"/>
    <n v="9"/>
    <n v="4"/>
    <s v="Technical Degree"/>
    <n v="1467"/>
    <n v="1"/>
    <x v="0"/>
    <n v="52"/>
    <n v="3"/>
    <n v="1"/>
    <x v="8"/>
    <x v="2"/>
    <s v="Married"/>
    <n v="2742"/>
    <n v="3072"/>
    <n v="1"/>
    <x v="1"/>
    <n v="15"/>
    <n v="3"/>
    <n v="4"/>
    <n v="0"/>
    <n v="2"/>
    <n v="0"/>
    <n v="3"/>
    <n v="2"/>
    <n v="2"/>
    <n v="2"/>
    <n v="2"/>
    <x v="2"/>
    <n v="1"/>
    <s v="40–49"/>
    <x v="2"/>
    <n v="1"/>
    <s v="Low"/>
  </r>
  <r>
    <n v="40"/>
    <s v="No"/>
    <s v="Non-Travel"/>
    <n v="218"/>
    <x v="1"/>
    <n v="8"/>
    <n v="1"/>
    <s v="Medical"/>
    <n v="1468"/>
    <n v="4"/>
    <x v="1"/>
    <n v="55"/>
    <n v="2"/>
    <n v="3"/>
    <x v="7"/>
    <x v="1"/>
    <s v="Divorced"/>
    <n v="13757"/>
    <n v="25178"/>
    <n v="2"/>
    <x v="1"/>
    <n v="11"/>
    <n v="3"/>
    <n v="3"/>
    <n v="1"/>
    <n v="16"/>
    <n v="5"/>
    <n v="3"/>
    <n v="9"/>
    <n v="8"/>
    <n v="4"/>
    <n v="8"/>
    <x v="0"/>
    <n v="0"/>
    <s v="30–39"/>
    <x v="1"/>
    <n v="1"/>
    <s v="Low"/>
  </r>
  <r>
    <n v="28"/>
    <s v="No"/>
    <s v="Travel_Rarely"/>
    <n v="866"/>
    <x v="0"/>
    <n v="5"/>
    <n v="3"/>
    <s v="Medical"/>
    <n v="1469"/>
    <n v="4"/>
    <x v="1"/>
    <n v="84"/>
    <n v="3"/>
    <n v="2"/>
    <x v="0"/>
    <x v="3"/>
    <s v="Single"/>
    <n v="8463"/>
    <n v="23490"/>
    <n v="0"/>
    <x v="1"/>
    <n v="18"/>
    <n v="3"/>
    <n v="4"/>
    <n v="0"/>
    <n v="6"/>
    <n v="4"/>
    <n v="3"/>
    <n v="5"/>
    <n v="4"/>
    <n v="1"/>
    <n v="3"/>
    <x v="3"/>
    <n v="0"/>
    <s v="40–49"/>
    <x v="1"/>
    <n v="1"/>
    <s v="Low"/>
  </r>
  <r>
    <n v="44"/>
    <s v="No"/>
    <s v="Non-Travel"/>
    <n v="981"/>
    <x v="1"/>
    <n v="5"/>
    <n v="3"/>
    <s v="Life Sciences"/>
    <n v="1471"/>
    <n v="3"/>
    <x v="1"/>
    <n v="90"/>
    <n v="2"/>
    <n v="1"/>
    <x v="2"/>
    <x v="2"/>
    <s v="Single"/>
    <n v="3162"/>
    <n v="7973"/>
    <n v="3"/>
    <x v="1"/>
    <n v="14"/>
    <n v="3"/>
    <n v="4"/>
    <n v="0"/>
    <n v="7"/>
    <n v="5"/>
    <n v="3"/>
    <n v="5"/>
    <n v="2"/>
    <n v="0"/>
    <n v="3"/>
    <x v="3"/>
    <n v="0"/>
    <s v="&lt;30"/>
    <x v="2"/>
    <n v="0"/>
    <s v="Low"/>
  </r>
  <r>
    <n v="53"/>
    <s v="No"/>
    <s v="Travel_Rarely"/>
    <n v="447"/>
    <x v="1"/>
    <n v="2"/>
    <n v="3"/>
    <s v="Medical"/>
    <n v="1472"/>
    <n v="4"/>
    <x v="1"/>
    <n v="39"/>
    <n v="4"/>
    <n v="4"/>
    <x v="7"/>
    <x v="1"/>
    <s v="Single"/>
    <n v="16598"/>
    <n v="19764"/>
    <n v="4"/>
    <x v="1"/>
    <n v="12"/>
    <n v="3"/>
    <n v="2"/>
    <n v="0"/>
    <n v="35"/>
    <n v="2"/>
    <n v="2"/>
    <n v="9"/>
    <n v="8"/>
    <n v="8"/>
    <n v="8"/>
    <x v="0"/>
    <n v="0"/>
    <s v="40–49"/>
    <x v="1"/>
    <n v="1"/>
    <s v="Low"/>
  </r>
  <r>
    <n v="49"/>
    <s v="No"/>
    <s v="Travel_Rarely"/>
    <n v="1495"/>
    <x v="1"/>
    <n v="5"/>
    <n v="4"/>
    <s v="Technical Degree"/>
    <n v="1473"/>
    <n v="1"/>
    <x v="1"/>
    <n v="96"/>
    <n v="3"/>
    <n v="2"/>
    <x v="4"/>
    <x v="2"/>
    <s v="Married"/>
    <n v="6651"/>
    <n v="21534"/>
    <n v="2"/>
    <x v="1"/>
    <n v="14"/>
    <n v="3"/>
    <n v="2"/>
    <n v="1"/>
    <n v="20"/>
    <n v="0"/>
    <n v="2"/>
    <n v="3"/>
    <n v="2"/>
    <n v="1"/>
    <n v="2"/>
    <x v="2"/>
    <n v="0"/>
    <s v="50+"/>
    <x v="2"/>
    <n v="1"/>
    <s v="Low"/>
  </r>
  <r>
    <n v="40"/>
    <s v="No"/>
    <s v="Travel_Rarely"/>
    <n v="896"/>
    <x v="1"/>
    <n v="2"/>
    <n v="3"/>
    <s v="Medical"/>
    <n v="1474"/>
    <n v="3"/>
    <x v="1"/>
    <n v="68"/>
    <n v="3"/>
    <n v="1"/>
    <x v="1"/>
    <x v="2"/>
    <s v="Divorced"/>
    <n v="2345"/>
    <n v="8045"/>
    <n v="2"/>
    <x v="1"/>
    <n v="14"/>
    <n v="3"/>
    <n v="3"/>
    <n v="1"/>
    <n v="8"/>
    <n v="3"/>
    <n v="4"/>
    <n v="3"/>
    <n v="1"/>
    <n v="1"/>
    <n v="2"/>
    <x v="2"/>
    <n v="0"/>
    <s v="40–49"/>
    <x v="2"/>
    <n v="1"/>
    <s v="Low"/>
  </r>
  <r>
    <n v="44"/>
    <s v="No"/>
    <s v="Travel_Rarely"/>
    <n v="1467"/>
    <x v="1"/>
    <n v="20"/>
    <n v="3"/>
    <s v="Life Sciences"/>
    <n v="1475"/>
    <n v="4"/>
    <x v="1"/>
    <n v="49"/>
    <n v="3"/>
    <n v="1"/>
    <x v="1"/>
    <x v="1"/>
    <s v="Single"/>
    <n v="3420"/>
    <n v="21158"/>
    <n v="1"/>
    <x v="1"/>
    <n v="13"/>
    <n v="3"/>
    <n v="3"/>
    <n v="0"/>
    <n v="6"/>
    <n v="3"/>
    <n v="2"/>
    <n v="5"/>
    <n v="2"/>
    <n v="1"/>
    <n v="3"/>
    <x v="3"/>
    <n v="0"/>
    <s v="40–49"/>
    <x v="1"/>
    <n v="1"/>
    <s v="Low"/>
  </r>
  <r>
    <n v="33"/>
    <s v="No"/>
    <s v="Travel_Frequently"/>
    <n v="430"/>
    <x v="0"/>
    <n v="7"/>
    <n v="3"/>
    <s v="Medical"/>
    <n v="1477"/>
    <n v="4"/>
    <x v="1"/>
    <n v="54"/>
    <n v="3"/>
    <n v="2"/>
    <x v="0"/>
    <x v="3"/>
    <s v="Married"/>
    <n v="4373"/>
    <n v="17456"/>
    <n v="0"/>
    <x v="1"/>
    <n v="14"/>
    <n v="3"/>
    <n v="1"/>
    <n v="2"/>
    <n v="5"/>
    <n v="2"/>
    <n v="3"/>
    <n v="4"/>
    <n v="3"/>
    <n v="0"/>
    <n v="3"/>
    <x v="3"/>
    <n v="0"/>
    <s v="40–49"/>
    <x v="1"/>
    <n v="1"/>
    <s v="Low"/>
  </r>
  <r>
    <n v="34"/>
    <s v="No"/>
    <s v="Travel_Rarely"/>
    <n v="1326"/>
    <x v="0"/>
    <n v="3"/>
    <n v="3"/>
    <s v="Other"/>
    <n v="1478"/>
    <n v="4"/>
    <x v="1"/>
    <n v="81"/>
    <n v="1"/>
    <n v="2"/>
    <x v="0"/>
    <x v="3"/>
    <s v="Single"/>
    <n v="4759"/>
    <n v="15891"/>
    <n v="3"/>
    <x v="1"/>
    <n v="18"/>
    <n v="3"/>
    <n v="4"/>
    <n v="0"/>
    <n v="15"/>
    <n v="2"/>
    <n v="3"/>
    <n v="13"/>
    <n v="9"/>
    <n v="3"/>
    <n v="12"/>
    <x v="0"/>
    <n v="0"/>
    <s v="30–39"/>
    <x v="1"/>
    <n v="1"/>
    <s v="Low"/>
  </r>
  <r>
    <n v="30"/>
    <s v="No"/>
    <s v="Travel_Rarely"/>
    <n v="1358"/>
    <x v="0"/>
    <n v="16"/>
    <n v="1"/>
    <s v="Life Sciences"/>
    <n v="1479"/>
    <n v="4"/>
    <x v="1"/>
    <n v="96"/>
    <n v="3"/>
    <n v="2"/>
    <x v="0"/>
    <x v="2"/>
    <s v="Married"/>
    <n v="5301"/>
    <n v="2939"/>
    <n v="8"/>
    <x v="1"/>
    <n v="15"/>
    <n v="3"/>
    <n v="3"/>
    <n v="2"/>
    <n v="4"/>
    <n v="2"/>
    <n v="2"/>
    <n v="2"/>
    <n v="1"/>
    <n v="2"/>
    <n v="2"/>
    <x v="2"/>
    <n v="0"/>
    <s v="30–39"/>
    <x v="2"/>
    <n v="1"/>
    <s v="Low"/>
  </r>
  <r>
    <n v="42"/>
    <s v="No"/>
    <s v="Travel_Frequently"/>
    <n v="748"/>
    <x v="1"/>
    <n v="9"/>
    <n v="2"/>
    <s v="Medical"/>
    <n v="1480"/>
    <n v="1"/>
    <x v="0"/>
    <n v="74"/>
    <n v="3"/>
    <n v="1"/>
    <x v="2"/>
    <x v="0"/>
    <s v="Single"/>
    <n v="3673"/>
    <n v="16458"/>
    <n v="1"/>
    <x v="1"/>
    <n v="13"/>
    <n v="3"/>
    <n v="3"/>
    <n v="0"/>
    <n v="12"/>
    <n v="3"/>
    <n v="3"/>
    <n v="12"/>
    <n v="9"/>
    <n v="5"/>
    <n v="8"/>
    <x v="0"/>
    <n v="0"/>
    <s v="30–39"/>
    <x v="0"/>
    <n v="0"/>
    <s v="Low"/>
  </r>
  <r>
    <n v="44"/>
    <s v="No"/>
    <s v="Travel_Frequently"/>
    <n v="383"/>
    <x v="0"/>
    <n v="1"/>
    <n v="5"/>
    <s v="Marketing"/>
    <n v="1481"/>
    <n v="1"/>
    <x v="0"/>
    <n v="79"/>
    <n v="3"/>
    <n v="2"/>
    <x v="0"/>
    <x v="2"/>
    <s v="Married"/>
    <n v="4768"/>
    <n v="9282"/>
    <n v="7"/>
    <x v="1"/>
    <n v="12"/>
    <n v="3"/>
    <n v="3"/>
    <n v="1"/>
    <n v="11"/>
    <n v="4"/>
    <n v="2"/>
    <n v="1"/>
    <n v="0"/>
    <n v="0"/>
    <n v="0"/>
    <x v="2"/>
    <n v="0"/>
    <s v="40–49"/>
    <x v="2"/>
    <n v="1"/>
    <s v="Low"/>
  </r>
  <r>
    <n v="30"/>
    <s v="No"/>
    <s v="Non-Travel"/>
    <n v="990"/>
    <x v="1"/>
    <n v="7"/>
    <n v="3"/>
    <s v="Technical Degree"/>
    <n v="1482"/>
    <n v="3"/>
    <x v="1"/>
    <n v="64"/>
    <n v="3"/>
    <n v="1"/>
    <x v="1"/>
    <x v="2"/>
    <s v="Divorced"/>
    <n v="1274"/>
    <n v="7152"/>
    <n v="1"/>
    <x v="1"/>
    <n v="13"/>
    <n v="3"/>
    <n v="2"/>
    <n v="2"/>
    <n v="1"/>
    <n v="2"/>
    <n v="2"/>
    <n v="1"/>
    <n v="0"/>
    <n v="0"/>
    <n v="0"/>
    <x v="2"/>
    <n v="0"/>
    <s v="40–49"/>
    <x v="2"/>
    <n v="1"/>
    <s v="Low"/>
  </r>
  <r>
    <n v="57"/>
    <s v="No"/>
    <s v="Travel_Rarely"/>
    <n v="405"/>
    <x v="1"/>
    <n v="1"/>
    <n v="2"/>
    <s v="Life Sciences"/>
    <n v="1483"/>
    <n v="2"/>
    <x v="1"/>
    <n v="93"/>
    <n v="4"/>
    <n v="2"/>
    <x v="1"/>
    <x v="2"/>
    <s v="Married"/>
    <n v="4900"/>
    <n v="2721"/>
    <n v="0"/>
    <x v="1"/>
    <n v="24"/>
    <n v="4"/>
    <n v="1"/>
    <n v="1"/>
    <n v="13"/>
    <n v="2"/>
    <n v="2"/>
    <n v="12"/>
    <n v="9"/>
    <n v="2"/>
    <n v="8"/>
    <x v="0"/>
    <n v="0"/>
    <s v="30–39"/>
    <x v="2"/>
    <n v="0"/>
    <s v="Low"/>
  </r>
  <r>
    <n v="49"/>
    <s v="No"/>
    <s v="Travel_Rarely"/>
    <n v="1490"/>
    <x v="1"/>
    <n v="7"/>
    <n v="4"/>
    <s v="Life Sciences"/>
    <n v="1484"/>
    <n v="3"/>
    <x v="1"/>
    <n v="35"/>
    <n v="3"/>
    <n v="3"/>
    <x v="4"/>
    <x v="1"/>
    <s v="Divorced"/>
    <n v="10466"/>
    <n v="20948"/>
    <n v="3"/>
    <x v="1"/>
    <n v="14"/>
    <n v="3"/>
    <n v="2"/>
    <n v="2"/>
    <n v="29"/>
    <n v="3"/>
    <n v="3"/>
    <n v="8"/>
    <n v="7"/>
    <n v="0"/>
    <n v="7"/>
    <x v="0"/>
    <n v="0"/>
    <s v="50+"/>
    <x v="1"/>
    <n v="1"/>
    <s v="Low"/>
  </r>
  <r>
    <n v="34"/>
    <s v="No"/>
    <s v="Travel_Frequently"/>
    <n v="829"/>
    <x v="1"/>
    <n v="15"/>
    <n v="3"/>
    <s v="Medical"/>
    <n v="1485"/>
    <n v="2"/>
    <x v="1"/>
    <n v="71"/>
    <n v="3"/>
    <n v="4"/>
    <x v="7"/>
    <x v="3"/>
    <s v="Divorced"/>
    <n v="17007"/>
    <n v="11929"/>
    <n v="7"/>
    <x v="1"/>
    <n v="14"/>
    <n v="3"/>
    <n v="4"/>
    <n v="2"/>
    <n v="16"/>
    <n v="3"/>
    <n v="2"/>
    <n v="14"/>
    <n v="8"/>
    <n v="6"/>
    <n v="9"/>
    <x v="0"/>
    <n v="0"/>
    <s v="40–49"/>
    <x v="1"/>
    <n v="1"/>
    <s v="Low"/>
  </r>
  <r>
    <n v="28"/>
    <s v="Yes"/>
    <s v="Travel_Frequently"/>
    <n v="1496"/>
    <x v="0"/>
    <n v="1"/>
    <n v="3"/>
    <s v="Technical Degree"/>
    <n v="1486"/>
    <n v="1"/>
    <x v="1"/>
    <n v="92"/>
    <n v="3"/>
    <n v="1"/>
    <x v="6"/>
    <x v="2"/>
    <s v="Married"/>
    <n v="2909"/>
    <n v="15747"/>
    <n v="3"/>
    <x v="1"/>
    <n v="15"/>
    <n v="3"/>
    <n v="4"/>
    <n v="1"/>
    <n v="5"/>
    <n v="3"/>
    <n v="4"/>
    <n v="3"/>
    <n v="2"/>
    <n v="1"/>
    <n v="2"/>
    <x v="2"/>
    <n v="1"/>
    <s v="30–39"/>
    <x v="2"/>
    <n v="1"/>
    <s v="Low"/>
  </r>
  <r>
    <n v="29"/>
    <s v="Yes"/>
    <s v="Travel_Frequently"/>
    <n v="115"/>
    <x v="0"/>
    <n v="13"/>
    <n v="3"/>
    <s v="Technical Degree"/>
    <n v="1487"/>
    <n v="1"/>
    <x v="0"/>
    <n v="51"/>
    <n v="3"/>
    <n v="2"/>
    <x v="0"/>
    <x v="1"/>
    <s v="Single"/>
    <n v="5765"/>
    <n v="17485"/>
    <n v="5"/>
    <x v="1"/>
    <n v="11"/>
    <n v="3"/>
    <n v="1"/>
    <n v="0"/>
    <n v="7"/>
    <n v="4"/>
    <n v="1"/>
    <n v="5"/>
    <n v="3"/>
    <n v="0"/>
    <n v="0"/>
    <x v="3"/>
    <n v="1"/>
    <s v="&lt;30"/>
    <x v="1"/>
    <n v="1"/>
    <s v="Low"/>
  </r>
  <r>
    <n v="34"/>
    <s v="Yes"/>
    <s v="Travel_Rarely"/>
    <n v="790"/>
    <x v="0"/>
    <n v="24"/>
    <n v="4"/>
    <s v="Medical"/>
    <n v="1489"/>
    <n v="1"/>
    <x v="0"/>
    <n v="40"/>
    <n v="2"/>
    <n v="2"/>
    <x v="0"/>
    <x v="1"/>
    <s v="Single"/>
    <n v="4599"/>
    <n v="7815"/>
    <n v="0"/>
    <x v="0"/>
    <n v="23"/>
    <n v="4"/>
    <n v="3"/>
    <n v="0"/>
    <n v="16"/>
    <n v="2"/>
    <n v="4"/>
    <n v="15"/>
    <n v="9"/>
    <n v="10"/>
    <n v="10"/>
    <x v="0"/>
    <n v="1"/>
    <s v="&lt;30"/>
    <x v="1"/>
    <n v="2"/>
    <s v="Medium"/>
  </r>
  <r>
    <n v="35"/>
    <s v="No"/>
    <s v="Travel_Rarely"/>
    <n v="660"/>
    <x v="0"/>
    <n v="7"/>
    <n v="1"/>
    <s v="Life Sciences"/>
    <n v="1492"/>
    <n v="4"/>
    <x v="1"/>
    <n v="76"/>
    <n v="3"/>
    <n v="1"/>
    <x v="6"/>
    <x v="2"/>
    <s v="Married"/>
    <n v="2404"/>
    <n v="16192"/>
    <n v="1"/>
    <x v="1"/>
    <n v="13"/>
    <n v="3"/>
    <n v="1"/>
    <n v="1"/>
    <n v="1"/>
    <n v="3"/>
    <n v="3"/>
    <n v="1"/>
    <n v="0"/>
    <n v="0"/>
    <n v="0"/>
    <x v="2"/>
    <n v="0"/>
    <s v="30–39"/>
    <x v="2"/>
    <n v="1"/>
    <s v="Low"/>
  </r>
  <r>
    <n v="24"/>
    <s v="Yes"/>
    <s v="Travel_Frequently"/>
    <n v="381"/>
    <x v="1"/>
    <n v="9"/>
    <n v="3"/>
    <s v="Medical"/>
    <n v="1494"/>
    <n v="2"/>
    <x v="1"/>
    <n v="89"/>
    <n v="3"/>
    <n v="1"/>
    <x v="2"/>
    <x v="3"/>
    <s v="Single"/>
    <n v="3172"/>
    <n v="16998"/>
    <n v="2"/>
    <x v="0"/>
    <n v="11"/>
    <n v="3"/>
    <n v="3"/>
    <n v="0"/>
    <n v="4"/>
    <n v="2"/>
    <n v="2"/>
    <n v="0"/>
    <n v="0"/>
    <n v="0"/>
    <n v="0"/>
    <x v="1"/>
    <n v="1"/>
    <s v="30–39"/>
    <x v="1"/>
    <n v="3"/>
    <s v="High"/>
  </r>
  <r>
    <n v="24"/>
    <s v="No"/>
    <s v="Non-Travel"/>
    <n v="830"/>
    <x v="0"/>
    <n v="13"/>
    <n v="2"/>
    <s v="Life Sciences"/>
    <n v="1495"/>
    <n v="4"/>
    <x v="0"/>
    <n v="78"/>
    <n v="3"/>
    <n v="1"/>
    <x v="6"/>
    <x v="1"/>
    <s v="Married"/>
    <n v="2033"/>
    <n v="7103"/>
    <n v="1"/>
    <x v="1"/>
    <n v="13"/>
    <n v="3"/>
    <n v="3"/>
    <n v="1"/>
    <n v="1"/>
    <n v="2"/>
    <n v="3"/>
    <n v="1"/>
    <n v="0"/>
    <n v="0"/>
    <n v="0"/>
    <x v="2"/>
    <n v="0"/>
    <s v="&lt;30"/>
    <x v="1"/>
    <n v="2"/>
    <s v="Medium"/>
  </r>
  <r>
    <n v="44"/>
    <s v="No"/>
    <s v="Travel_Frequently"/>
    <n v="1193"/>
    <x v="1"/>
    <n v="2"/>
    <n v="1"/>
    <s v="Medical"/>
    <n v="1496"/>
    <n v="2"/>
    <x v="1"/>
    <n v="86"/>
    <n v="3"/>
    <n v="3"/>
    <x v="3"/>
    <x v="2"/>
    <s v="Single"/>
    <n v="10209"/>
    <n v="19719"/>
    <n v="5"/>
    <x v="0"/>
    <n v="18"/>
    <n v="3"/>
    <n v="2"/>
    <n v="0"/>
    <n v="16"/>
    <n v="2"/>
    <n v="2"/>
    <n v="2"/>
    <n v="2"/>
    <n v="2"/>
    <n v="2"/>
    <x v="2"/>
    <n v="0"/>
    <s v="&lt;30"/>
    <x v="2"/>
    <n v="2"/>
    <s v="Medium"/>
  </r>
  <r>
    <n v="29"/>
    <s v="No"/>
    <s v="Travel_Rarely"/>
    <n v="1246"/>
    <x v="0"/>
    <n v="19"/>
    <n v="3"/>
    <s v="Life Sciences"/>
    <n v="1497"/>
    <n v="3"/>
    <x v="1"/>
    <n v="77"/>
    <n v="2"/>
    <n v="2"/>
    <x v="0"/>
    <x v="2"/>
    <s v="Divorced"/>
    <n v="8620"/>
    <n v="23757"/>
    <n v="1"/>
    <x v="1"/>
    <n v="14"/>
    <n v="3"/>
    <n v="3"/>
    <n v="2"/>
    <n v="10"/>
    <n v="3"/>
    <n v="3"/>
    <n v="10"/>
    <n v="7"/>
    <n v="0"/>
    <n v="4"/>
    <x v="0"/>
    <n v="0"/>
    <s v="40–49"/>
    <x v="2"/>
    <n v="0"/>
    <s v="Low"/>
  </r>
  <r>
    <n v="30"/>
    <s v="No"/>
    <s v="Travel_Rarely"/>
    <n v="330"/>
    <x v="2"/>
    <n v="1"/>
    <n v="3"/>
    <s v="Life Sciences"/>
    <n v="1499"/>
    <n v="3"/>
    <x v="1"/>
    <n v="46"/>
    <n v="3"/>
    <n v="1"/>
    <x v="8"/>
    <x v="2"/>
    <s v="Divorced"/>
    <n v="2064"/>
    <n v="15428"/>
    <n v="0"/>
    <x v="1"/>
    <n v="21"/>
    <n v="4"/>
    <n v="1"/>
    <n v="1"/>
    <n v="6"/>
    <n v="3"/>
    <n v="4"/>
    <n v="5"/>
    <n v="3"/>
    <n v="1"/>
    <n v="3"/>
    <x v="3"/>
    <n v="0"/>
    <s v="&lt;30"/>
    <x v="2"/>
    <n v="0"/>
    <s v="Low"/>
  </r>
  <r>
    <n v="55"/>
    <s v="No"/>
    <s v="Travel_Rarely"/>
    <n v="1229"/>
    <x v="1"/>
    <n v="4"/>
    <n v="4"/>
    <s v="Life Sciences"/>
    <n v="1501"/>
    <n v="4"/>
    <x v="1"/>
    <n v="30"/>
    <n v="3"/>
    <n v="2"/>
    <x v="4"/>
    <x v="2"/>
    <s v="Married"/>
    <n v="4035"/>
    <n v="16143"/>
    <n v="0"/>
    <x v="0"/>
    <n v="16"/>
    <n v="3"/>
    <n v="2"/>
    <n v="0"/>
    <n v="4"/>
    <n v="2"/>
    <n v="3"/>
    <n v="3"/>
    <n v="2"/>
    <n v="1"/>
    <n v="2"/>
    <x v="2"/>
    <n v="0"/>
    <s v="30–39"/>
    <x v="2"/>
    <n v="2"/>
    <s v="Medium"/>
  </r>
  <r>
    <n v="33"/>
    <s v="No"/>
    <s v="Travel_Rarely"/>
    <n v="1099"/>
    <x v="1"/>
    <n v="4"/>
    <n v="4"/>
    <s v="Medical"/>
    <n v="1502"/>
    <n v="1"/>
    <x v="0"/>
    <n v="82"/>
    <n v="2"/>
    <n v="1"/>
    <x v="2"/>
    <x v="1"/>
    <s v="Married"/>
    <n v="3838"/>
    <n v="8192"/>
    <n v="8"/>
    <x v="1"/>
    <n v="11"/>
    <n v="3"/>
    <n v="4"/>
    <n v="0"/>
    <n v="8"/>
    <n v="5"/>
    <n v="3"/>
    <n v="5"/>
    <n v="4"/>
    <n v="0"/>
    <n v="2"/>
    <x v="3"/>
    <n v="0"/>
    <s v="50+"/>
    <x v="1"/>
    <n v="1"/>
    <s v="Low"/>
  </r>
  <r>
    <n v="47"/>
    <s v="No"/>
    <s v="Travel_Rarely"/>
    <n v="571"/>
    <x v="0"/>
    <n v="14"/>
    <n v="3"/>
    <s v="Medical"/>
    <n v="1503"/>
    <n v="3"/>
    <x v="0"/>
    <n v="78"/>
    <n v="3"/>
    <n v="2"/>
    <x v="0"/>
    <x v="2"/>
    <s v="Married"/>
    <n v="4591"/>
    <n v="24200"/>
    <n v="3"/>
    <x v="0"/>
    <n v="17"/>
    <n v="3"/>
    <n v="3"/>
    <n v="1"/>
    <n v="11"/>
    <n v="4"/>
    <n v="2"/>
    <n v="5"/>
    <n v="4"/>
    <n v="1"/>
    <n v="2"/>
    <x v="3"/>
    <n v="0"/>
    <s v="30–39"/>
    <x v="2"/>
    <n v="1"/>
    <s v="Low"/>
  </r>
  <r>
    <n v="28"/>
    <s v="Yes"/>
    <s v="Travel_Frequently"/>
    <n v="289"/>
    <x v="1"/>
    <n v="2"/>
    <n v="2"/>
    <s v="Medical"/>
    <n v="1504"/>
    <n v="3"/>
    <x v="1"/>
    <n v="38"/>
    <n v="2"/>
    <n v="1"/>
    <x v="2"/>
    <x v="3"/>
    <s v="Single"/>
    <n v="2561"/>
    <n v="5355"/>
    <n v="7"/>
    <x v="1"/>
    <n v="11"/>
    <n v="3"/>
    <n v="3"/>
    <n v="0"/>
    <n v="8"/>
    <n v="2"/>
    <n v="2"/>
    <n v="0"/>
    <n v="0"/>
    <n v="0"/>
    <n v="0"/>
    <x v="1"/>
    <n v="1"/>
    <s v="40–49"/>
    <x v="1"/>
    <n v="2"/>
    <s v="Medium"/>
  </r>
  <r>
    <n v="28"/>
    <s v="No"/>
    <s v="Travel_Rarely"/>
    <n v="1423"/>
    <x v="1"/>
    <n v="1"/>
    <n v="3"/>
    <s v="Life Sciences"/>
    <n v="1506"/>
    <n v="1"/>
    <x v="1"/>
    <n v="72"/>
    <n v="2"/>
    <n v="1"/>
    <x v="1"/>
    <x v="2"/>
    <s v="Divorced"/>
    <n v="1563"/>
    <n v="12530"/>
    <n v="1"/>
    <x v="1"/>
    <n v="14"/>
    <n v="3"/>
    <n v="4"/>
    <n v="1"/>
    <n v="1"/>
    <n v="2"/>
    <n v="1"/>
    <n v="1"/>
    <n v="0"/>
    <n v="0"/>
    <n v="0"/>
    <x v="2"/>
    <n v="0"/>
    <s v="&lt;30"/>
    <x v="2"/>
    <n v="1"/>
    <s v="Low"/>
  </r>
  <r>
    <n v="28"/>
    <s v="No"/>
    <s v="Travel_Frequently"/>
    <n v="467"/>
    <x v="0"/>
    <n v="7"/>
    <n v="3"/>
    <s v="Life Sciences"/>
    <n v="1507"/>
    <n v="3"/>
    <x v="1"/>
    <n v="55"/>
    <n v="3"/>
    <n v="2"/>
    <x v="0"/>
    <x v="3"/>
    <s v="Single"/>
    <n v="4898"/>
    <n v="11827"/>
    <n v="0"/>
    <x v="1"/>
    <n v="14"/>
    <n v="3"/>
    <n v="4"/>
    <n v="0"/>
    <n v="5"/>
    <n v="5"/>
    <n v="3"/>
    <n v="4"/>
    <n v="2"/>
    <n v="1"/>
    <n v="3"/>
    <x v="3"/>
    <n v="0"/>
    <s v="&lt;30"/>
    <x v="1"/>
    <n v="1"/>
    <s v="Low"/>
  </r>
  <r>
    <n v="49"/>
    <s v="No"/>
    <s v="Travel_Rarely"/>
    <n v="271"/>
    <x v="1"/>
    <n v="3"/>
    <n v="2"/>
    <s v="Medical"/>
    <n v="1509"/>
    <n v="3"/>
    <x v="0"/>
    <n v="43"/>
    <n v="2"/>
    <n v="2"/>
    <x v="2"/>
    <x v="3"/>
    <s v="Married"/>
    <n v="4789"/>
    <n v="23070"/>
    <n v="4"/>
    <x v="1"/>
    <n v="25"/>
    <n v="4"/>
    <n v="1"/>
    <n v="1"/>
    <n v="10"/>
    <n v="3"/>
    <n v="3"/>
    <n v="3"/>
    <n v="2"/>
    <n v="1"/>
    <n v="2"/>
    <x v="2"/>
    <n v="0"/>
    <s v="&lt;30"/>
    <x v="1"/>
    <n v="2"/>
    <s v="Medium"/>
  </r>
  <r>
    <n v="29"/>
    <s v="No"/>
    <s v="Travel_Frequently"/>
    <n v="410"/>
    <x v="1"/>
    <n v="2"/>
    <n v="1"/>
    <s v="Life Sciences"/>
    <n v="1513"/>
    <n v="4"/>
    <x v="0"/>
    <n v="97"/>
    <n v="3"/>
    <n v="1"/>
    <x v="2"/>
    <x v="1"/>
    <s v="Married"/>
    <n v="3180"/>
    <n v="4668"/>
    <n v="0"/>
    <x v="1"/>
    <n v="13"/>
    <n v="3"/>
    <n v="3"/>
    <n v="3"/>
    <n v="4"/>
    <n v="3"/>
    <n v="3"/>
    <n v="3"/>
    <n v="2"/>
    <n v="0"/>
    <n v="2"/>
    <x v="2"/>
    <n v="0"/>
    <s v="40–49"/>
    <x v="1"/>
    <n v="2"/>
    <s v="Medium"/>
  </r>
  <r>
    <n v="28"/>
    <s v="No"/>
    <s v="Travel_Rarely"/>
    <n v="1083"/>
    <x v="1"/>
    <n v="29"/>
    <n v="1"/>
    <s v="Life Sciences"/>
    <n v="1514"/>
    <n v="3"/>
    <x v="1"/>
    <n v="96"/>
    <n v="1"/>
    <n v="2"/>
    <x v="3"/>
    <x v="1"/>
    <s v="Married"/>
    <n v="6549"/>
    <n v="3173"/>
    <n v="1"/>
    <x v="1"/>
    <n v="14"/>
    <n v="3"/>
    <n v="2"/>
    <n v="2"/>
    <n v="8"/>
    <n v="2"/>
    <n v="2"/>
    <n v="8"/>
    <n v="6"/>
    <n v="1"/>
    <n v="7"/>
    <x v="0"/>
    <n v="0"/>
    <s v="&lt;30"/>
    <x v="1"/>
    <n v="1"/>
    <s v="Low"/>
  </r>
  <r>
    <n v="33"/>
    <s v="No"/>
    <s v="Travel_Rarely"/>
    <n v="516"/>
    <x v="1"/>
    <n v="8"/>
    <n v="5"/>
    <s v="Life Sciences"/>
    <n v="1515"/>
    <n v="4"/>
    <x v="1"/>
    <n v="69"/>
    <n v="3"/>
    <n v="2"/>
    <x v="4"/>
    <x v="2"/>
    <s v="Single"/>
    <n v="6388"/>
    <n v="22049"/>
    <n v="2"/>
    <x v="0"/>
    <n v="17"/>
    <n v="3"/>
    <n v="1"/>
    <n v="0"/>
    <n v="14"/>
    <n v="6"/>
    <n v="3"/>
    <n v="0"/>
    <n v="0"/>
    <n v="0"/>
    <n v="0"/>
    <x v="1"/>
    <n v="0"/>
    <s v="&lt;30"/>
    <x v="2"/>
    <n v="2"/>
    <s v="Medium"/>
  </r>
  <r>
    <n v="32"/>
    <s v="No"/>
    <s v="Travel_Rarely"/>
    <n v="495"/>
    <x v="1"/>
    <n v="10"/>
    <n v="3"/>
    <s v="Medical"/>
    <n v="1516"/>
    <n v="3"/>
    <x v="1"/>
    <n v="64"/>
    <n v="3"/>
    <n v="3"/>
    <x v="5"/>
    <x v="0"/>
    <s v="Single"/>
    <n v="11244"/>
    <n v="21072"/>
    <n v="2"/>
    <x v="1"/>
    <n v="25"/>
    <n v="4"/>
    <n v="2"/>
    <n v="0"/>
    <n v="10"/>
    <n v="5"/>
    <n v="4"/>
    <n v="5"/>
    <n v="2"/>
    <n v="0"/>
    <n v="0"/>
    <x v="3"/>
    <n v="0"/>
    <s v="30–39"/>
    <x v="0"/>
    <n v="0"/>
    <s v="Low"/>
  </r>
  <r>
    <n v="54"/>
    <s v="No"/>
    <s v="Travel_Frequently"/>
    <n v="1050"/>
    <x v="1"/>
    <n v="11"/>
    <n v="4"/>
    <s v="Medical"/>
    <n v="1520"/>
    <n v="2"/>
    <x v="0"/>
    <n v="87"/>
    <n v="3"/>
    <n v="4"/>
    <x v="5"/>
    <x v="0"/>
    <s v="Divorced"/>
    <n v="16032"/>
    <n v="24456"/>
    <n v="3"/>
    <x v="1"/>
    <n v="20"/>
    <n v="4"/>
    <n v="1"/>
    <n v="1"/>
    <n v="26"/>
    <n v="2"/>
    <n v="3"/>
    <n v="14"/>
    <n v="9"/>
    <n v="1"/>
    <n v="12"/>
    <x v="0"/>
    <n v="0"/>
    <s v="30–39"/>
    <x v="0"/>
    <n v="0"/>
    <s v="Low"/>
  </r>
  <r>
    <n v="29"/>
    <s v="Yes"/>
    <s v="Travel_Rarely"/>
    <n v="224"/>
    <x v="1"/>
    <n v="1"/>
    <n v="4"/>
    <s v="Technical Degree"/>
    <n v="1522"/>
    <n v="1"/>
    <x v="1"/>
    <n v="100"/>
    <n v="2"/>
    <n v="1"/>
    <x v="1"/>
    <x v="3"/>
    <s v="Single"/>
    <n v="2362"/>
    <n v="7568"/>
    <n v="6"/>
    <x v="1"/>
    <n v="13"/>
    <n v="3"/>
    <n v="3"/>
    <n v="0"/>
    <n v="11"/>
    <n v="2"/>
    <n v="1"/>
    <n v="9"/>
    <n v="7"/>
    <n v="0"/>
    <n v="7"/>
    <x v="0"/>
    <n v="1"/>
    <s v="50+"/>
    <x v="1"/>
    <n v="1"/>
    <s v="Low"/>
  </r>
  <r>
    <n v="44"/>
    <s v="No"/>
    <s v="Travel_Rarely"/>
    <n v="136"/>
    <x v="1"/>
    <n v="28"/>
    <n v="3"/>
    <s v="Life Sciences"/>
    <n v="1523"/>
    <n v="4"/>
    <x v="1"/>
    <n v="32"/>
    <n v="3"/>
    <n v="4"/>
    <x v="7"/>
    <x v="3"/>
    <s v="Married"/>
    <n v="16328"/>
    <n v="22074"/>
    <n v="3"/>
    <x v="1"/>
    <n v="13"/>
    <n v="3"/>
    <n v="3"/>
    <n v="1"/>
    <n v="24"/>
    <n v="1"/>
    <n v="4"/>
    <n v="20"/>
    <n v="6"/>
    <n v="14"/>
    <n v="17"/>
    <x v="0"/>
    <n v="0"/>
    <s v="&lt;30"/>
    <x v="1"/>
    <n v="1"/>
    <s v="Low"/>
  </r>
  <r>
    <n v="39"/>
    <s v="No"/>
    <s v="Travel_Rarely"/>
    <n v="1089"/>
    <x v="1"/>
    <n v="6"/>
    <n v="3"/>
    <s v="Life Sciences"/>
    <n v="1525"/>
    <n v="2"/>
    <x v="0"/>
    <n v="32"/>
    <n v="3"/>
    <n v="3"/>
    <x v="3"/>
    <x v="1"/>
    <s v="Single"/>
    <n v="8376"/>
    <n v="9150"/>
    <n v="4"/>
    <x v="1"/>
    <n v="18"/>
    <n v="3"/>
    <n v="4"/>
    <n v="0"/>
    <n v="9"/>
    <n v="3"/>
    <n v="3"/>
    <n v="2"/>
    <n v="0"/>
    <n v="2"/>
    <n v="2"/>
    <x v="2"/>
    <n v="0"/>
    <s v="40–49"/>
    <x v="1"/>
    <n v="2"/>
    <s v="Medium"/>
  </r>
  <r>
    <n v="46"/>
    <s v="No"/>
    <s v="Travel_Rarely"/>
    <n v="228"/>
    <x v="0"/>
    <n v="3"/>
    <n v="3"/>
    <s v="Life Sciences"/>
    <n v="1527"/>
    <n v="3"/>
    <x v="0"/>
    <n v="51"/>
    <n v="3"/>
    <n v="4"/>
    <x v="5"/>
    <x v="1"/>
    <s v="Married"/>
    <n v="16606"/>
    <n v="11380"/>
    <n v="8"/>
    <x v="1"/>
    <n v="12"/>
    <n v="3"/>
    <n v="4"/>
    <n v="1"/>
    <n v="23"/>
    <n v="2"/>
    <n v="4"/>
    <n v="13"/>
    <n v="12"/>
    <n v="5"/>
    <n v="1"/>
    <x v="0"/>
    <n v="0"/>
    <s v="30–39"/>
    <x v="1"/>
    <n v="1"/>
    <s v="Low"/>
  </r>
  <r>
    <n v="35"/>
    <s v="No"/>
    <s v="Travel_Rarely"/>
    <n v="1029"/>
    <x v="1"/>
    <n v="16"/>
    <n v="3"/>
    <s v="Life Sciences"/>
    <n v="1529"/>
    <n v="4"/>
    <x v="0"/>
    <n v="91"/>
    <n v="2"/>
    <n v="3"/>
    <x v="4"/>
    <x v="1"/>
    <s v="Single"/>
    <n v="8606"/>
    <n v="21195"/>
    <n v="1"/>
    <x v="1"/>
    <n v="19"/>
    <n v="3"/>
    <n v="4"/>
    <n v="0"/>
    <n v="11"/>
    <n v="3"/>
    <n v="1"/>
    <n v="11"/>
    <n v="8"/>
    <n v="3"/>
    <n v="3"/>
    <x v="0"/>
    <n v="0"/>
    <s v="40–49"/>
    <x v="1"/>
    <n v="1"/>
    <s v="Low"/>
  </r>
  <r>
    <n v="23"/>
    <s v="No"/>
    <s v="Travel_Rarely"/>
    <n v="507"/>
    <x v="1"/>
    <n v="20"/>
    <n v="1"/>
    <s v="Life Sciences"/>
    <n v="1533"/>
    <n v="1"/>
    <x v="1"/>
    <n v="97"/>
    <n v="3"/>
    <n v="2"/>
    <x v="2"/>
    <x v="2"/>
    <s v="Single"/>
    <n v="2272"/>
    <n v="24812"/>
    <n v="0"/>
    <x v="1"/>
    <n v="14"/>
    <n v="3"/>
    <n v="2"/>
    <n v="0"/>
    <n v="5"/>
    <n v="2"/>
    <n v="3"/>
    <n v="4"/>
    <n v="3"/>
    <n v="1"/>
    <n v="2"/>
    <x v="3"/>
    <n v="0"/>
    <s v="30–39"/>
    <x v="2"/>
    <n v="0"/>
    <s v="Low"/>
  </r>
  <r>
    <n v="40"/>
    <s v="Yes"/>
    <s v="Travel_Rarely"/>
    <n v="676"/>
    <x v="1"/>
    <n v="9"/>
    <n v="4"/>
    <s v="Life Sciences"/>
    <n v="1534"/>
    <n v="4"/>
    <x v="1"/>
    <n v="86"/>
    <n v="3"/>
    <n v="1"/>
    <x v="2"/>
    <x v="3"/>
    <s v="Single"/>
    <n v="2018"/>
    <n v="21831"/>
    <n v="3"/>
    <x v="1"/>
    <n v="14"/>
    <n v="3"/>
    <n v="2"/>
    <n v="0"/>
    <n v="15"/>
    <n v="3"/>
    <n v="1"/>
    <n v="5"/>
    <n v="4"/>
    <n v="1"/>
    <n v="0"/>
    <x v="3"/>
    <n v="1"/>
    <s v="&lt;30"/>
    <x v="1"/>
    <n v="1"/>
    <s v="Low"/>
  </r>
  <r>
    <n v="34"/>
    <s v="No"/>
    <s v="Travel_Rarely"/>
    <n v="971"/>
    <x v="0"/>
    <n v="1"/>
    <n v="3"/>
    <s v="Technical Degree"/>
    <n v="1535"/>
    <n v="4"/>
    <x v="1"/>
    <n v="64"/>
    <n v="2"/>
    <n v="3"/>
    <x v="0"/>
    <x v="2"/>
    <s v="Married"/>
    <n v="7083"/>
    <n v="12288"/>
    <n v="1"/>
    <x v="0"/>
    <n v="14"/>
    <n v="3"/>
    <n v="4"/>
    <n v="0"/>
    <n v="10"/>
    <n v="3"/>
    <n v="3"/>
    <n v="10"/>
    <n v="9"/>
    <n v="8"/>
    <n v="6"/>
    <x v="0"/>
    <n v="0"/>
    <s v="40–49"/>
    <x v="2"/>
    <n v="1"/>
    <s v="Low"/>
  </r>
  <r>
    <n v="31"/>
    <s v="Yes"/>
    <s v="Travel_Frequently"/>
    <n v="561"/>
    <x v="1"/>
    <n v="3"/>
    <n v="3"/>
    <s v="Life Sciences"/>
    <n v="1537"/>
    <n v="4"/>
    <x v="0"/>
    <n v="33"/>
    <n v="3"/>
    <n v="1"/>
    <x v="1"/>
    <x v="2"/>
    <s v="Single"/>
    <n v="4084"/>
    <n v="4156"/>
    <n v="1"/>
    <x v="1"/>
    <n v="12"/>
    <n v="3"/>
    <n v="1"/>
    <n v="0"/>
    <n v="7"/>
    <n v="2"/>
    <n v="1"/>
    <n v="7"/>
    <n v="2"/>
    <n v="7"/>
    <n v="7"/>
    <x v="0"/>
    <n v="1"/>
    <s v="30–39"/>
    <x v="2"/>
    <n v="0"/>
    <s v="Low"/>
  </r>
  <r>
    <n v="50"/>
    <s v="No"/>
    <s v="Travel_Frequently"/>
    <n v="333"/>
    <x v="1"/>
    <n v="22"/>
    <n v="5"/>
    <s v="Medical"/>
    <n v="1539"/>
    <n v="3"/>
    <x v="1"/>
    <n v="88"/>
    <n v="1"/>
    <n v="4"/>
    <x v="7"/>
    <x v="0"/>
    <s v="Single"/>
    <n v="14411"/>
    <n v="24450"/>
    <n v="1"/>
    <x v="0"/>
    <n v="13"/>
    <n v="3"/>
    <n v="4"/>
    <n v="0"/>
    <n v="32"/>
    <n v="2"/>
    <n v="3"/>
    <n v="32"/>
    <n v="6"/>
    <n v="13"/>
    <n v="9"/>
    <x v="0"/>
    <n v="0"/>
    <s v="30–39"/>
    <x v="0"/>
    <n v="1"/>
    <s v="Low"/>
  </r>
  <r>
    <n v="34"/>
    <s v="No"/>
    <s v="Travel_Rarely"/>
    <n v="1440"/>
    <x v="0"/>
    <n v="7"/>
    <n v="2"/>
    <s v="Technical Degree"/>
    <n v="1541"/>
    <n v="2"/>
    <x v="1"/>
    <n v="55"/>
    <n v="3"/>
    <n v="1"/>
    <x v="6"/>
    <x v="2"/>
    <s v="Married"/>
    <n v="2308"/>
    <n v="4944"/>
    <n v="0"/>
    <x v="0"/>
    <n v="25"/>
    <n v="4"/>
    <n v="2"/>
    <n v="1"/>
    <n v="12"/>
    <n v="4"/>
    <n v="3"/>
    <n v="11"/>
    <n v="10"/>
    <n v="5"/>
    <n v="7"/>
    <x v="0"/>
    <n v="0"/>
    <s v="50+"/>
    <x v="2"/>
    <n v="1"/>
    <s v="Low"/>
  </r>
  <r>
    <n v="42"/>
    <s v="No"/>
    <s v="Travel_Rarely"/>
    <n v="1210"/>
    <x v="1"/>
    <n v="2"/>
    <n v="3"/>
    <s v="Medical"/>
    <n v="1542"/>
    <n v="3"/>
    <x v="1"/>
    <n v="68"/>
    <n v="2"/>
    <n v="1"/>
    <x v="2"/>
    <x v="1"/>
    <s v="Married"/>
    <n v="4841"/>
    <n v="24052"/>
    <n v="4"/>
    <x v="1"/>
    <n v="14"/>
    <n v="3"/>
    <n v="2"/>
    <n v="1"/>
    <n v="4"/>
    <n v="3"/>
    <n v="3"/>
    <n v="1"/>
    <n v="0"/>
    <n v="0"/>
    <n v="0"/>
    <x v="2"/>
    <n v="0"/>
    <s v="30–39"/>
    <x v="1"/>
    <n v="2"/>
    <s v="Medium"/>
  </r>
  <r>
    <n v="37"/>
    <s v="No"/>
    <s v="Travel_Rarely"/>
    <n v="674"/>
    <x v="1"/>
    <n v="13"/>
    <n v="3"/>
    <s v="Medical"/>
    <n v="1543"/>
    <n v="1"/>
    <x v="1"/>
    <n v="47"/>
    <n v="3"/>
    <n v="2"/>
    <x v="1"/>
    <x v="0"/>
    <s v="Married"/>
    <n v="4285"/>
    <n v="3031"/>
    <n v="1"/>
    <x v="1"/>
    <n v="17"/>
    <n v="3"/>
    <n v="1"/>
    <n v="0"/>
    <n v="10"/>
    <n v="2"/>
    <n v="3"/>
    <n v="10"/>
    <n v="8"/>
    <n v="3"/>
    <n v="7"/>
    <x v="0"/>
    <n v="0"/>
    <s v="40–49"/>
    <x v="0"/>
    <n v="0"/>
    <s v="Low"/>
  </r>
  <r>
    <n v="29"/>
    <s v="No"/>
    <s v="Travel_Rarely"/>
    <n v="441"/>
    <x v="1"/>
    <n v="8"/>
    <n v="1"/>
    <s v="Other"/>
    <n v="1544"/>
    <n v="3"/>
    <x v="0"/>
    <n v="39"/>
    <n v="1"/>
    <n v="2"/>
    <x v="4"/>
    <x v="3"/>
    <s v="Married"/>
    <n v="9715"/>
    <n v="7288"/>
    <n v="3"/>
    <x v="1"/>
    <n v="13"/>
    <n v="3"/>
    <n v="3"/>
    <n v="1"/>
    <n v="9"/>
    <n v="3"/>
    <n v="3"/>
    <n v="7"/>
    <n v="7"/>
    <n v="0"/>
    <n v="7"/>
    <x v="0"/>
    <n v="0"/>
    <s v="30–39"/>
    <x v="1"/>
    <n v="1"/>
    <s v="Low"/>
  </r>
  <r>
    <n v="33"/>
    <s v="No"/>
    <s v="Travel_Rarely"/>
    <n v="575"/>
    <x v="1"/>
    <n v="25"/>
    <n v="3"/>
    <s v="Life Sciences"/>
    <n v="1545"/>
    <n v="4"/>
    <x v="1"/>
    <n v="44"/>
    <n v="2"/>
    <n v="2"/>
    <x v="3"/>
    <x v="1"/>
    <s v="Single"/>
    <n v="4320"/>
    <n v="24152"/>
    <n v="1"/>
    <x v="1"/>
    <n v="13"/>
    <n v="3"/>
    <n v="4"/>
    <n v="0"/>
    <n v="5"/>
    <n v="2"/>
    <n v="3"/>
    <n v="5"/>
    <n v="3"/>
    <n v="0"/>
    <n v="2"/>
    <x v="3"/>
    <n v="0"/>
    <s v="&lt;30"/>
    <x v="1"/>
    <n v="1"/>
    <s v="Low"/>
  </r>
  <r>
    <n v="45"/>
    <s v="No"/>
    <s v="Travel_Rarely"/>
    <n v="950"/>
    <x v="1"/>
    <n v="28"/>
    <n v="3"/>
    <s v="Technical Degree"/>
    <n v="1546"/>
    <n v="4"/>
    <x v="1"/>
    <n v="97"/>
    <n v="3"/>
    <n v="1"/>
    <x v="1"/>
    <x v="0"/>
    <s v="Married"/>
    <n v="2132"/>
    <n v="4585"/>
    <n v="4"/>
    <x v="1"/>
    <n v="20"/>
    <n v="4"/>
    <n v="4"/>
    <n v="1"/>
    <n v="8"/>
    <n v="3"/>
    <n v="3"/>
    <n v="5"/>
    <n v="4"/>
    <n v="0"/>
    <n v="3"/>
    <x v="3"/>
    <n v="0"/>
    <s v="30–39"/>
    <x v="0"/>
    <n v="0"/>
    <s v="Low"/>
  </r>
  <r>
    <n v="42"/>
    <s v="No"/>
    <s v="Travel_Frequently"/>
    <n v="288"/>
    <x v="1"/>
    <n v="2"/>
    <n v="3"/>
    <s v="Life Sciences"/>
    <n v="1547"/>
    <n v="4"/>
    <x v="1"/>
    <n v="40"/>
    <n v="3"/>
    <n v="3"/>
    <x v="4"/>
    <x v="0"/>
    <s v="Married"/>
    <n v="10124"/>
    <n v="18611"/>
    <n v="2"/>
    <x v="0"/>
    <n v="14"/>
    <n v="3"/>
    <n v="3"/>
    <n v="1"/>
    <n v="24"/>
    <n v="3"/>
    <n v="1"/>
    <n v="20"/>
    <n v="8"/>
    <n v="13"/>
    <n v="9"/>
    <x v="0"/>
    <n v="0"/>
    <s v="40–49"/>
    <x v="0"/>
    <n v="1"/>
    <s v="Low"/>
  </r>
  <r>
    <n v="40"/>
    <s v="No"/>
    <s v="Travel_Rarely"/>
    <n v="1342"/>
    <x v="0"/>
    <n v="9"/>
    <n v="2"/>
    <s v="Medical"/>
    <n v="1548"/>
    <n v="1"/>
    <x v="1"/>
    <n v="47"/>
    <n v="3"/>
    <n v="2"/>
    <x v="0"/>
    <x v="3"/>
    <s v="Married"/>
    <n v="5473"/>
    <n v="19345"/>
    <n v="0"/>
    <x v="1"/>
    <n v="12"/>
    <n v="3"/>
    <n v="4"/>
    <n v="0"/>
    <n v="9"/>
    <n v="5"/>
    <n v="4"/>
    <n v="8"/>
    <n v="4"/>
    <n v="7"/>
    <n v="1"/>
    <x v="0"/>
    <n v="0"/>
    <s v="40–49"/>
    <x v="1"/>
    <n v="1"/>
    <s v="Low"/>
  </r>
  <r>
    <n v="33"/>
    <s v="No"/>
    <s v="Travel_Rarely"/>
    <n v="589"/>
    <x v="1"/>
    <n v="28"/>
    <n v="4"/>
    <s v="Life Sciences"/>
    <n v="1549"/>
    <n v="2"/>
    <x v="1"/>
    <n v="79"/>
    <n v="3"/>
    <n v="2"/>
    <x v="2"/>
    <x v="2"/>
    <s v="Married"/>
    <n v="5207"/>
    <n v="22949"/>
    <n v="1"/>
    <x v="0"/>
    <n v="12"/>
    <n v="3"/>
    <n v="2"/>
    <n v="1"/>
    <n v="15"/>
    <n v="3"/>
    <n v="3"/>
    <n v="15"/>
    <n v="14"/>
    <n v="5"/>
    <n v="7"/>
    <x v="0"/>
    <n v="0"/>
    <s v="40–49"/>
    <x v="2"/>
    <n v="1"/>
    <s v="Low"/>
  </r>
  <r>
    <n v="40"/>
    <s v="No"/>
    <s v="Travel_Rarely"/>
    <n v="898"/>
    <x v="2"/>
    <n v="6"/>
    <n v="2"/>
    <s v="Medical"/>
    <n v="1550"/>
    <n v="3"/>
    <x v="1"/>
    <n v="38"/>
    <n v="3"/>
    <n v="4"/>
    <x v="5"/>
    <x v="0"/>
    <s v="Single"/>
    <n v="16437"/>
    <n v="17381"/>
    <n v="1"/>
    <x v="0"/>
    <n v="21"/>
    <n v="4"/>
    <n v="4"/>
    <n v="0"/>
    <n v="21"/>
    <n v="2"/>
    <n v="3"/>
    <n v="21"/>
    <n v="7"/>
    <n v="7"/>
    <n v="7"/>
    <x v="0"/>
    <n v="0"/>
    <s v="30–39"/>
    <x v="0"/>
    <n v="1"/>
    <s v="Low"/>
  </r>
  <r>
    <n v="24"/>
    <s v="No"/>
    <s v="Travel_Rarely"/>
    <n v="350"/>
    <x v="1"/>
    <n v="21"/>
    <n v="2"/>
    <s v="Technical Degree"/>
    <n v="1551"/>
    <n v="3"/>
    <x v="1"/>
    <n v="57"/>
    <n v="2"/>
    <n v="1"/>
    <x v="2"/>
    <x v="3"/>
    <s v="Divorced"/>
    <n v="2296"/>
    <n v="10036"/>
    <n v="0"/>
    <x v="1"/>
    <n v="14"/>
    <n v="3"/>
    <n v="2"/>
    <n v="3"/>
    <n v="2"/>
    <n v="3"/>
    <n v="3"/>
    <n v="1"/>
    <n v="1"/>
    <n v="0"/>
    <n v="0"/>
    <x v="2"/>
    <n v="0"/>
    <s v="40–49"/>
    <x v="1"/>
    <n v="2"/>
    <s v="Medium"/>
  </r>
  <r>
    <n v="40"/>
    <s v="No"/>
    <s v="Non-Travel"/>
    <n v="1142"/>
    <x v="1"/>
    <n v="8"/>
    <n v="2"/>
    <s v="Life Sciences"/>
    <n v="1552"/>
    <n v="4"/>
    <x v="1"/>
    <n v="72"/>
    <n v="3"/>
    <n v="2"/>
    <x v="4"/>
    <x v="0"/>
    <s v="Divorced"/>
    <n v="4069"/>
    <n v="8841"/>
    <n v="3"/>
    <x v="0"/>
    <n v="18"/>
    <n v="3"/>
    <n v="3"/>
    <n v="0"/>
    <n v="8"/>
    <n v="2"/>
    <n v="3"/>
    <n v="2"/>
    <n v="2"/>
    <n v="2"/>
    <n v="2"/>
    <x v="2"/>
    <n v="0"/>
    <s v="&lt;30"/>
    <x v="0"/>
    <n v="2"/>
    <s v="Medium"/>
  </r>
  <r>
    <n v="45"/>
    <s v="No"/>
    <s v="Travel_Rarely"/>
    <n v="538"/>
    <x v="1"/>
    <n v="1"/>
    <n v="4"/>
    <s v="Technical Degree"/>
    <n v="1553"/>
    <n v="1"/>
    <x v="1"/>
    <n v="66"/>
    <n v="3"/>
    <n v="3"/>
    <x v="4"/>
    <x v="1"/>
    <s v="Divorced"/>
    <n v="7441"/>
    <n v="20933"/>
    <n v="1"/>
    <x v="1"/>
    <n v="12"/>
    <n v="3"/>
    <n v="1"/>
    <n v="3"/>
    <n v="10"/>
    <n v="4"/>
    <n v="3"/>
    <n v="10"/>
    <n v="8"/>
    <n v="7"/>
    <n v="7"/>
    <x v="0"/>
    <n v="0"/>
    <s v="40–49"/>
    <x v="1"/>
    <n v="1"/>
    <s v="Low"/>
  </r>
  <r>
    <n v="35"/>
    <s v="No"/>
    <s v="Travel_Rarely"/>
    <n v="1402"/>
    <x v="0"/>
    <n v="28"/>
    <n v="4"/>
    <s v="Life Sciences"/>
    <n v="1554"/>
    <n v="2"/>
    <x v="0"/>
    <n v="98"/>
    <n v="2"/>
    <n v="1"/>
    <x v="6"/>
    <x v="2"/>
    <s v="Married"/>
    <n v="2430"/>
    <n v="26204"/>
    <n v="0"/>
    <x v="1"/>
    <n v="23"/>
    <n v="4"/>
    <n v="1"/>
    <n v="2"/>
    <n v="6"/>
    <n v="5"/>
    <n v="3"/>
    <n v="5"/>
    <n v="3"/>
    <n v="4"/>
    <n v="2"/>
    <x v="3"/>
    <n v="0"/>
    <s v="40–49"/>
    <x v="2"/>
    <n v="0"/>
    <s v="Low"/>
  </r>
  <r>
    <n v="32"/>
    <s v="No"/>
    <s v="Travel_Rarely"/>
    <n v="824"/>
    <x v="1"/>
    <n v="5"/>
    <n v="2"/>
    <s v="Life Sciences"/>
    <n v="1555"/>
    <n v="4"/>
    <x v="0"/>
    <n v="67"/>
    <n v="2"/>
    <n v="2"/>
    <x v="1"/>
    <x v="1"/>
    <s v="Married"/>
    <n v="5878"/>
    <n v="15624"/>
    <n v="3"/>
    <x v="1"/>
    <n v="12"/>
    <n v="3"/>
    <n v="1"/>
    <n v="1"/>
    <n v="12"/>
    <n v="2"/>
    <n v="3"/>
    <n v="7"/>
    <n v="1"/>
    <n v="2"/>
    <n v="5"/>
    <x v="0"/>
    <n v="0"/>
    <s v="30–39"/>
    <x v="1"/>
    <n v="1"/>
    <s v="Low"/>
  </r>
  <r>
    <n v="36"/>
    <s v="No"/>
    <s v="Travel_Rarely"/>
    <n v="1157"/>
    <x v="0"/>
    <n v="2"/>
    <n v="4"/>
    <s v="Life Sciences"/>
    <n v="1556"/>
    <n v="3"/>
    <x v="1"/>
    <n v="70"/>
    <n v="3"/>
    <n v="1"/>
    <x v="6"/>
    <x v="0"/>
    <s v="Single"/>
    <n v="2644"/>
    <n v="17001"/>
    <n v="3"/>
    <x v="0"/>
    <n v="21"/>
    <n v="4"/>
    <n v="4"/>
    <n v="0"/>
    <n v="7"/>
    <n v="3"/>
    <n v="2"/>
    <n v="3"/>
    <n v="2"/>
    <n v="1"/>
    <n v="2"/>
    <x v="2"/>
    <n v="0"/>
    <s v="30–39"/>
    <x v="0"/>
    <n v="2"/>
    <s v="Medium"/>
  </r>
  <r>
    <n v="48"/>
    <s v="No"/>
    <s v="Travel_Rarely"/>
    <n v="492"/>
    <x v="0"/>
    <n v="16"/>
    <n v="4"/>
    <s v="Life Sciences"/>
    <n v="1557"/>
    <n v="3"/>
    <x v="0"/>
    <n v="96"/>
    <n v="3"/>
    <n v="2"/>
    <x v="0"/>
    <x v="2"/>
    <s v="Divorced"/>
    <n v="6439"/>
    <n v="13693"/>
    <n v="8"/>
    <x v="1"/>
    <n v="14"/>
    <n v="3"/>
    <n v="3"/>
    <n v="1"/>
    <n v="18"/>
    <n v="2"/>
    <n v="3"/>
    <n v="8"/>
    <n v="7"/>
    <n v="7"/>
    <n v="7"/>
    <x v="0"/>
    <n v="0"/>
    <s v="30–39"/>
    <x v="2"/>
    <n v="0"/>
    <s v="Low"/>
  </r>
  <r>
    <n v="29"/>
    <s v="No"/>
    <s v="Travel_Rarely"/>
    <n v="598"/>
    <x v="1"/>
    <n v="9"/>
    <n v="3"/>
    <s v="Life Sciences"/>
    <n v="1558"/>
    <n v="3"/>
    <x v="1"/>
    <n v="91"/>
    <n v="4"/>
    <n v="1"/>
    <x v="1"/>
    <x v="2"/>
    <s v="Married"/>
    <n v="2451"/>
    <n v="22376"/>
    <n v="6"/>
    <x v="1"/>
    <n v="18"/>
    <n v="3"/>
    <n v="1"/>
    <n v="2"/>
    <n v="5"/>
    <n v="2"/>
    <n v="2"/>
    <n v="1"/>
    <n v="0"/>
    <n v="0"/>
    <n v="0"/>
    <x v="2"/>
    <n v="0"/>
    <s v="40–49"/>
    <x v="2"/>
    <n v="1"/>
    <s v="Low"/>
  </r>
  <r>
    <n v="33"/>
    <s v="No"/>
    <s v="Travel_Rarely"/>
    <n v="1242"/>
    <x v="0"/>
    <n v="8"/>
    <n v="4"/>
    <s v="Life Sciences"/>
    <n v="1560"/>
    <n v="1"/>
    <x v="1"/>
    <n v="46"/>
    <n v="3"/>
    <n v="2"/>
    <x v="0"/>
    <x v="3"/>
    <s v="Married"/>
    <n v="6392"/>
    <n v="10589"/>
    <n v="2"/>
    <x v="1"/>
    <n v="13"/>
    <n v="3"/>
    <n v="4"/>
    <n v="1"/>
    <n v="8"/>
    <n v="6"/>
    <n v="1"/>
    <n v="2"/>
    <n v="2"/>
    <n v="2"/>
    <n v="2"/>
    <x v="2"/>
    <n v="0"/>
    <s v="&lt;30"/>
    <x v="1"/>
    <n v="2"/>
    <s v="Medium"/>
  </r>
  <r>
    <n v="30"/>
    <s v="Yes"/>
    <s v="Travel_Rarely"/>
    <n v="740"/>
    <x v="0"/>
    <n v="1"/>
    <n v="3"/>
    <s v="Life Sciences"/>
    <n v="1562"/>
    <n v="2"/>
    <x v="1"/>
    <n v="64"/>
    <n v="2"/>
    <n v="2"/>
    <x v="0"/>
    <x v="3"/>
    <s v="Married"/>
    <n v="9714"/>
    <n v="5323"/>
    <n v="1"/>
    <x v="1"/>
    <n v="11"/>
    <n v="3"/>
    <n v="4"/>
    <n v="1"/>
    <n v="10"/>
    <n v="4"/>
    <n v="3"/>
    <n v="10"/>
    <n v="8"/>
    <n v="6"/>
    <n v="7"/>
    <x v="0"/>
    <n v="1"/>
    <s v="30–39"/>
    <x v="1"/>
    <n v="1"/>
    <s v="Low"/>
  </r>
  <r>
    <n v="38"/>
    <s v="No"/>
    <s v="Travel_Frequently"/>
    <n v="888"/>
    <x v="2"/>
    <n v="10"/>
    <n v="4"/>
    <s v="Human Resources"/>
    <n v="1563"/>
    <n v="3"/>
    <x v="1"/>
    <n v="71"/>
    <n v="3"/>
    <n v="2"/>
    <x v="8"/>
    <x v="2"/>
    <s v="Married"/>
    <n v="6077"/>
    <n v="14814"/>
    <n v="3"/>
    <x v="1"/>
    <n v="11"/>
    <n v="3"/>
    <n v="3"/>
    <n v="0"/>
    <n v="10"/>
    <n v="2"/>
    <n v="3"/>
    <n v="6"/>
    <n v="3"/>
    <n v="1"/>
    <n v="2"/>
    <x v="0"/>
    <n v="0"/>
    <s v="30–39"/>
    <x v="2"/>
    <n v="0"/>
    <s v="Low"/>
  </r>
  <r>
    <n v="35"/>
    <s v="No"/>
    <s v="Travel_Rarely"/>
    <n v="992"/>
    <x v="1"/>
    <n v="1"/>
    <n v="3"/>
    <s v="Medical"/>
    <n v="1564"/>
    <n v="4"/>
    <x v="1"/>
    <n v="68"/>
    <n v="2"/>
    <n v="1"/>
    <x v="2"/>
    <x v="3"/>
    <s v="Single"/>
    <n v="2450"/>
    <n v="21731"/>
    <n v="1"/>
    <x v="1"/>
    <n v="19"/>
    <n v="3"/>
    <n v="2"/>
    <n v="0"/>
    <n v="3"/>
    <n v="3"/>
    <n v="3"/>
    <n v="3"/>
    <n v="0"/>
    <n v="1"/>
    <n v="2"/>
    <x v="2"/>
    <n v="0"/>
    <s v="30–39"/>
    <x v="1"/>
    <n v="2"/>
    <s v="Medium"/>
  </r>
  <r>
    <n v="30"/>
    <s v="No"/>
    <s v="Travel_Rarely"/>
    <n v="1288"/>
    <x v="0"/>
    <n v="29"/>
    <n v="4"/>
    <s v="Technical Degree"/>
    <n v="1568"/>
    <n v="3"/>
    <x v="1"/>
    <n v="33"/>
    <n v="3"/>
    <n v="3"/>
    <x v="0"/>
    <x v="1"/>
    <s v="Married"/>
    <n v="9250"/>
    <n v="17799"/>
    <n v="3"/>
    <x v="1"/>
    <n v="12"/>
    <n v="3"/>
    <n v="2"/>
    <n v="1"/>
    <n v="9"/>
    <n v="3"/>
    <n v="3"/>
    <n v="4"/>
    <n v="2"/>
    <n v="1"/>
    <n v="3"/>
    <x v="3"/>
    <n v="0"/>
    <s v="30–39"/>
    <x v="1"/>
    <n v="1"/>
    <s v="Low"/>
  </r>
  <r>
    <n v="35"/>
    <s v="Yes"/>
    <s v="Travel_Rarely"/>
    <n v="104"/>
    <x v="1"/>
    <n v="2"/>
    <n v="3"/>
    <s v="Life Sciences"/>
    <n v="1569"/>
    <n v="1"/>
    <x v="0"/>
    <n v="69"/>
    <n v="3"/>
    <n v="1"/>
    <x v="2"/>
    <x v="3"/>
    <s v="Divorced"/>
    <n v="2074"/>
    <n v="26619"/>
    <n v="1"/>
    <x v="0"/>
    <n v="12"/>
    <n v="3"/>
    <n v="4"/>
    <n v="1"/>
    <n v="1"/>
    <n v="2"/>
    <n v="3"/>
    <n v="1"/>
    <n v="0"/>
    <n v="0"/>
    <n v="0"/>
    <x v="2"/>
    <n v="1"/>
    <s v="30–39"/>
    <x v="1"/>
    <n v="3"/>
    <s v="High"/>
  </r>
  <r>
    <n v="53"/>
    <s v="Yes"/>
    <s v="Travel_Rarely"/>
    <n v="607"/>
    <x v="1"/>
    <n v="2"/>
    <n v="5"/>
    <s v="Technical Degree"/>
    <n v="1572"/>
    <n v="3"/>
    <x v="0"/>
    <n v="78"/>
    <n v="2"/>
    <n v="3"/>
    <x v="3"/>
    <x v="0"/>
    <s v="Married"/>
    <n v="10169"/>
    <n v="14618"/>
    <n v="0"/>
    <x v="1"/>
    <n v="16"/>
    <n v="3"/>
    <n v="2"/>
    <n v="1"/>
    <n v="34"/>
    <n v="4"/>
    <n v="3"/>
    <n v="33"/>
    <n v="7"/>
    <n v="1"/>
    <n v="9"/>
    <x v="0"/>
    <n v="1"/>
    <s v="30–39"/>
    <x v="0"/>
    <n v="0"/>
    <s v="Low"/>
  </r>
  <r>
    <n v="38"/>
    <s v="Yes"/>
    <s v="Travel_Rarely"/>
    <n v="903"/>
    <x v="1"/>
    <n v="2"/>
    <n v="3"/>
    <s v="Medical"/>
    <n v="1573"/>
    <n v="3"/>
    <x v="1"/>
    <n v="81"/>
    <n v="3"/>
    <n v="2"/>
    <x v="3"/>
    <x v="1"/>
    <s v="Married"/>
    <n v="4855"/>
    <n v="7653"/>
    <n v="4"/>
    <x v="1"/>
    <n v="11"/>
    <n v="3"/>
    <n v="1"/>
    <n v="2"/>
    <n v="7"/>
    <n v="2"/>
    <n v="3"/>
    <n v="5"/>
    <n v="2"/>
    <n v="1"/>
    <n v="4"/>
    <x v="3"/>
    <n v="1"/>
    <s v="50+"/>
    <x v="1"/>
    <n v="1"/>
    <s v="Low"/>
  </r>
  <r>
    <n v="32"/>
    <s v="No"/>
    <s v="Non-Travel"/>
    <n v="1200"/>
    <x v="1"/>
    <n v="1"/>
    <n v="4"/>
    <s v="Technical Degree"/>
    <n v="1574"/>
    <n v="4"/>
    <x v="1"/>
    <n v="62"/>
    <n v="3"/>
    <n v="2"/>
    <x v="1"/>
    <x v="3"/>
    <s v="Married"/>
    <n v="4087"/>
    <n v="25174"/>
    <n v="4"/>
    <x v="1"/>
    <n v="14"/>
    <n v="3"/>
    <n v="2"/>
    <n v="1"/>
    <n v="9"/>
    <n v="3"/>
    <n v="2"/>
    <n v="6"/>
    <n v="5"/>
    <n v="1"/>
    <n v="2"/>
    <x v="0"/>
    <n v="0"/>
    <s v="30–39"/>
    <x v="1"/>
    <n v="1"/>
    <s v="Low"/>
  </r>
  <r>
    <n v="48"/>
    <s v="No"/>
    <s v="Travel_Rarely"/>
    <n v="1108"/>
    <x v="1"/>
    <n v="15"/>
    <n v="4"/>
    <s v="Other"/>
    <n v="1576"/>
    <n v="3"/>
    <x v="0"/>
    <n v="65"/>
    <n v="3"/>
    <n v="1"/>
    <x v="1"/>
    <x v="3"/>
    <s v="Married"/>
    <n v="2367"/>
    <n v="16530"/>
    <n v="8"/>
    <x v="1"/>
    <n v="12"/>
    <n v="3"/>
    <n v="4"/>
    <n v="1"/>
    <n v="10"/>
    <n v="3"/>
    <n v="2"/>
    <n v="8"/>
    <n v="2"/>
    <n v="7"/>
    <n v="6"/>
    <x v="0"/>
    <n v="0"/>
    <s v="30–39"/>
    <x v="1"/>
    <n v="1"/>
    <s v="Low"/>
  </r>
  <r>
    <n v="34"/>
    <s v="No"/>
    <s v="Travel_Rarely"/>
    <n v="479"/>
    <x v="1"/>
    <n v="7"/>
    <n v="4"/>
    <s v="Medical"/>
    <n v="1577"/>
    <n v="1"/>
    <x v="1"/>
    <n v="35"/>
    <n v="3"/>
    <n v="1"/>
    <x v="1"/>
    <x v="0"/>
    <s v="Single"/>
    <n v="2972"/>
    <n v="22061"/>
    <n v="1"/>
    <x v="1"/>
    <n v="13"/>
    <n v="3"/>
    <n v="3"/>
    <n v="0"/>
    <n v="1"/>
    <n v="4"/>
    <n v="1"/>
    <n v="1"/>
    <n v="0"/>
    <n v="0"/>
    <n v="0"/>
    <x v="2"/>
    <n v="0"/>
    <s v="40–49"/>
    <x v="0"/>
    <n v="1"/>
    <s v="Low"/>
  </r>
  <r>
    <n v="55"/>
    <s v="No"/>
    <s v="Travel_Rarely"/>
    <n v="685"/>
    <x v="0"/>
    <n v="26"/>
    <n v="5"/>
    <s v="Marketing"/>
    <n v="1578"/>
    <n v="3"/>
    <x v="1"/>
    <n v="60"/>
    <n v="2"/>
    <n v="5"/>
    <x v="5"/>
    <x v="0"/>
    <s v="Married"/>
    <n v="19586"/>
    <n v="23037"/>
    <n v="1"/>
    <x v="1"/>
    <n v="21"/>
    <n v="4"/>
    <n v="3"/>
    <n v="1"/>
    <n v="36"/>
    <n v="3"/>
    <n v="3"/>
    <n v="36"/>
    <n v="6"/>
    <n v="2"/>
    <n v="13"/>
    <x v="0"/>
    <n v="0"/>
    <s v="30–39"/>
    <x v="0"/>
    <n v="0"/>
    <s v="Low"/>
  </r>
  <r>
    <n v="34"/>
    <s v="No"/>
    <s v="Travel_Rarely"/>
    <n v="1351"/>
    <x v="1"/>
    <n v="1"/>
    <n v="4"/>
    <s v="Life Sciences"/>
    <n v="1580"/>
    <n v="2"/>
    <x v="1"/>
    <n v="45"/>
    <n v="3"/>
    <n v="2"/>
    <x v="1"/>
    <x v="0"/>
    <s v="Married"/>
    <n v="5484"/>
    <n v="13008"/>
    <n v="9"/>
    <x v="1"/>
    <n v="17"/>
    <n v="3"/>
    <n v="2"/>
    <n v="1"/>
    <n v="9"/>
    <n v="3"/>
    <n v="2"/>
    <n v="2"/>
    <n v="2"/>
    <n v="2"/>
    <n v="1"/>
    <x v="2"/>
    <n v="0"/>
    <s v="50+"/>
    <x v="0"/>
    <n v="1"/>
    <s v="Low"/>
  </r>
  <r>
    <n v="26"/>
    <s v="No"/>
    <s v="Travel_Rarely"/>
    <n v="474"/>
    <x v="1"/>
    <n v="3"/>
    <n v="3"/>
    <s v="Life Sciences"/>
    <n v="1581"/>
    <n v="1"/>
    <x v="0"/>
    <n v="89"/>
    <n v="3"/>
    <n v="1"/>
    <x v="1"/>
    <x v="0"/>
    <s v="Married"/>
    <n v="2061"/>
    <n v="11133"/>
    <n v="1"/>
    <x v="1"/>
    <n v="21"/>
    <n v="4"/>
    <n v="1"/>
    <n v="0"/>
    <n v="1"/>
    <n v="5"/>
    <n v="3"/>
    <n v="1"/>
    <n v="0"/>
    <n v="0"/>
    <n v="0"/>
    <x v="2"/>
    <n v="0"/>
    <s v="30–39"/>
    <x v="0"/>
    <n v="1"/>
    <s v="Low"/>
  </r>
  <r>
    <n v="38"/>
    <s v="No"/>
    <s v="Travel_Rarely"/>
    <n v="1245"/>
    <x v="0"/>
    <n v="14"/>
    <n v="3"/>
    <s v="Life Sciences"/>
    <n v="1582"/>
    <n v="3"/>
    <x v="1"/>
    <n v="80"/>
    <n v="3"/>
    <n v="2"/>
    <x v="0"/>
    <x v="1"/>
    <s v="Married"/>
    <n v="9924"/>
    <n v="12355"/>
    <n v="0"/>
    <x v="1"/>
    <n v="11"/>
    <n v="3"/>
    <n v="4"/>
    <n v="1"/>
    <n v="10"/>
    <n v="3"/>
    <n v="3"/>
    <n v="9"/>
    <n v="8"/>
    <n v="7"/>
    <n v="7"/>
    <x v="0"/>
    <n v="0"/>
    <s v="&lt;30"/>
    <x v="1"/>
    <n v="1"/>
    <s v="Low"/>
  </r>
  <r>
    <n v="38"/>
    <s v="No"/>
    <s v="Travel_Rarely"/>
    <n v="437"/>
    <x v="0"/>
    <n v="16"/>
    <n v="3"/>
    <s v="Life Sciences"/>
    <n v="1583"/>
    <n v="2"/>
    <x v="0"/>
    <n v="90"/>
    <n v="3"/>
    <n v="2"/>
    <x v="0"/>
    <x v="1"/>
    <s v="Single"/>
    <n v="4198"/>
    <n v="16379"/>
    <n v="2"/>
    <x v="1"/>
    <n v="12"/>
    <n v="3"/>
    <n v="2"/>
    <n v="0"/>
    <n v="8"/>
    <n v="5"/>
    <n v="4"/>
    <n v="3"/>
    <n v="2"/>
    <n v="1"/>
    <n v="2"/>
    <x v="2"/>
    <n v="0"/>
    <s v="30–39"/>
    <x v="1"/>
    <n v="2"/>
    <s v="Medium"/>
  </r>
  <r>
    <n v="36"/>
    <s v="No"/>
    <s v="Travel_Rarely"/>
    <n v="884"/>
    <x v="0"/>
    <n v="1"/>
    <n v="4"/>
    <s v="Life Sciences"/>
    <n v="1585"/>
    <n v="2"/>
    <x v="0"/>
    <n v="73"/>
    <n v="3"/>
    <n v="2"/>
    <x v="0"/>
    <x v="2"/>
    <s v="Single"/>
    <n v="6815"/>
    <n v="21447"/>
    <n v="6"/>
    <x v="1"/>
    <n v="13"/>
    <n v="3"/>
    <n v="1"/>
    <n v="0"/>
    <n v="15"/>
    <n v="5"/>
    <n v="3"/>
    <n v="1"/>
    <n v="0"/>
    <n v="0"/>
    <n v="0"/>
    <x v="2"/>
    <n v="0"/>
    <s v="30–39"/>
    <x v="2"/>
    <n v="1"/>
    <s v="Low"/>
  </r>
  <r>
    <n v="29"/>
    <s v="No"/>
    <s v="Travel_Rarely"/>
    <n v="1370"/>
    <x v="1"/>
    <n v="3"/>
    <n v="1"/>
    <s v="Medical"/>
    <n v="1586"/>
    <n v="2"/>
    <x v="1"/>
    <n v="87"/>
    <n v="3"/>
    <n v="1"/>
    <x v="2"/>
    <x v="3"/>
    <s v="Single"/>
    <n v="4723"/>
    <n v="16213"/>
    <n v="1"/>
    <x v="0"/>
    <n v="18"/>
    <n v="3"/>
    <n v="4"/>
    <n v="0"/>
    <n v="10"/>
    <n v="3"/>
    <n v="3"/>
    <n v="10"/>
    <n v="9"/>
    <n v="1"/>
    <n v="5"/>
    <x v="0"/>
    <n v="0"/>
    <s v="30–39"/>
    <x v="1"/>
    <n v="2"/>
    <s v="Medium"/>
  </r>
  <r>
    <n v="35"/>
    <s v="No"/>
    <s v="Travel_Rarely"/>
    <n v="670"/>
    <x v="1"/>
    <n v="10"/>
    <n v="4"/>
    <s v="Medical"/>
    <n v="1587"/>
    <n v="1"/>
    <x v="0"/>
    <n v="51"/>
    <n v="3"/>
    <n v="2"/>
    <x v="4"/>
    <x v="2"/>
    <s v="Single"/>
    <n v="6142"/>
    <n v="4223"/>
    <n v="3"/>
    <x v="0"/>
    <n v="16"/>
    <n v="3"/>
    <n v="3"/>
    <n v="0"/>
    <n v="10"/>
    <n v="4"/>
    <n v="3"/>
    <n v="5"/>
    <n v="2"/>
    <n v="0"/>
    <n v="4"/>
    <x v="3"/>
    <n v="0"/>
    <s v="&lt;30"/>
    <x v="2"/>
    <n v="1"/>
    <s v="Low"/>
  </r>
  <r>
    <n v="39"/>
    <s v="No"/>
    <s v="Travel_Rarely"/>
    <n v="1462"/>
    <x v="0"/>
    <n v="6"/>
    <n v="3"/>
    <s v="Medical"/>
    <n v="1588"/>
    <n v="4"/>
    <x v="1"/>
    <n v="38"/>
    <n v="4"/>
    <n v="3"/>
    <x v="0"/>
    <x v="2"/>
    <s v="Married"/>
    <n v="8237"/>
    <n v="4658"/>
    <n v="2"/>
    <x v="1"/>
    <n v="11"/>
    <n v="3"/>
    <n v="1"/>
    <n v="1"/>
    <n v="11"/>
    <n v="3"/>
    <n v="3"/>
    <n v="7"/>
    <n v="6"/>
    <n v="7"/>
    <n v="6"/>
    <x v="0"/>
    <n v="0"/>
    <s v="30–39"/>
    <x v="2"/>
    <n v="0"/>
    <s v="Low"/>
  </r>
  <r>
    <n v="29"/>
    <s v="No"/>
    <s v="Travel_Frequently"/>
    <n v="995"/>
    <x v="1"/>
    <n v="2"/>
    <n v="1"/>
    <s v="Life Sciences"/>
    <n v="1590"/>
    <n v="1"/>
    <x v="1"/>
    <n v="87"/>
    <n v="3"/>
    <n v="2"/>
    <x v="4"/>
    <x v="0"/>
    <s v="Divorced"/>
    <n v="8853"/>
    <n v="24483"/>
    <n v="1"/>
    <x v="1"/>
    <n v="19"/>
    <n v="3"/>
    <n v="4"/>
    <n v="1"/>
    <n v="6"/>
    <n v="0"/>
    <n v="4"/>
    <n v="6"/>
    <n v="4"/>
    <n v="1"/>
    <n v="3"/>
    <x v="0"/>
    <n v="0"/>
    <s v="30–39"/>
    <x v="0"/>
    <n v="0"/>
    <s v="Low"/>
  </r>
  <r>
    <n v="50"/>
    <s v="No"/>
    <s v="Travel_Rarely"/>
    <n v="264"/>
    <x v="0"/>
    <n v="9"/>
    <n v="3"/>
    <s v="Marketing"/>
    <n v="1591"/>
    <n v="3"/>
    <x v="1"/>
    <n v="59"/>
    <n v="3"/>
    <n v="5"/>
    <x v="5"/>
    <x v="2"/>
    <s v="Married"/>
    <n v="19331"/>
    <n v="19519"/>
    <n v="4"/>
    <x v="0"/>
    <n v="16"/>
    <n v="3"/>
    <n v="3"/>
    <n v="1"/>
    <n v="27"/>
    <n v="2"/>
    <n v="3"/>
    <n v="1"/>
    <n v="0"/>
    <n v="0"/>
    <n v="0"/>
    <x v="2"/>
    <n v="0"/>
    <s v="&lt;30"/>
    <x v="2"/>
    <n v="2"/>
    <s v="Medium"/>
  </r>
  <r>
    <n v="23"/>
    <s v="No"/>
    <s v="Travel_Rarely"/>
    <n v="977"/>
    <x v="1"/>
    <n v="10"/>
    <n v="3"/>
    <s v="Technical Degree"/>
    <n v="1592"/>
    <n v="4"/>
    <x v="1"/>
    <n v="45"/>
    <n v="4"/>
    <n v="1"/>
    <x v="1"/>
    <x v="2"/>
    <s v="Married"/>
    <n v="2073"/>
    <n v="12826"/>
    <n v="2"/>
    <x v="1"/>
    <n v="16"/>
    <n v="3"/>
    <n v="4"/>
    <n v="1"/>
    <n v="4"/>
    <n v="2"/>
    <n v="3"/>
    <n v="2"/>
    <n v="2"/>
    <n v="2"/>
    <n v="2"/>
    <x v="2"/>
    <n v="0"/>
    <s v="50+"/>
    <x v="2"/>
    <n v="1"/>
    <s v="Low"/>
  </r>
  <r>
    <n v="36"/>
    <s v="No"/>
    <s v="Travel_Frequently"/>
    <n v="1302"/>
    <x v="1"/>
    <n v="6"/>
    <n v="4"/>
    <s v="Life Sciences"/>
    <n v="1594"/>
    <n v="1"/>
    <x v="1"/>
    <n v="80"/>
    <n v="4"/>
    <n v="2"/>
    <x v="2"/>
    <x v="3"/>
    <s v="Married"/>
    <n v="5562"/>
    <n v="19711"/>
    <n v="3"/>
    <x v="0"/>
    <n v="13"/>
    <n v="3"/>
    <n v="4"/>
    <n v="1"/>
    <n v="9"/>
    <n v="3"/>
    <n v="3"/>
    <n v="3"/>
    <n v="2"/>
    <n v="0"/>
    <n v="2"/>
    <x v="2"/>
    <n v="0"/>
    <s v="&lt;30"/>
    <x v="1"/>
    <n v="3"/>
    <s v="High"/>
  </r>
  <r>
    <n v="42"/>
    <s v="No"/>
    <s v="Travel_Rarely"/>
    <n v="1059"/>
    <x v="1"/>
    <n v="9"/>
    <n v="2"/>
    <s v="Other"/>
    <n v="1595"/>
    <n v="4"/>
    <x v="1"/>
    <n v="93"/>
    <n v="2"/>
    <n v="5"/>
    <x v="5"/>
    <x v="0"/>
    <s v="Single"/>
    <n v="19613"/>
    <n v="26362"/>
    <n v="8"/>
    <x v="1"/>
    <n v="22"/>
    <n v="4"/>
    <n v="4"/>
    <n v="0"/>
    <n v="24"/>
    <n v="2"/>
    <n v="3"/>
    <n v="1"/>
    <n v="0"/>
    <n v="0"/>
    <n v="1"/>
    <x v="2"/>
    <n v="0"/>
    <s v="30–39"/>
    <x v="0"/>
    <n v="1"/>
    <s v="Low"/>
  </r>
  <r>
    <n v="35"/>
    <s v="No"/>
    <s v="Travel_Rarely"/>
    <n v="750"/>
    <x v="1"/>
    <n v="28"/>
    <n v="3"/>
    <s v="Life Sciences"/>
    <n v="1596"/>
    <n v="2"/>
    <x v="1"/>
    <n v="46"/>
    <n v="4"/>
    <n v="2"/>
    <x v="2"/>
    <x v="2"/>
    <s v="Married"/>
    <n v="3407"/>
    <n v="25348"/>
    <n v="1"/>
    <x v="1"/>
    <n v="17"/>
    <n v="3"/>
    <n v="4"/>
    <n v="2"/>
    <n v="10"/>
    <n v="3"/>
    <n v="2"/>
    <n v="10"/>
    <n v="9"/>
    <n v="6"/>
    <n v="8"/>
    <x v="0"/>
    <n v="0"/>
    <s v="40–49"/>
    <x v="2"/>
    <n v="0"/>
    <s v="Low"/>
  </r>
  <r>
    <n v="34"/>
    <s v="No"/>
    <s v="Travel_Frequently"/>
    <n v="653"/>
    <x v="1"/>
    <n v="10"/>
    <n v="4"/>
    <s v="Technical Degree"/>
    <n v="1597"/>
    <n v="4"/>
    <x v="1"/>
    <n v="92"/>
    <n v="2"/>
    <n v="2"/>
    <x v="4"/>
    <x v="2"/>
    <s v="Married"/>
    <n v="5063"/>
    <n v="15332"/>
    <n v="1"/>
    <x v="1"/>
    <n v="14"/>
    <n v="3"/>
    <n v="2"/>
    <n v="1"/>
    <n v="8"/>
    <n v="3"/>
    <n v="2"/>
    <n v="8"/>
    <n v="2"/>
    <n v="7"/>
    <n v="7"/>
    <x v="0"/>
    <n v="0"/>
    <s v="30–39"/>
    <x v="2"/>
    <n v="0"/>
    <s v="Low"/>
  </r>
  <r>
    <n v="40"/>
    <s v="No"/>
    <s v="Travel_Rarely"/>
    <n v="118"/>
    <x v="0"/>
    <n v="14"/>
    <n v="2"/>
    <s v="Life Sciences"/>
    <n v="1598"/>
    <n v="4"/>
    <x v="0"/>
    <n v="84"/>
    <n v="3"/>
    <n v="2"/>
    <x v="0"/>
    <x v="3"/>
    <s v="Married"/>
    <n v="4639"/>
    <n v="11262"/>
    <n v="1"/>
    <x v="1"/>
    <n v="15"/>
    <n v="3"/>
    <n v="3"/>
    <n v="1"/>
    <n v="5"/>
    <n v="2"/>
    <n v="3"/>
    <n v="5"/>
    <n v="4"/>
    <n v="1"/>
    <n v="2"/>
    <x v="3"/>
    <n v="0"/>
    <s v="30–39"/>
    <x v="1"/>
    <n v="1"/>
    <s v="Low"/>
  </r>
  <r>
    <n v="43"/>
    <s v="No"/>
    <s v="Travel_Rarely"/>
    <n v="990"/>
    <x v="1"/>
    <n v="27"/>
    <n v="3"/>
    <s v="Technical Degree"/>
    <n v="1599"/>
    <n v="4"/>
    <x v="1"/>
    <n v="87"/>
    <n v="4"/>
    <n v="1"/>
    <x v="2"/>
    <x v="1"/>
    <s v="Divorced"/>
    <n v="4876"/>
    <n v="5855"/>
    <n v="5"/>
    <x v="1"/>
    <n v="12"/>
    <n v="3"/>
    <n v="3"/>
    <n v="1"/>
    <n v="8"/>
    <n v="0"/>
    <n v="3"/>
    <n v="6"/>
    <n v="4"/>
    <n v="0"/>
    <n v="2"/>
    <x v="0"/>
    <n v="0"/>
    <s v="40–49"/>
    <x v="1"/>
    <n v="1"/>
    <s v="Low"/>
  </r>
  <r>
    <n v="35"/>
    <s v="No"/>
    <s v="Travel_Rarely"/>
    <n v="1349"/>
    <x v="1"/>
    <n v="7"/>
    <n v="2"/>
    <s v="Life Sciences"/>
    <n v="1601"/>
    <n v="3"/>
    <x v="1"/>
    <n v="63"/>
    <n v="2"/>
    <n v="1"/>
    <x v="2"/>
    <x v="0"/>
    <s v="Married"/>
    <n v="2690"/>
    <n v="7713"/>
    <n v="1"/>
    <x v="1"/>
    <n v="18"/>
    <n v="3"/>
    <n v="4"/>
    <n v="1"/>
    <n v="1"/>
    <n v="5"/>
    <n v="2"/>
    <n v="1"/>
    <n v="0"/>
    <n v="0"/>
    <n v="1"/>
    <x v="2"/>
    <n v="0"/>
    <s v="40–49"/>
    <x v="0"/>
    <n v="1"/>
    <s v="Low"/>
  </r>
  <r>
    <n v="46"/>
    <s v="No"/>
    <s v="Travel_Rarely"/>
    <n v="563"/>
    <x v="0"/>
    <n v="1"/>
    <n v="4"/>
    <s v="Life Sciences"/>
    <n v="1602"/>
    <n v="4"/>
    <x v="1"/>
    <n v="56"/>
    <n v="4"/>
    <n v="4"/>
    <x v="5"/>
    <x v="3"/>
    <s v="Single"/>
    <n v="17567"/>
    <n v="3156"/>
    <n v="1"/>
    <x v="1"/>
    <n v="15"/>
    <n v="3"/>
    <n v="2"/>
    <n v="0"/>
    <n v="27"/>
    <n v="5"/>
    <n v="1"/>
    <n v="26"/>
    <n v="0"/>
    <n v="0"/>
    <n v="12"/>
    <x v="0"/>
    <n v="0"/>
    <s v="30–39"/>
    <x v="1"/>
    <n v="1"/>
    <s v="Low"/>
  </r>
  <r>
    <n v="28"/>
    <s v="Yes"/>
    <s v="Travel_Rarely"/>
    <n v="329"/>
    <x v="1"/>
    <n v="24"/>
    <n v="3"/>
    <s v="Medical"/>
    <n v="1604"/>
    <n v="3"/>
    <x v="1"/>
    <n v="51"/>
    <n v="3"/>
    <n v="1"/>
    <x v="2"/>
    <x v="1"/>
    <s v="Married"/>
    <n v="2408"/>
    <n v="7324"/>
    <n v="1"/>
    <x v="0"/>
    <n v="17"/>
    <n v="3"/>
    <n v="3"/>
    <n v="3"/>
    <n v="1"/>
    <n v="3"/>
    <n v="3"/>
    <n v="1"/>
    <n v="1"/>
    <n v="0"/>
    <n v="0"/>
    <x v="2"/>
    <n v="1"/>
    <s v="40–49"/>
    <x v="1"/>
    <n v="3"/>
    <s v="High"/>
  </r>
  <r>
    <n v="22"/>
    <s v="No"/>
    <s v="Non-Travel"/>
    <n v="457"/>
    <x v="1"/>
    <n v="26"/>
    <n v="2"/>
    <s v="Other"/>
    <n v="1605"/>
    <n v="2"/>
    <x v="0"/>
    <n v="85"/>
    <n v="2"/>
    <n v="1"/>
    <x v="1"/>
    <x v="2"/>
    <s v="Married"/>
    <n v="2814"/>
    <n v="10293"/>
    <n v="1"/>
    <x v="0"/>
    <n v="14"/>
    <n v="3"/>
    <n v="2"/>
    <n v="0"/>
    <n v="4"/>
    <n v="2"/>
    <n v="2"/>
    <n v="4"/>
    <n v="2"/>
    <n v="1"/>
    <n v="3"/>
    <x v="3"/>
    <n v="0"/>
    <s v="&lt;30"/>
    <x v="2"/>
    <n v="1"/>
    <s v="Low"/>
  </r>
  <r>
    <n v="50"/>
    <s v="No"/>
    <s v="Travel_Frequently"/>
    <n v="1234"/>
    <x v="1"/>
    <n v="20"/>
    <n v="5"/>
    <s v="Medical"/>
    <n v="1606"/>
    <n v="2"/>
    <x v="1"/>
    <n v="41"/>
    <n v="3"/>
    <n v="4"/>
    <x v="4"/>
    <x v="2"/>
    <s v="Married"/>
    <n v="11245"/>
    <n v="20689"/>
    <n v="2"/>
    <x v="0"/>
    <n v="15"/>
    <n v="3"/>
    <n v="3"/>
    <n v="1"/>
    <n v="32"/>
    <n v="3"/>
    <n v="3"/>
    <n v="30"/>
    <n v="8"/>
    <n v="12"/>
    <n v="13"/>
    <x v="0"/>
    <n v="0"/>
    <s v="&lt;30"/>
    <x v="2"/>
    <n v="1"/>
    <s v="Low"/>
  </r>
  <r>
    <n v="32"/>
    <s v="No"/>
    <s v="Travel_Rarely"/>
    <n v="634"/>
    <x v="1"/>
    <n v="5"/>
    <n v="4"/>
    <s v="Other"/>
    <n v="1607"/>
    <n v="2"/>
    <x v="0"/>
    <n v="35"/>
    <n v="4"/>
    <n v="1"/>
    <x v="1"/>
    <x v="0"/>
    <s v="Married"/>
    <n v="3312"/>
    <n v="18783"/>
    <n v="3"/>
    <x v="1"/>
    <n v="17"/>
    <n v="3"/>
    <n v="4"/>
    <n v="2"/>
    <n v="6"/>
    <n v="3"/>
    <n v="3"/>
    <n v="3"/>
    <n v="2"/>
    <n v="0"/>
    <n v="2"/>
    <x v="2"/>
    <n v="0"/>
    <s v="50+"/>
    <x v="0"/>
    <n v="1"/>
    <s v="Low"/>
  </r>
  <r>
    <n v="44"/>
    <s v="No"/>
    <s v="Travel_Rarely"/>
    <n v="1313"/>
    <x v="1"/>
    <n v="7"/>
    <n v="3"/>
    <s v="Medical"/>
    <n v="1608"/>
    <n v="2"/>
    <x v="0"/>
    <n v="31"/>
    <n v="3"/>
    <n v="5"/>
    <x v="7"/>
    <x v="0"/>
    <s v="Divorced"/>
    <n v="19049"/>
    <n v="3549"/>
    <n v="0"/>
    <x v="0"/>
    <n v="14"/>
    <n v="3"/>
    <n v="4"/>
    <n v="1"/>
    <n v="23"/>
    <n v="4"/>
    <n v="2"/>
    <n v="22"/>
    <n v="7"/>
    <n v="1"/>
    <n v="10"/>
    <x v="0"/>
    <n v="0"/>
    <s v="30–39"/>
    <x v="0"/>
    <n v="1"/>
    <s v="Low"/>
  </r>
  <r>
    <n v="30"/>
    <s v="No"/>
    <s v="Travel_Rarely"/>
    <n v="241"/>
    <x v="1"/>
    <n v="7"/>
    <n v="3"/>
    <s v="Medical"/>
    <n v="1609"/>
    <n v="2"/>
    <x v="1"/>
    <n v="48"/>
    <n v="2"/>
    <n v="1"/>
    <x v="1"/>
    <x v="1"/>
    <s v="Married"/>
    <n v="2141"/>
    <n v="5348"/>
    <n v="1"/>
    <x v="1"/>
    <n v="12"/>
    <n v="3"/>
    <n v="2"/>
    <n v="1"/>
    <n v="6"/>
    <n v="3"/>
    <n v="2"/>
    <n v="6"/>
    <n v="4"/>
    <n v="1"/>
    <n v="1"/>
    <x v="0"/>
    <n v="0"/>
    <s v="40–49"/>
    <x v="1"/>
    <n v="1"/>
    <s v="Low"/>
  </r>
  <r>
    <n v="45"/>
    <s v="No"/>
    <s v="Travel_Rarely"/>
    <n v="1015"/>
    <x v="1"/>
    <n v="5"/>
    <n v="5"/>
    <s v="Medical"/>
    <n v="1611"/>
    <n v="3"/>
    <x v="0"/>
    <n v="50"/>
    <n v="1"/>
    <n v="2"/>
    <x v="2"/>
    <x v="3"/>
    <s v="Single"/>
    <n v="5769"/>
    <n v="23447"/>
    <n v="1"/>
    <x v="0"/>
    <n v="14"/>
    <n v="3"/>
    <n v="1"/>
    <n v="0"/>
    <n v="10"/>
    <n v="3"/>
    <n v="3"/>
    <n v="10"/>
    <n v="7"/>
    <n v="1"/>
    <n v="4"/>
    <x v="0"/>
    <n v="0"/>
    <s v="30–39"/>
    <x v="1"/>
    <n v="2"/>
    <s v="Medium"/>
  </r>
  <r>
    <n v="45"/>
    <s v="No"/>
    <s v="Non-Travel"/>
    <n v="336"/>
    <x v="0"/>
    <n v="26"/>
    <n v="3"/>
    <s v="Marketing"/>
    <n v="1612"/>
    <n v="1"/>
    <x v="1"/>
    <n v="52"/>
    <n v="2"/>
    <n v="2"/>
    <x v="0"/>
    <x v="3"/>
    <s v="Married"/>
    <n v="4385"/>
    <n v="24162"/>
    <n v="1"/>
    <x v="1"/>
    <n v="15"/>
    <n v="3"/>
    <n v="1"/>
    <n v="1"/>
    <n v="10"/>
    <n v="2"/>
    <n v="3"/>
    <n v="10"/>
    <n v="7"/>
    <n v="4"/>
    <n v="5"/>
    <x v="0"/>
    <n v="0"/>
    <s v="40–49"/>
    <x v="1"/>
    <n v="1"/>
    <s v="Low"/>
  </r>
  <r>
    <n v="31"/>
    <s v="No"/>
    <s v="Travel_Frequently"/>
    <n v="715"/>
    <x v="0"/>
    <n v="2"/>
    <n v="4"/>
    <s v="Other"/>
    <n v="1613"/>
    <n v="4"/>
    <x v="1"/>
    <n v="54"/>
    <n v="3"/>
    <n v="2"/>
    <x v="0"/>
    <x v="3"/>
    <s v="Single"/>
    <n v="5332"/>
    <n v="21602"/>
    <n v="7"/>
    <x v="1"/>
    <n v="13"/>
    <n v="3"/>
    <n v="4"/>
    <n v="0"/>
    <n v="10"/>
    <n v="3"/>
    <n v="3"/>
    <n v="5"/>
    <n v="2"/>
    <n v="0"/>
    <n v="3"/>
    <x v="3"/>
    <n v="0"/>
    <s v="40–49"/>
    <x v="1"/>
    <n v="1"/>
    <s v="Low"/>
  </r>
  <r>
    <n v="36"/>
    <s v="No"/>
    <s v="Travel_Rarely"/>
    <n v="559"/>
    <x v="1"/>
    <n v="12"/>
    <n v="4"/>
    <s v="Life Sciences"/>
    <n v="1614"/>
    <n v="3"/>
    <x v="0"/>
    <n v="76"/>
    <n v="3"/>
    <n v="2"/>
    <x v="3"/>
    <x v="2"/>
    <s v="Married"/>
    <n v="4663"/>
    <n v="12421"/>
    <n v="9"/>
    <x v="0"/>
    <n v="12"/>
    <n v="3"/>
    <n v="2"/>
    <n v="2"/>
    <n v="7"/>
    <n v="2"/>
    <n v="3"/>
    <n v="3"/>
    <n v="2"/>
    <n v="1"/>
    <n v="1"/>
    <x v="2"/>
    <n v="0"/>
    <s v="30–39"/>
    <x v="2"/>
    <n v="2"/>
    <s v="Medium"/>
  </r>
  <r>
    <n v="34"/>
    <s v="No"/>
    <s v="Travel_Frequently"/>
    <n v="426"/>
    <x v="1"/>
    <n v="10"/>
    <n v="4"/>
    <s v="Life Sciences"/>
    <n v="1615"/>
    <n v="3"/>
    <x v="1"/>
    <n v="42"/>
    <n v="4"/>
    <n v="2"/>
    <x v="3"/>
    <x v="0"/>
    <s v="Divorced"/>
    <n v="4724"/>
    <n v="17000"/>
    <n v="1"/>
    <x v="1"/>
    <n v="13"/>
    <n v="3"/>
    <n v="1"/>
    <n v="1"/>
    <n v="9"/>
    <n v="3"/>
    <n v="3"/>
    <n v="9"/>
    <n v="7"/>
    <n v="7"/>
    <n v="2"/>
    <x v="0"/>
    <n v="0"/>
    <s v="30–39"/>
    <x v="0"/>
    <n v="0"/>
    <s v="Low"/>
  </r>
  <r>
    <n v="49"/>
    <s v="No"/>
    <s v="Travel_Rarely"/>
    <n v="722"/>
    <x v="1"/>
    <n v="25"/>
    <n v="4"/>
    <s v="Life Sciences"/>
    <n v="1617"/>
    <n v="3"/>
    <x v="0"/>
    <n v="84"/>
    <n v="3"/>
    <n v="1"/>
    <x v="2"/>
    <x v="3"/>
    <s v="Married"/>
    <n v="3211"/>
    <n v="22102"/>
    <n v="1"/>
    <x v="1"/>
    <n v="14"/>
    <n v="3"/>
    <n v="4"/>
    <n v="1"/>
    <n v="10"/>
    <n v="3"/>
    <n v="2"/>
    <n v="9"/>
    <n v="6"/>
    <n v="1"/>
    <n v="4"/>
    <x v="0"/>
    <n v="0"/>
    <s v="30–39"/>
    <x v="1"/>
    <n v="1"/>
    <s v="Low"/>
  </r>
  <r>
    <n v="39"/>
    <s v="No"/>
    <s v="Travel_Rarely"/>
    <n v="1387"/>
    <x v="1"/>
    <n v="10"/>
    <n v="5"/>
    <s v="Medical"/>
    <n v="1618"/>
    <n v="2"/>
    <x v="1"/>
    <n v="76"/>
    <n v="3"/>
    <n v="2"/>
    <x v="3"/>
    <x v="3"/>
    <s v="Married"/>
    <n v="5377"/>
    <n v="3835"/>
    <n v="2"/>
    <x v="1"/>
    <n v="13"/>
    <n v="3"/>
    <n v="4"/>
    <n v="3"/>
    <n v="10"/>
    <n v="3"/>
    <n v="3"/>
    <n v="7"/>
    <n v="7"/>
    <n v="7"/>
    <n v="7"/>
    <x v="0"/>
    <n v="0"/>
    <s v="40–49"/>
    <x v="1"/>
    <n v="1"/>
    <s v="Low"/>
  </r>
  <r>
    <n v="27"/>
    <s v="No"/>
    <s v="Travel_Rarely"/>
    <n v="1302"/>
    <x v="1"/>
    <n v="19"/>
    <n v="3"/>
    <s v="Other"/>
    <n v="1619"/>
    <n v="4"/>
    <x v="1"/>
    <n v="67"/>
    <n v="2"/>
    <n v="1"/>
    <x v="2"/>
    <x v="3"/>
    <s v="Divorced"/>
    <n v="4066"/>
    <n v="16290"/>
    <n v="1"/>
    <x v="1"/>
    <n v="11"/>
    <n v="3"/>
    <n v="1"/>
    <n v="2"/>
    <n v="7"/>
    <n v="3"/>
    <n v="3"/>
    <n v="7"/>
    <n v="7"/>
    <n v="0"/>
    <n v="7"/>
    <x v="0"/>
    <n v="0"/>
    <s v="30–39"/>
    <x v="1"/>
    <n v="1"/>
    <s v="Low"/>
  </r>
  <r>
    <n v="35"/>
    <s v="No"/>
    <s v="Travel_Rarely"/>
    <n v="819"/>
    <x v="1"/>
    <n v="18"/>
    <n v="5"/>
    <s v="Life Sciences"/>
    <n v="1621"/>
    <n v="2"/>
    <x v="1"/>
    <n v="48"/>
    <n v="4"/>
    <n v="2"/>
    <x v="1"/>
    <x v="3"/>
    <s v="Married"/>
    <n v="5208"/>
    <n v="26312"/>
    <n v="1"/>
    <x v="1"/>
    <n v="11"/>
    <n v="3"/>
    <n v="4"/>
    <n v="0"/>
    <n v="16"/>
    <n v="2"/>
    <n v="3"/>
    <n v="16"/>
    <n v="15"/>
    <n v="1"/>
    <n v="10"/>
    <x v="0"/>
    <n v="0"/>
    <s v="&lt;30"/>
    <x v="1"/>
    <n v="1"/>
    <s v="Low"/>
  </r>
  <r>
    <n v="28"/>
    <s v="No"/>
    <s v="Travel_Rarely"/>
    <n v="580"/>
    <x v="1"/>
    <n v="27"/>
    <n v="3"/>
    <s v="Medical"/>
    <n v="1622"/>
    <n v="2"/>
    <x v="0"/>
    <n v="39"/>
    <n v="1"/>
    <n v="2"/>
    <x v="3"/>
    <x v="3"/>
    <s v="Divorced"/>
    <n v="4877"/>
    <n v="20460"/>
    <n v="0"/>
    <x v="1"/>
    <n v="21"/>
    <n v="4"/>
    <n v="2"/>
    <n v="1"/>
    <n v="6"/>
    <n v="5"/>
    <n v="2"/>
    <n v="5"/>
    <n v="3"/>
    <n v="0"/>
    <n v="0"/>
    <x v="3"/>
    <n v="0"/>
    <s v="30–39"/>
    <x v="1"/>
    <n v="1"/>
    <s v="Low"/>
  </r>
  <r>
    <n v="21"/>
    <s v="No"/>
    <s v="Travel_Rarely"/>
    <n v="546"/>
    <x v="1"/>
    <n v="5"/>
    <n v="1"/>
    <s v="Medical"/>
    <n v="1623"/>
    <n v="3"/>
    <x v="1"/>
    <n v="97"/>
    <n v="3"/>
    <n v="1"/>
    <x v="1"/>
    <x v="0"/>
    <s v="Single"/>
    <n v="3117"/>
    <n v="26009"/>
    <n v="1"/>
    <x v="1"/>
    <n v="18"/>
    <n v="3"/>
    <n v="3"/>
    <n v="0"/>
    <n v="3"/>
    <n v="2"/>
    <n v="3"/>
    <n v="2"/>
    <n v="2"/>
    <n v="2"/>
    <n v="2"/>
    <x v="2"/>
    <n v="0"/>
    <s v="&lt;30"/>
    <x v="0"/>
    <n v="1"/>
    <s v="Low"/>
  </r>
  <r>
    <n v="18"/>
    <s v="Yes"/>
    <s v="Travel_Frequently"/>
    <n v="544"/>
    <x v="0"/>
    <n v="3"/>
    <n v="2"/>
    <s v="Medical"/>
    <n v="1624"/>
    <n v="2"/>
    <x v="0"/>
    <n v="70"/>
    <n v="3"/>
    <n v="1"/>
    <x v="6"/>
    <x v="0"/>
    <s v="Single"/>
    <n v="1569"/>
    <n v="18420"/>
    <n v="1"/>
    <x v="0"/>
    <n v="12"/>
    <n v="3"/>
    <n v="3"/>
    <n v="0"/>
    <n v="0"/>
    <n v="2"/>
    <n v="4"/>
    <n v="0"/>
    <n v="0"/>
    <n v="0"/>
    <n v="0"/>
    <x v="1"/>
    <n v="1"/>
    <s v="&lt;30"/>
    <x v="0"/>
    <n v="2"/>
    <s v="Medium"/>
  </r>
  <r>
    <n v="47"/>
    <s v="No"/>
    <s v="Travel_Rarely"/>
    <n v="1176"/>
    <x v="2"/>
    <n v="26"/>
    <n v="4"/>
    <s v="Life Sciences"/>
    <n v="1625"/>
    <n v="4"/>
    <x v="0"/>
    <n v="98"/>
    <n v="3"/>
    <n v="5"/>
    <x v="5"/>
    <x v="2"/>
    <s v="Married"/>
    <n v="19658"/>
    <n v="5220"/>
    <n v="3"/>
    <x v="1"/>
    <n v="11"/>
    <n v="3"/>
    <n v="3"/>
    <n v="1"/>
    <n v="27"/>
    <n v="2"/>
    <n v="3"/>
    <n v="5"/>
    <n v="2"/>
    <n v="1"/>
    <n v="0"/>
    <x v="3"/>
    <n v="0"/>
    <s v="&lt;30"/>
    <x v="2"/>
    <n v="0"/>
    <s v="Low"/>
  </r>
  <r>
    <n v="39"/>
    <s v="No"/>
    <s v="Travel_Rarely"/>
    <n v="170"/>
    <x v="1"/>
    <n v="3"/>
    <n v="2"/>
    <s v="Medical"/>
    <n v="1627"/>
    <n v="3"/>
    <x v="1"/>
    <n v="76"/>
    <n v="2"/>
    <n v="2"/>
    <x v="2"/>
    <x v="2"/>
    <s v="Divorced"/>
    <n v="3069"/>
    <n v="10302"/>
    <n v="0"/>
    <x v="1"/>
    <n v="15"/>
    <n v="3"/>
    <n v="4"/>
    <n v="1"/>
    <n v="11"/>
    <n v="3"/>
    <n v="3"/>
    <n v="10"/>
    <n v="8"/>
    <n v="0"/>
    <n v="7"/>
    <x v="0"/>
    <n v="0"/>
    <s v="40–49"/>
    <x v="2"/>
    <n v="0"/>
    <s v="Low"/>
  </r>
  <r>
    <n v="40"/>
    <s v="No"/>
    <s v="Travel_Rarely"/>
    <n v="884"/>
    <x v="1"/>
    <n v="15"/>
    <n v="3"/>
    <s v="Life Sciences"/>
    <n v="1628"/>
    <n v="1"/>
    <x v="0"/>
    <n v="80"/>
    <n v="2"/>
    <n v="3"/>
    <x v="3"/>
    <x v="2"/>
    <s v="Married"/>
    <n v="10435"/>
    <n v="25800"/>
    <n v="1"/>
    <x v="1"/>
    <n v="13"/>
    <n v="3"/>
    <n v="4"/>
    <n v="2"/>
    <n v="18"/>
    <n v="2"/>
    <n v="3"/>
    <n v="18"/>
    <n v="15"/>
    <n v="14"/>
    <n v="12"/>
    <x v="0"/>
    <n v="0"/>
    <s v="30–39"/>
    <x v="2"/>
    <n v="0"/>
    <s v="Low"/>
  </r>
  <r>
    <n v="35"/>
    <s v="No"/>
    <s v="Non-Travel"/>
    <n v="208"/>
    <x v="1"/>
    <n v="8"/>
    <n v="4"/>
    <s v="Life Sciences"/>
    <n v="1630"/>
    <n v="3"/>
    <x v="0"/>
    <n v="52"/>
    <n v="3"/>
    <n v="2"/>
    <x v="4"/>
    <x v="2"/>
    <s v="Married"/>
    <n v="4148"/>
    <n v="12250"/>
    <n v="1"/>
    <x v="1"/>
    <n v="12"/>
    <n v="3"/>
    <n v="4"/>
    <n v="1"/>
    <n v="15"/>
    <n v="5"/>
    <n v="3"/>
    <n v="14"/>
    <n v="11"/>
    <n v="2"/>
    <n v="9"/>
    <x v="0"/>
    <n v="0"/>
    <s v="40–49"/>
    <x v="2"/>
    <n v="0"/>
    <s v="Low"/>
  </r>
  <r>
    <n v="37"/>
    <s v="No"/>
    <s v="Travel_Rarely"/>
    <n v="671"/>
    <x v="1"/>
    <n v="19"/>
    <n v="3"/>
    <s v="Life Sciences"/>
    <n v="1631"/>
    <n v="3"/>
    <x v="1"/>
    <n v="85"/>
    <n v="3"/>
    <n v="2"/>
    <x v="3"/>
    <x v="2"/>
    <s v="Married"/>
    <n v="5768"/>
    <n v="26493"/>
    <n v="3"/>
    <x v="1"/>
    <n v="17"/>
    <n v="3"/>
    <n v="1"/>
    <n v="3"/>
    <n v="9"/>
    <n v="2"/>
    <n v="2"/>
    <n v="4"/>
    <n v="3"/>
    <n v="0"/>
    <n v="2"/>
    <x v="3"/>
    <n v="0"/>
    <s v="30–39"/>
    <x v="2"/>
    <n v="0"/>
    <s v="Low"/>
  </r>
  <r>
    <n v="39"/>
    <s v="No"/>
    <s v="Travel_Frequently"/>
    <n v="711"/>
    <x v="1"/>
    <n v="4"/>
    <n v="3"/>
    <s v="Medical"/>
    <n v="1633"/>
    <n v="1"/>
    <x v="0"/>
    <n v="81"/>
    <n v="3"/>
    <n v="2"/>
    <x v="3"/>
    <x v="2"/>
    <s v="Single"/>
    <n v="5042"/>
    <n v="3140"/>
    <n v="0"/>
    <x v="1"/>
    <n v="13"/>
    <n v="3"/>
    <n v="4"/>
    <n v="0"/>
    <n v="10"/>
    <n v="2"/>
    <n v="1"/>
    <n v="9"/>
    <n v="2"/>
    <n v="3"/>
    <n v="8"/>
    <x v="0"/>
    <n v="0"/>
    <s v="30–39"/>
    <x v="2"/>
    <n v="0"/>
    <s v="Low"/>
  </r>
  <r>
    <n v="45"/>
    <s v="No"/>
    <s v="Travel_Rarely"/>
    <n v="1329"/>
    <x v="1"/>
    <n v="2"/>
    <n v="2"/>
    <s v="Other"/>
    <n v="1635"/>
    <n v="4"/>
    <x v="0"/>
    <n v="59"/>
    <n v="2"/>
    <n v="2"/>
    <x v="3"/>
    <x v="0"/>
    <s v="Divorced"/>
    <n v="5770"/>
    <n v="5388"/>
    <n v="1"/>
    <x v="1"/>
    <n v="19"/>
    <n v="3"/>
    <n v="1"/>
    <n v="2"/>
    <n v="10"/>
    <n v="3"/>
    <n v="3"/>
    <n v="10"/>
    <n v="7"/>
    <n v="3"/>
    <n v="9"/>
    <x v="0"/>
    <n v="0"/>
    <s v="30–39"/>
    <x v="0"/>
    <n v="0"/>
    <s v="Low"/>
  </r>
  <r>
    <n v="38"/>
    <s v="No"/>
    <s v="Travel_Rarely"/>
    <n v="397"/>
    <x v="1"/>
    <n v="2"/>
    <n v="2"/>
    <s v="Medical"/>
    <n v="1638"/>
    <n v="4"/>
    <x v="0"/>
    <n v="54"/>
    <n v="2"/>
    <n v="3"/>
    <x v="3"/>
    <x v="2"/>
    <s v="Married"/>
    <n v="7756"/>
    <n v="14199"/>
    <n v="3"/>
    <x v="0"/>
    <n v="19"/>
    <n v="3"/>
    <n v="4"/>
    <n v="1"/>
    <n v="10"/>
    <n v="6"/>
    <n v="4"/>
    <n v="5"/>
    <n v="4"/>
    <n v="0"/>
    <n v="2"/>
    <x v="3"/>
    <n v="0"/>
    <s v="40–49"/>
    <x v="2"/>
    <n v="1"/>
    <s v="Low"/>
  </r>
  <r>
    <n v="35"/>
    <s v="Yes"/>
    <s v="Travel_Rarely"/>
    <n v="737"/>
    <x v="0"/>
    <n v="10"/>
    <n v="3"/>
    <s v="Medical"/>
    <n v="1639"/>
    <n v="4"/>
    <x v="1"/>
    <n v="55"/>
    <n v="2"/>
    <n v="3"/>
    <x v="0"/>
    <x v="3"/>
    <s v="Married"/>
    <n v="10306"/>
    <n v="21530"/>
    <n v="9"/>
    <x v="1"/>
    <n v="17"/>
    <n v="3"/>
    <n v="3"/>
    <n v="0"/>
    <n v="15"/>
    <n v="3"/>
    <n v="3"/>
    <n v="13"/>
    <n v="12"/>
    <n v="6"/>
    <n v="0"/>
    <x v="0"/>
    <n v="1"/>
    <s v="30–39"/>
    <x v="1"/>
    <n v="1"/>
    <s v="Low"/>
  </r>
  <r>
    <n v="37"/>
    <s v="No"/>
    <s v="Travel_Rarely"/>
    <n v="1470"/>
    <x v="1"/>
    <n v="10"/>
    <n v="3"/>
    <s v="Medical"/>
    <n v="1640"/>
    <n v="2"/>
    <x v="0"/>
    <n v="71"/>
    <n v="3"/>
    <n v="1"/>
    <x v="1"/>
    <x v="1"/>
    <s v="Married"/>
    <n v="3936"/>
    <n v="9953"/>
    <n v="1"/>
    <x v="1"/>
    <n v="11"/>
    <n v="3"/>
    <n v="1"/>
    <n v="1"/>
    <n v="8"/>
    <n v="2"/>
    <n v="1"/>
    <n v="8"/>
    <n v="4"/>
    <n v="7"/>
    <n v="7"/>
    <x v="0"/>
    <n v="0"/>
    <s v="30–39"/>
    <x v="1"/>
    <n v="1"/>
    <s v="Low"/>
  </r>
  <r>
    <n v="40"/>
    <s v="No"/>
    <s v="Travel_Rarely"/>
    <n v="448"/>
    <x v="1"/>
    <n v="16"/>
    <n v="3"/>
    <s v="Life Sciences"/>
    <n v="1641"/>
    <n v="3"/>
    <x v="0"/>
    <n v="84"/>
    <n v="3"/>
    <n v="3"/>
    <x v="3"/>
    <x v="0"/>
    <s v="Single"/>
    <n v="7945"/>
    <n v="19948"/>
    <n v="6"/>
    <x v="0"/>
    <n v="15"/>
    <n v="3"/>
    <n v="4"/>
    <n v="0"/>
    <n v="18"/>
    <n v="2"/>
    <n v="2"/>
    <n v="4"/>
    <n v="2"/>
    <n v="3"/>
    <n v="3"/>
    <x v="3"/>
    <n v="0"/>
    <s v="30–39"/>
    <x v="0"/>
    <n v="1"/>
    <s v="Low"/>
  </r>
  <r>
    <n v="44"/>
    <s v="No"/>
    <s v="Travel_Frequently"/>
    <n v="602"/>
    <x v="2"/>
    <n v="1"/>
    <n v="5"/>
    <s v="Human Resources"/>
    <n v="1642"/>
    <n v="1"/>
    <x v="1"/>
    <n v="37"/>
    <n v="3"/>
    <n v="2"/>
    <x v="8"/>
    <x v="0"/>
    <s v="Married"/>
    <n v="5743"/>
    <n v="10503"/>
    <n v="4"/>
    <x v="0"/>
    <n v="11"/>
    <n v="3"/>
    <n v="3"/>
    <n v="0"/>
    <n v="14"/>
    <n v="3"/>
    <n v="3"/>
    <n v="10"/>
    <n v="7"/>
    <n v="0"/>
    <n v="2"/>
    <x v="0"/>
    <n v="0"/>
    <s v="40–49"/>
    <x v="0"/>
    <n v="1"/>
    <s v="Low"/>
  </r>
  <r>
    <n v="48"/>
    <s v="No"/>
    <s v="Travel_Frequently"/>
    <n v="365"/>
    <x v="1"/>
    <n v="4"/>
    <n v="5"/>
    <s v="Medical"/>
    <n v="1644"/>
    <n v="3"/>
    <x v="1"/>
    <n v="89"/>
    <n v="2"/>
    <n v="4"/>
    <x v="5"/>
    <x v="0"/>
    <s v="Married"/>
    <n v="15202"/>
    <n v="5602"/>
    <n v="2"/>
    <x v="1"/>
    <n v="25"/>
    <n v="4"/>
    <n v="2"/>
    <n v="1"/>
    <n v="23"/>
    <n v="3"/>
    <n v="3"/>
    <n v="2"/>
    <n v="2"/>
    <n v="2"/>
    <n v="2"/>
    <x v="2"/>
    <n v="0"/>
    <s v="40–49"/>
    <x v="0"/>
    <n v="1"/>
    <s v="Low"/>
  </r>
  <r>
    <n v="35"/>
    <s v="Yes"/>
    <s v="Travel_Rarely"/>
    <n v="763"/>
    <x v="0"/>
    <n v="15"/>
    <n v="2"/>
    <s v="Medical"/>
    <n v="1645"/>
    <n v="1"/>
    <x v="1"/>
    <n v="59"/>
    <n v="1"/>
    <n v="2"/>
    <x v="0"/>
    <x v="0"/>
    <s v="Divorced"/>
    <n v="5440"/>
    <n v="22098"/>
    <n v="6"/>
    <x v="0"/>
    <n v="14"/>
    <n v="3"/>
    <n v="4"/>
    <n v="2"/>
    <n v="7"/>
    <n v="2"/>
    <n v="2"/>
    <n v="2"/>
    <n v="2"/>
    <n v="2"/>
    <n v="2"/>
    <x v="2"/>
    <n v="1"/>
    <s v="40–49"/>
    <x v="0"/>
    <n v="2"/>
    <s v="Medium"/>
  </r>
  <r>
    <n v="24"/>
    <s v="No"/>
    <s v="Travel_Frequently"/>
    <n v="567"/>
    <x v="1"/>
    <n v="2"/>
    <n v="1"/>
    <s v="Technical Degree"/>
    <n v="1646"/>
    <n v="1"/>
    <x v="0"/>
    <n v="32"/>
    <n v="3"/>
    <n v="1"/>
    <x v="1"/>
    <x v="0"/>
    <s v="Single"/>
    <n v="3760"/>
    <n v="17218"/>
    <n v="1"/>
    <x v="0"/>
    <n v="13"/>
    <n v="3"/>
    <n v="3"/>
    <n v="0"/>
    <n v="6"/>
    <n v="2"/>
    <n v="3"/>
    <n v="6"/>
    <n v="3"/>
    <n v="1"/>
    <n v="3"/>
    <x v="0"/>
    <n v="0"/>
    <s v="30–39"/>
    <x v="0"/>
    <n v="1"/>
    <s v="Low"/>
  </r>
  <r>
    <n v="27"/>
    <s v="No"/>
    <s v="Travel_Rarely"/>
    <n v="486"/>
    <x v="1"/>
    <n v="8"/>
    <n v="3"/>
    <s v="Medical"/>
    <n v="1647"/>
    <n v="2"/>
    <x v="0"/>
    <n v="86"/>
    <n v="4"/>
    <n v="1"/>
    <x v="1"/>
    <x v="2"/>
    <s v="Married"/>
    <n v="3517"/>
    <n v="22490"/>
    <n v="7"/>
    <x v="1"/>
    <n v="17"/>
    <n v="3"/>
    <n v="1"/>
    <n v="0"/>
    <n v="5"/>
    <n v="0"/>
    <n v="3"/>
    <n v="3"/>
    <n v="2"/>
    <n v="0"/>
    <n v="2"/>
    <x v="2"/>
    <n v="0"/>
    <s v="&lt;30"/>
    <x v="2"/>
    <n v="1"/>
    <s v="Low"/>
  </r>
  <r>
    <n v="27"/>
    <s v="No"/>
    <s v="Travel_Frequently"/>
    <n v="591"/>
    <x v="1"/>
    <n v="2"/>
    <n v="3"/>
    <s v="Medical"/>
    <n v="1648"/>
    <n v="4"/>
    <x v="1"/>
    <n v="87"/>
    <n v="3"/>
    <n v="1"/>
    <x v="1"/>
    <x v="0"/>
    <s v="Single"/>
    <n v="2580"/>
    <n v="6297"/>
    <n v="2"/>
    <x v="1"/>
    <n v="13"/>
    <n v="3"/>
    <n v="3"/>
    <n v="0"/>
    <n v="6"/>
    <n v="0"/>
    <n v="2"/>
    <n v="4"/>
    <n v="2"/>
    <n v="1"/>
    <n v="2"/>
    <x v="3"/>
    <n v="0"/>
    <s v="&lt;30"/>
    <x v="0"/>
    <n v="0"/>
    <s v="Low"/>
  </r>
  <r>
    <n v="40"/>
    <s v="Yes"/>
    <s v="Travel_Rarely"/>
    <n v="1329"/>
    <x v="1"/>
    <n v="7"/>
    <n v="3"/>
    <s v="Life Sciences"/>
    <n v="1649"/>
    <n v="1"/>
    <x v="1"/>
    <n v="73"/>
    <n v="3"/>
    <n v="1"/>
    <x v="2"/>
    <x v="3"/>
    <s v="Single"/>
    <n v="2166"/>
    <n v="3339"/>
    <n v="3"/>
    <x v="0"/>
    <n v="14"/>
    <n v="3"/>
    <n v="2"/>
    <n v="0"/>
    <n v="10"/>
    <n v="3"/>
    <n v="1"/>
    <n v="4"/>
    <n v="2"/>
    <n v="0"/>
    <n v="3"/>
    <x v="3"/>
    <n v="1"/>
    <s v="&lt;30"/>
    <x v="1"/>
    <n v="2"/>
    <s v="Medium"/>
  </r>
  <r>
    <n v="29"/>
    <s v="No"/>
    <s v="Travel_Rarely"/>
    <n v="469"/>
    <x v="0"/>
    <n v="10"/>
    <n v="3"/>
    <s v="Medical"/>
    <n v="1650"/>
    <n v="3"/>
    <x v="1"/>
    <n v="42"/>
    <n v="2"/>
    <n v="2"/>
    <x v="0"/>
    <x v="2"/>
    <s v="Single"/>
    <n v="5869"/>
    <n v="23413"/>
    <n v="9"/>
    <x v="1"/>
    <n v="11"/>
    <n v="3"/>
    <n v="3"/>
    <n v="0"/>
    <n v="8"/>
    <n v="2"/>
    <n v="3"/>
    <n v="5"/>
    <n v="2"/>
    <n v="1"/>
    <n v="4"/>
    <x v="3"/>
    <n v="0"/>
    <s v="40–49"/>
    <x v="2"/>
    <n v="0"/>
    <s v="Low"/>
  </r>
  <r>
    <n v="36"/>
    <s v="No"/>
    <s v="Travel_Rarely"/>
    <n v="711"/>
    <x v="1"/>
    <n v="5"/>
    <n v="4"/>
    <s v="Life Sciences"/>
    <n v="1651"/>
    <n v="2"/>
    <x v="0"/>
    <n v="42"/>
    <n v="3"/>
    <n v="3"/>
    <x v="4"/>
    <x v="3"/>
    <s v="Married"/>
    <n v="8008"/>
    <n v="22792"/>
    <n v="4"/>
    <x v="1"/>
    <n v="12"/>
    <n v="3"/>
    <n v="3"/>
    <n v="2"/>
    <n v="9"/>
    <n v="6"/>
    <n v="3"/>
    <n v="3"/>
    <n v="2"/>
    <n v="0"/>
    <n v="2"/>
    <x v="2"/>
    <n v="0"/>
    <s v="&lt;30"/>
    <x v="1"/>
    <n v="2"/>
    <s v="Medium"/>
  </r>
  <r>
    <n v="25"/>
    <s v="No"/>
    <s v="Travel_Frequently"/>
    <n v="772"/>
    <x v="1"/>
    <n v="2"/>
    <n v="1"/>
    <s v="Life Sciences"/>
    <n v="1653"/>
    <n v="4"/>
    <x v="1"/>
    <n v="77"/>
    <n v="4"/>
    <n v="2"/>
    <x v="3"/>
    <x v="2"/>
    <s v="Divorced"/>
    <n v="5206"/>
    <n v="4973"/>
    <n v="1"/>
    <x v="1"/>
    <n v="17"/>
    <n v="3"/>
    <n v="3"/>
    <n v="2"/>
    <n v="7"/>
    <n v="6"/>
    <n v="3"/>
    <n v="7"/>
    <n v="7"/>
    <n v="0"/>
    <n v="7"/>
    <x v="0"/>
    <n v="0"/>
    <s v="30–39"/>
    <x v="2"/>
    <n v="0"/>
    <s v="Low"/>
  </r>
  <r>
    <n v="39"/>
    <s v="No"/>
    <s v="Travel_Rarely"/>
    <n v="492"/>
    <x v="1"/>
    <n v="12"/>
    <n v="3"/>
    <s v="Medical"/>
    <n v="1654"/>
    <n v="4"/>
    <x v="1"/>
    <n v="66"/>
    <n v="3"/>
    <n v="2"/>
    <x v="3"/>
    <x v="1"/>
    <s v="Married"/>
    <n v="5295"/>
    <n v="7693"/>
    <n v="4"/>
    <x v="1"/>
    <n v="21"/>
    <n v="4"/>
    <n v="3"/>
    <n v="0"/>
    <n v="7"/>
    <n v="3"/>
    <n v="3"/>
    <n v="5"/>
    <n v="4"/>
    <n v="1"/>
    <n v="0"/>
    <x v="3"/>
    <n v="0"/>
    <s v="&lt;30"/>
    <x v="1"/>
    <n v="1"/>
    <s v="Low"/>
  </r>
  <r>
    <n v="49"/>
    <s v="No"/>
    <s v="Travel_Rarely"/>
    <n v="301"/>
    <x v="1"/>
    <n v="22"/>
    <n v="4"/>
    <s v="Other"/>
    <n v="1655"/>
    <n v="1"/>
    <x v="0"/>
    <n v="72"/>
    <n v="3"/>
    <n v="4"/>
    <x v="7"/>
    <x v="1"/>
    <s v="Married"/>
    <n v="16413"/>
    <n v="3498"/>
    <n v="3"/>
    <x v="1"/>
    <n v="16"/>
    <n v="3"/>
    <n v="2"/>
    <n v="2"/>
    <n v="27"/>
    <n v="2"/>
    <n v="3"/>
    <n v="4"/>
    <n v="2"/>
    <n v="1"/>
    <n v="2"/>
    <x v="3"/>
    <n v="0"/>
    <s v="30–39"/>
    <x v="1"/>
    <n v="1"/>
    <s v="Low"/>
  </r>
  <r>
    <n v="50"/>
    <s v="No"/>
    <s v="Travel_Rarely"/>
    <n v="813"/>
    <x v="1"/>
    <n v="17"/>
    <n v="5"/>
    <s v="Life Sciences"/>
    <n v="1656"/>
    <n v="4"/>
    <x v="0"/>
    <n v="50"/>
    <n v="2"/>
    <n v="3"/>
    <x v="7"/>
    <x v="3"/>
    <s v="Divorced"/>
    <n v="13269"/>
    <n v="21981"/>
    <n v="5"/>
    <x v="1"/>
    <n v="15"/>
    <n v="3"/>
    <n v="3"/>
    <n v="3"/>
    <n v="19"/>
    <n v="3"/>
    <n v="3"/>
    <n v="14"/>
    <n v="11"/>
    <n v="1"/>
    <n v="11"/>
    <x v="0"/>
    <n v="0"/>
    <s v="40–49"/>
    <x v="1"/>
    <n v="1"/>
    <s v="Low"/>
  </r>
  <r>
    <n v="20"/>
    <s v="No"/>
    <s v="Travel_Rarely"/>
    <n v="1141"/>
    <x v="0"/>
    <n v="2"/>
    <n v="3"/>
    <s v="Medical"/>
    <n v="1657"/>
    <n v="3"/>
    <x v="0"/>
    <n v="31"/>
    <n v="3"/>
    <n v="1"/>
    <x v="6"/>
    <x v="2"/>
    <s v="Single"/>
    <n v="2783"/>
    <n v="13251"/>
    <n v="1"/>
    <x v="1"/>
    <n v="19"/>
    <n v="3"/>
    <n v="1"/>
    <n v="0"/>
    <n v="2"/>
    <n v="3"/>
    <n v="3"/>
    <n v="2"/>
    <n v="2"/>
    <n v="2"/>
    <n v="2"/>
    <x v="2"/>
    <n v="0"/>
    <s v="50+"/>
    <x v="2"/>
    <n v="1"/>
    <s v="Low"/>
  </r>
  <r>
    <n v="34"/>
    <s v="No"/>
    <s v="Travel_Rarely"/>
    <n v="1130"/>
    <x v="1"/>
    <n v="3"/>
    <n v="3"/>
    <s v="Life Sciences"/>
    <n v="1658"/>
    <n v="4"/>
    <x v="0"/>
    <n v="66"/>
    <n v="3"/>
    <n v="2"/>
    <x v="1"/>
    <x v="1"/>
    <s v="Divorced"/>
    <n v="5433"/>
    <n v="19332"/>
    <n v="1"/>
    <x v="1"/>
    <n v="12"/>
    <n v="3"/>
    <n v="3"/>
    <n v="1"/>
    <n v="11"/>
    <n v="2"/>
    <n v="3"/>
    <n v="11"/>
    <n v="8"/>
    <n v="7"/>
    <n v="9"/>
    <x v="0"/>
    <n v="0"/>
    <s v="&lt;30"/>
    <x v="1"/>
    <n v="1"/>
    <s v="Low"/>
  </r>
  <r>
    <n v="36"/>
    <s v="No"/>
    <s v="Travel_Rarely"/>
    <n v="311"/>
    <x v="1"/>
    <n v="7"/>
    <n v="3"/>
    <s v="Life Sciences"/>
    <n v="1659"/>
    <n v="1"/>
    <x v="1"/>
    <n v="77"/>
    <n v="3"/>
    <n v="1"/>
    <x v="2"/>
    <x v="1"/>
    <s v="Single"/>
    <n v="2013"/>
    <n v="10950"/>
    <n v="2"/>
    <x v="1"/>
    <n v="11"/>
    <n v="3"/>
    <n v="3"/>
    <n v="0"/>
    <n v="15"/>
    <n v="4"/>
    <n v="3"/>
    <n v="4"/>
    <n v="3"/>
    <n v="1"/>
    <n v="3"/>
    <x v="3"/>
    <n v="0"/>
    <s v="30–39"/>
    <x v="1"/>
    <n v="1"/>
    <s v="Low"/>
  </r>
  <r>
    <n v="49"/>
    <s v="No"/>
    <s v="Travel_Rarely"/>
    <n v="465"/>
    <x v="1"/>
    <n v="6"/>
    <n v="1"/>
    <s v="Life Sciences"/>
    <n v="1661"/>
    <n v="3"/>
    <x v="0"/>
    <n v="41"/>
    <n v="2"/>
    <n v="4"/>
    <x v="4"/>
    <x v="2"/>
    <s v="Married"/>
    <n v="13966"/>
    <n v="11652"/>
    <n v="2"/>
    <x v="0"/>
    <n v="19"/>
    <n v="3"/>
    <n v="2"/>
    <n v="1"/>
    <n v="30"/>
    <n v="3"/>
    <n v="3"/>
    <n v="15"/>
    <n v="11"/>
    <n v="2"/>
    <n v="12"/>
    <x v="0"/>
    <n v="0"/>
    <s v="30–39"/>
    <x v="2"/>
    <n v="1"/>
    <s v="Low"/>
  </r>
  <r>
    <n v="36"/>
    <s v="No"/>
    <s v="Non-Travel"/>
    <n v="894"/>
    <x v="1"/>
    <n v="1"/>
    <n v="4"/>
    <s v="Medical"/>
    <n v="1662"/>
    <n v="4"/>
    <x v="0"/>
    <n v="33"/>
    <n v="2"/>
    <n v="2"/>
    <x v="3"/>
    <x v="2"/>
    <s v="Married"/>
    <n v="4374"/>
    <n v="15411"/>
    <n v="0"/>
    <x v="1"/>
    <n v="15"/>
    <n v="3"/>
    <n v="3"/>
    <n v="0"/>
    <n v="4"/>
    <n v="6"/>
    <n v="3"/>
    <n v="3"/>
    <n v="2"/>
    <n v="1"/>
    <n v="2"/>
    <x v="2"/>
    <n v="0"/>
    <s v="40–49"/>
    <x v="2"/>
    <n v="1"/>
    <s v="Low"/>
  </r>
  <r>
    <n v="36"/>
    <s v="No"/>
    <s v="Travel_Rarely"/>
    <n v="1040"/>
    <x v="1"/>
    <n v="3"/>
    <n v="2"/>
    <s v="Life Sciences"/>
    <n v="1664"/>
    <n v="4"/>
    <x v="1"/>
    <n v="79"/>
    <n v="4"/>
    <n v="2"/>
    <x v="4"/>
    <x v="3"/>
    <s v="Divorced"/>
    <n v="6842"/>
    <n v="26308"/>
    <n v="6"/>
    <x v="1"/>
    <n v="20"/>
    <n v="4"/>
    <n v="1"/>
    <n v="1"/>
    <n v="13"/>
    <n v="3"/>
    <n v="3"/>
    <n v="5"/>
    <n v="4"/>
    <n v="0"/>
    <n v="4"/>
    <x v="3"/>
    <n v="0"/>
    <s v="30–39"/>
    <x v="1"/>
    <n v="1"/>
    <s v="Low"/>
  </r>
  <r>
    <n v="54"/>
    <s v="No"/>
    <s v="Travel_Rarely"/>
    <n v="584"/>
    <x v="1"/>
    <n v="22"/>
    <n v="5"/>
    <s v="Medical"/>
    <n v="1665"/>
    <n v="2"/>
    <x v="0"/>
    <n v="91"/>
    <n v="3"/>
    <n v="4"/>
    <x v="5"/>
    <x v="2"/>
    <s v="Married"/>
    <n v="17426"/>
    <n v="18685"/>
    <n v="3"/>
    <x v="1"/>
    <n v="25"/>
    <n v="4"/>
    <n v="3"/>
    <n v="1"/>
    <n v="36"/>
    <n v="6"/>
    <n v="3"/>
    <n v="10"/>
    <n v="8"/>
    <n v="4"/>
    <n v="7"/>
    <x v="0"/>
    <n v="0"/>
    <s v="30–39"/>
    <x v="2"/>
    <n v="0"/>
    <s v="Low"/>
  </r>
  <r>
    <n v="43"/>
    <s v="No"/>
    <s v="Travel_Rarely"/>
    <n v="1291"/>
    <x v="1"/>
    <n v="15"/>
    <n v="2"/>
    <s v="Life Sciences"/>
    <n v="1666"/>
    <n v="3"/>
    <x v="1"/>
    <n v="65"/>
    <n v="2"/>
    <n v="4"/>
    <x v="7"/>
    <x v="2"/>
    <s v="Married"/>
    <n v="17603"/>
    <n v="3525"/>
    <n v="1"/>
    <x v="1"/>
    <n v="24"/>
    <n v="4"/>
    <n v="1"/>
    <n v="1"/>
    <n v="14"/>
    <n v="3"/>
    <n v="3"/>
    <n v="14"/>
    <n v="10"/>
    <n v="6"/>
    <n v="11"/>
    <x v="0"/>
    <n v="0"/>
    <s v="50+"/>
    <x v="2"/>
    <n v="0"/>
    <s v="Low"/>
  </r>
  <r>
    <n v="35"/>
    <s v="Yes"/>
    <s v="Travel_Frequently"/>
    <n v="880"/>
    <x v="0"/>
    <n v="12"/>
    <n v="4"/>
    <s v="Other"/>
    <n v="1667"/>
    <n v="4"/>
    <x v="1"/>
    <n v="36"/>
    <n v="3"/>
    <n v="2"/>
    <x v="0"/>
    <x v="0"/>
    <s v="Single"/>
    <n v="4581"/>
    <n v="10414"/>
    <n v="3"/>
    <x v="0"/>
    <n v="24"/>
    <n v="4"/>
    <n v="1"/>
    <n v="0"/>
    <n v="13"/>
    <n v="2"/>
    <n v="4"/>
    <n v="11"/>
    <n v="9"/>
    <n v="6"/>
    <n v="7"/>
    <x v="0"/>
    <n v="1"/>
    <s v="40–49"/>
    <x v="0"/>
    <n v="1"/>
    <s v="Low"/>
  </r>
  <r>
    <n v="38"/>
    <s v="No"/>
    <s v="Travel_Frequently"/>
    <n v="1189"/>
    <x v="1"/>
    <n v="1"/>
    <n v="3"/>
    <s v="Life Sciences"/>
    <n v="1668"/>
    <n v="4"/>
    <x v="1"/>
    <n v="90"/>
    <n v="3"/>
    <n v="2"/>
    <x v="1"/>
    <x v="0"/>
    <s v="Married"/>
    <n v="4735"/>
    <n v="9867"/>
    <n v="7"/>
    <x v="1"/>
    <n v="15"/>
    <n v="3"/>
    <n v="4"/>
    <n v="2"/>
    <n v="19"/>
    <n v="4"/>
    <n v="4"/>
    <n v="13"/>
    <n v="11"/>
    <n v="2"/>
    <n v="9"/>
    <x v="0"/>
    <n v="0"/>
    <s v="30–39"/>
    <x v="0"/>
    <n v="0"/>
    <s v="Low"/>
  </r>
  <r>
    <n v="29"/>
    <s v="No"/>
    <s v="Travel_Rarely"/>
    <n v="991"/>
    <x v="0"/>
    <n v="5"/>
    <n v="3"/>
    <s v="Medical"/>
    <n v="1669"/>
    <n v="1"/>
    <x v="1"/>
    <n v="43"/>
    <n v="2"/>
    <n v="2"/>
    <x v="0"/>
    <x v="1"/>
    <s v="Divorced"/>
    <n v="4187"/>
    <n v="3356"/>
    <n v="1"/>
    <x v="0"/>
    <n v="13"/>
    <n v="3"/>
    <n v="2"/>
    <n v="1"/>
    <n v="10"/>
    <n v="3"/>
    <n v="2"/>
    <n v="10"/>
    <n v="0"/>
    <n v="0"/>
    <n v="9"/>
    <x v="0"/>
    <n v="0"/>
    <s v="30–39"/>
    <x v="1"/>
    <n v="2"/>
    <s v="Medium"/>
  </r>
  <r>
    <n v="33"/>
    <s v="No"/>
    <s v="Travel_Rarely"/>
    <n v="392"/>
    <x v="0"/>
    <n v="2"/>
    <n v="4"/>
    <s v="Medical"/>
    <n v="1670"/>
    <n v="4"/>
    <x v="1"/>
    <n v="93"/>
    <n v="3"/>
    <n v="2"/>
    <x v="0"/>
    <x v="0"/>
    <s v="Divorced"/>
    <n v="5505"/>
    <n v="3921"/>
    <n v="1"/>
    <x v="1"/>
    <n v="14"/>
    <n v="3"/>
    <n v="3"/>
    <n v="2"/>
    <n v="6"/>
    <n v="5"/>
    <n v="3"/>
    <n v="6"/>
    <n v="2"/>
    <n v="0"/>
    <n v="4"/>
    <x v="0"/>
    <n v="0"/>
    <s v="&lt;30"/>
    <x v="0"/>
    <n v="0"/>
    <s v="Low"/>
  </r>
  <r>
    <n v="32"/>
    <s v="No"/>
    <s v="Travel_Rarely"/>
    <n v="977"/>
    <x v="1"/>
    <n v="2"/>
    <n v="3"/>
    <s v="Medical"/>
    <n v="1671"/>
    <n v="4"/>
    <x v="1"/>
    <n v="45"/>
    <n v="3"/>
    <n v="2"/>
    <x v="1"/>
    <x v="1"/>
    <s v="Divorced"/>
    <n v="5470"/>
    <n v="25518"/>
    <n v="0"/>
    <x v="1"/>
    <n v="13"/>
    <n v="3"/>
    <n v="3"/>
    <n v="2"/>
    <n v="10"/>
    <n v="4"/>
    <n v="2"/>
    <n v="9"/>
    <n v="5"/>
    <n v="1"/>
    <n v="6"/>
    <x v="0"/>
    <n v="0"/>
    <s v="30–39"/>
    <x v="1"/>
    <n v="1"/>
    <s v="Low"/>
  </r>
  <r>
    <n v="31"/>
    <s v="No"/>
    <s v="Travel_Rarely"/>
    <n v="1112"/>
    <x v="0"/>
    <n v="5"/>
    <n v="4"/>
    <s v="Life Sciences"/>
    <n v="1673"/>
    <n v="1"/>
    <x v="0"/>
    <n v="67"/>
    <n v="3"/>
    <n v="2"/>
    <x v="0"/>
    <x v="0"/>
    <s v="Married"/>
    <n v="5476"/>
    <n v="22589"/>
    <n v="1"/>
    <x v="1"/>
    <n v="11"/>
    <n v="3"/>
    <n v="1"/>
    <n v="2"/>
    <n v="10"/>
    <n v="2"/>
    <n v="3"/>
    <n v="10"/>
    <n v="0"/>
    <n v="0"/>
    <n v="2"/>
    <x v="0"/>
    <n v="0"/>
    <s v="30–39"/>
    <x v="0"/>
    <n v="0"/>
    <s v="Low"/>
  </r>
  <r>
    <n v="49"/>
    <s v="No"/>
    <s v="Travel_Rarely"/>
    <n v="464"/>
    <x v="1"/>
    <n v="16"/>
    <n v="3"/>
    <s v="Medical"/>
    <n v="1674"/>
    <n v="4"/>
    <x v="0"/>
    <n v="74"/>
    <n v="3"/>
    <n v="1"/>
    <x v="2"/>
    <x v="3"/>
    <s v="Divorced"/>
    <n v="2587"/>
    <n v="24941"/>
    <n v="4"/>
    <x v="0"/>
    <n v="16"/>
    <n v="3"/>
    <n v="2"/>
    <n v="1"/>
    <n v="17"/>
    <n v="2"/>
    <n v="2"/>
    <n v="2"/>
    <n v="2"/>
    <n v="2"/>
    <n v="2"/>
    <x v="2"/>
    <n v="0"/>
    <s v="30–39"/>
    <x v="1"/>
    <n v="3"/>
    <s v="High"/>
  </r>
  <r>
    <n v="38"/>
    <s v="No"/>
    <s v="Travel_Frequently"/>
    <n v="148"/>
    <x v="1"/>
    <n v="2"/>
    <n v="3"/>
    <s v="Medical"/>
    <n v="1675"/>
    <n v="4"/>
    <x v="0"/>
    <n v="42"/>
    <n v="2"/>
    <n v="1"/>
    <x v="2"/>
    <x v="1"/>
    <s v="Single"/>
    <n v="2440"/>
    <n v="23826"/>
    <n v="1"/>
    <x v="1"/>
    <n v="22"/>
    <n v="4"/>
    <n v="2"/>
    <n v="0"/>
    <n v="4"/>
    <n v="3"/>
    <n v="3"/>
    <n v="4"/>
    <n v="3"/>
    <n v="3"/>
    <n v="3"/>
    <x v="3"/>
    <n v="0"/>
    <s v="40–49"/>
    <x v="1"/>
    <n v="1"/>
    <s v="Low"/>
  </r>
  <r>
    <n v="47"/>
    <s v="No"/>
    <s v="Travel_Rarely"/>
    <n v="1225"/>
    <x v="0"/>
    <n v="2"/>
    <n v="4"/>
    <s v="Life Sciences"/>
    <n v="1676"/>
    <n v="2"/>
    <x v="0"/>
    <n v="47"/>
    <n v="4"/>
    <n v="4"/>
    <x v="5"/>
    <x v="1"/>
    <s v="Divorced"/>
    <n v="15972"/>
    <n v="21086"/>
    <n v="6"/>
    <x v="1"/>
    <n v="14"/>
    <n v="3"/>
    <n v="3"/>
    <n v="3"/>
    <n v="29"/>
    <n v="2"/>
    <n v="3"/>
    <n v="3"/>
    <n v="2"/>
    <n v="1"/>
    <n v="2"/>
    <x v="2"/>
    <n v="0"/>
    <s v="30–39"/>
    <x v="1"/>
    <n v="2"/>
    <s v="Medium"/>
  </r>
  <r>
    <n v="49"/>
    <s v="No"/>
    <s v="Travel_Rarely"/>
    <n v="809"/>
    <x v="1"/>
    <n v="1"/>
    <n v="3"/>
    <s v="Life Sciences"/>
    <n v="1677"/>
    <n v="3"/>
    <x v="1"/>
    <n v="36"/>
    <n v="3"/>
    <n v="4"/>
    <x v="5"/>
    <x v="2"/>
    <s v="Single"/>
    <n v="15379"/>
    <n v="22384"/>
    <n v="4"/>
    <x v="1"/>
    <n v="14"/>
    <n v="3"/>
    <n v="1"/>
    <n v="0"/>
    <n v="23"/>
    <n v="2"/>
    <n v="3"/>
    <n v="8"/>
    <n v="7"/>
    <n v="0"/>
    <n v="0"/>
    <x v="0"/>
    <n v="0"/>
    <s v="40–49"/>
    <x v="2"/>
    <n v="0"/>
    <s v="Low"/>
  </r>
  <r>
    <n v="41"/>
    <s v="No"/>
    <s v="Travel_Rarely"/>
    <n v="1206"/>
    <x v="0"/>
    <n v="23"/>
    <n v="2"/>
    <s v="Life Sciences"/>
    <n v="1678"/>
    <n v="4"/>
    <x v="1"/>
    <n v="80"/>
    <n v="3"/>
    <n v="3"/>
    <x v="0"/>
    <x v="2"/>
    <s v="Single"/>
    <n v="7082"/>
    <n v="11591"/>
    <n v="3"/>
    <x v="0"/>
    <n v="16"/>
    <n v="3"/>
    <n v="4"/>
    <n v="0"/>
    <n v="21"/>
    <n v="2"/>
    <n v="3"/>
    <n v="2"/>
    <n v="0"/>
    <n v="0"/>
    <n v="2"/>
    <x v="2"/>
    <n v="0"/>
    <s v="40–49"/>
    <x v="2"/>
    <n v="2"/>
    <s v="Medium"/>
  </r>
  <r>
    <n v="20"/>
    <s v="No"/>
    <s v="Travel_Rarely"/>
    <n v="727"/>
    <x v="0"/>
    <n v="9"/>
    <n v="1"/>
    <s v="Life Sciences"/>
    <n v="1680"/>
    <n v="4"/>
    <x v="1"/>
    <n v="54"/>
    <n v="3"/>
    <n v="1"/>
    <x v="6"/>
    <x v="3"/>
    <s v="Single"/>
    <n v="2728"/>
    <n v="21082"/>
    <n v="1"/>
    <x v="1"/>
    <n v="11"/>
    <n v="3"/>
    <n v="1"/>
    <n v="0"/>
    <n v="2"/>
    <n v="3"/>
    <n v="3"/>
    <n v="2"/>
    <n v="2"/>
    <n v="0"/>
    <n v="2"/>
    <x v="2"/>
    <n v="0"/>
    <s v="40–49"/>
    <x v="1"/>
    <n v="2"/>
    <s v="Medium"/>
  </r>
  <r>
    <n v="33"/>
    <s v="No"/>
    <s v="Non-Travel"/>
    <n v="530"/>
    <x v="0"/>
    <n v="16"/>
    <n v="3"/>
    <s v="Life Sciences"/>
    <n v="1681"/>
    <n v="3"/>
    <x v="0"/>
    <n v="36"/>
    <n v="3"/>
    <n v="2"/>
    <x v="0"/>
    <x v="0"/>
    <s v="Divorced"/>
    <n v="5368"/>
    <n v="16130"/>
    <n v="1"/>
    <x v="0"/>
    <n v="25"/>
    <n v="4"/>
    <n v="3"/>
    <n v="1"/>
    <n v="7"/>
    <n v="2"/>
    <n v="3"/>
    <n v="6"/>
    <n v="5"/>
    <n v="1"/>
    <n v="2"/>
    <x v="0"/>
    <n v="0"/>
    <s v="&lt;30"/>
    <x v="0"/>
    <n v="1"/>
    <s v="Low"/>
  </r>
  <r>
    <n v="36"/>
    <s v="No"/>
    <s v="Travel_Rarely"/>
    <n v="1351"/>
    <x v="1"/>
    <n v="26"/>
    <n v="4"/>
    <s v="Life Sciences"/>
    <n v="1682"/>
    <n v="1"/>
    <x v="1"/>
    <n v="80"/>
    <n v="3"/>
    <n v="2"/>
    <x v="4"/>
    <x v="2"/>
    <s v="Married"/>
    <n v="5347"/>
    <n v="7419"/>
    <n v="6"/>
    <x v="1"/>
    <n v="14"/>
    <n v="3"/>
    <n v="2"/>
    <n v="2"/>
    <n v="10"/>
    <n v="2"/>
    <n v="2"/>
    <n v="3"/>
    <n v="2"/>
    <n v="0"/>
    <n v="2"/>
    <x v="2"/>
    <n v="0"/>
    <s v="30–39"/>
    <x v="2"/>
    <n v="1"/>
    <s v="Low"/>
  </r>
  <r>
    <n v="44"/>
    <s v="No"/>
    <s v="Travel_Rarely"/>
    <n v="528"/>
    <x v="2"/>
    <n v="1"/>
    <n v="3"/>
    <s v="Life Sciences"/>
    <n v="1683"/>
    <n v="3"/>
    <x v="0"/>
    <n v="44"/>
    <n v="3"/>
    <n v="1"/>
    <x v="8"/>
    <x v="0"/>
    <s v="Divorced"/>
    <n v="3195"/>
    <n v="4167"/>
    <n v="4"/>
    <x v="0"/>
    <n v="18"/>
    <n v="3"/>
    <n v="1"/>
    <n v="3"/>
    <n v="8"/>
    <n v="2"/>
    <n v="3"/>
    <n v="2"/>
    <n v="2"/>
    <n v="2"/>
    <n v="2"/>
    <x v="2"/>
    <n v="0"/>
    <s v="30–39"/>
    <x v="0"/>
    <n v="2"/>
    <s v="Medium"/>
  </r>
  <r>
    <n v="23"/>
    <s v="Yes"/>
    <s v="Travel_Rarely"/>
    <n v="1320"/>
    <x v="1"/>
    <n v="8"/>
    <n v="1"/>
    <s v="Medical"/>
    <n v="1684"/>
    <n v="4"/>
    <x v="1"/>
    <n v="93"/>
    <n v="2"/>
    <n v="1"/>
    <x v="2"/>
    <x v="2"/>
    <s v="Single"/>
    <n v="3989"/>
    <n v="20586"/>
    <n v="1"/>
    <x v="0"/>
    <n v="11"/>
    <n v="3"/>
    <n v="1"/>
    <n v="0"/>
    <n v="5"/>
    <n v="2"/>
    <n v="3"/>
    <n v="5"/>
    <n v="4"/>
    <n v="1"/>
    <n v="2"/>
    <x v="3"/>
    <n v="1"/>
    <s v="40–49"/>
    <x v="2"/>
    <n v="1"/>
    <s v="Low"/>
  </r>
  <r>
    <n v="38"/>
    <s v="No"/>
    <s v="Travel_Rarely"/>
    <n v="1495"/>
    <x v="1"/>
    <n v="4"/>
    <n v="2"/>
    <s v="Medical"/>
    <n v="1687"/>
    <n v="4"/>
    <x v="0"/>
    <n v="87"/>
    <n v="3"/>
    <n v="1"/>
    <x v="2"/>
    <x v="2"/>
    <s v="Married"/>
    <n v="3306"/>
    <n v="26176"/>
    <n v="7"/>
    <x v="1"/>
    <n v="19"/>
    <n v="3"/>
    <n v="4"/>
    <n v="1"/>
    <n v="7"/>
    <n v="5"/>
    <n v="2"/>
    <n v="0"/>
    <n v="0"/>
    <n v="0"/>
    <n v="0"/>
    <x v="1"/>
    <n v="0"/>
    <s v="&lt;30"/>
    <x v="2"/>
    <n v="1"/>
    <s v="Low"/>
  </r>
  <r>
    <n v="53"/>
    <s v="No"/>
    <s v="Travel_Rarely"/>
    <n v="1395"/>
    <x v="1"/>
    <n v="24"/>
    <n v="4"/>
    <s v="Medical"/>
    <n v="1689"/>
    <n v="2"/>
    <x v="1"/>
    <n v="48"/>
    <n v="4"/>
    <n v="3"/>
    <x v="4"/>
    <x v="0"/>
    <s v="Married"/>
    <n v="7005"/>
    <n v="3458"/>
    <n v="3"/>
    <x v="1"/>
    <n v="15"/>
    <n v="3"/>
    <n v="3"/>
    <n v="0"/>
    <n v="11"/>
    <n v="2"/>
    <n v="3"/>
    <n v="4"/>
    <n v="3"/>
    <n v="1"/>
    <n v="2"/>
    <x v="3"/>
    <n v="0"/>
    <s v="30–39"/>
    <x v="0"/>
    <n v="0"/>
    <s v="Low"/>
  </r>
  <r>
    <n v="48"/>
    <s v="Yes"/>
    <s v="Travel_Frequently"/>
    <n v="708"/>
    <x v="0"/>
    <n v="7"/>
    <n v="2"/>
    <s v="Medical"/>
    <n v="1691"/>
    <n v="4"/>
    <x v="0"/>
    <n v="95"/>
    <n v="3"/>
    <n v="1"/>
    <x v="6"/>
    <x v="2"/>
    <s v="Married"/>
    <n v="2655"/>
    <n v="11740"/>
    <n v="2"/>
    <x v="0"/>
    <n v="11"/>
    <n v="3"/>
    <n v="3"/>
    <n v="2"/>
    <n v="19"/>
    <n v="3"/>
    <n v="3"/>
    <n v="9"/>
    <n v="7"/>
    <n v="7"/>
    <n v="7"/>
    <x v="0"/>
    <n v="1"/>
    <s v="50+"/>
    <x v="2"/>
    <n v="1"/>
    <s v="Low"/>
  </r>
  <r>
    <n v="32"/>
    <s v="Yes"/>
    <s v="Travel_Rarely"/>
    <n v="1259"/>
    <x v="1"/>
    <n v="2"/>
    <n v="4"/>
    <s v="Life Sciences"/>
    <n v="1692"/>
    <n v="4"/>
    <x v="1"/>
    <n v="95"/>
    <n v="3"/>
    <n v="1"/>
    <x v="2"/>
    <x v="1"/>
    <s v="Single"/>
    <n v="1393"/>
    <n v="24852"/>
    <n v="1"/>
    <x v="1"/>
    <n v="12"/>
    <n v="3"/>
    <n v="1"/>
    <n v="0"/>
    <n v="1"/>
    <n v="2"/>
    <n v="3"/>
    <n v="1"/>
    <n v="0"/>
    <n v="0"/>
    <n v="0"/>
    <x v="2"/>
    <n v="1"/>
    <s v="40–49"/>
    <x v="1"/>
    <n v="2"/>
    <s v="Medium"/>
  </r>
  <r>
    <n v="26"/>
    <s v="No"/>
    <s v="Non-Travel"/>
    <n v="786"/>
    <x v="1"/>
    <n v="7"/>
    <n v="3"/>
    <s v="Medical"/>
    <n v="1693"/>
    <n v="4"/>
    <x v="1"/>
    <n v="76"/>
    <n v="3"/>
    <n v="1"/>
    <x v="2"/>
    <x v="0"/>
    <s v="Single"/>
    <n v="2570"/>
    <n v="11925"/>
    <n v="1"/>
    <x v="1"/>
    <n v="20"/>
    <n v="4"/>
    <n v="3"/>
    <n v="0"/>
    <n v="7"/>
    <n v="5"/>
    <n v="3"/>
    <n v="7"/>
    <n v="7"/>
    <n v="5"/>
    <n v="7"/>
    <x v="0"/>
    <n v="0"/>
    <s v="30–39"/>
    <x v="0"/>
    <n v="0"/>
    <s v="Low"/>
  </r>
  <r>
    <n v="55"/>
    <s v="No"/>
    <s v="Travel_Rarely"/>
    <n v="1441"/>
    <x v="1"/>
    <n v="22"/>
    <n v="3"/>
    <s v="Technical Degree"/>
    <n v="1694"/>
    <n v="1"/>
    <x v="1"/>
    <n v="94"/>
    <n v="2"/>
    <n v="1"/>
    <x v="1"/>
    <x v="1"/>
    <s v="Divorced"/>
    <n v="3537"/>
    <n v="23737"/>
    <n v="5"/>
    <x v="1"/>
    <n v="12"/>
    <n v="3"/>
    <n v="4"/>
    <n v="1"/>
    <n v="8"/>
    <n v="1"/>
    <n v="3"/>
    <n v="4"/>
    <n v="2"/>
    <n v="1"/>
    <n v="2"/>
    <x v="3"/>
    <n v="0"/>
    <s v="&lt;30"/>
    <x v="1"/>
    <n v="1"/>
    <s v="Low"/>
  </r>
  <r>
    <n v="34"/>
    <s v="No"/>
    <s v="Travel_Rarely"/>
    <n v="1157"/>
    <x v="1"/>
    <n v="5"/>
    <n v="2"/>
    <s v="Medical"/>
    <n v="1696"/>
    <n v="2"/>
    <x v="1"/>
    <n v="57"/>
    <n v="2"/>
    <n v="2"/>
    <x v="2"/>
    <x v="0"/>
    <s v="Married"/>
    <n v="3986"/>
    <n v="11912"/>
    <n v="1"/>
    <x v="1"/>
    <n v="14"/>
    <n v="3"/>
    <n v="3"/>
    <n v="1"/>
    <n v="15"/>
    <n v="3"/>
    <n v="4"/>
    <n v="15"/>
    <n v="10"/>
    <n v="4"/>
    <n v="13"/>
    <x v="0"/>
    <n v="0"/>
    <s v="50+"/>
    <x v="0"/>
    <n v="0"/>
    <s v="Low"/>
  </r>
  <r>
    <n v="60"/>
    <s v="No"/>
    <s v="Travel_Rarely"/>
    <n v="370"/>
    <x v="1"/>
    <n v="1"/>
    <n v="4"/>
    <s v="Medical"/>
    <n v="1697"/>
    <n v="3"/>
    <x v="1"/>
    <n v="92"/>
    <n v="1"/>
    <n v="3"/>
    <x v="4"/>
    <x v="0"/>
    <s v="Divorced"/>
    <n v="10883"/>
    <n v="20467"/>
    <n v="3"/>
    <x v="1"/>
    <n v="20"/>
    <n v="4"/>
    <n v="3"/>
    <n v="1"/>
    <n v="19"/>
    <n v="2"/>
    <n v="4"/>
    <n v="1"/>
    <n v="0"/>
    <n v="0"/>
    <n v="0"/>
    <x v="2"/>
    <n v="0"/>
    <s v="30–39"/>
    <x v="0"/>
    <n v="1"/>
    <s v="Low"/>
  </r>
  <r>
    <n v="33"/>
    <s v="No"/>
    <s v="Travel_Rarely"/>
    <n v="267"/>
    <x v="1"/>
    <n v="21"/>
    <n v="3"/>
    <s v="Medical"/>
    <n v="1698"/>
    <n v="2"/>
    <x v="1"/>
    <n v="79"/>
    <n v="4"/>
    <n v="1"/>
    <x v="2"/>
    <x v="1"/>
    <s v="Married"/>
    <n v="2028"/>
    <n v="13637"/>
    <n v="1"/>
    <x v="1"/>
    <n v="18"/>
    <n v="3"/>
    <n v="4"/>
    <n v="3"/>
    <n v="14"/>
    <n v="6"/>
    <n v="3"/>
    <n v="14"/>
    <n v="11"/>
    <n v="2"/>
    <n v="13"/>
    <x v="0"/>
    <n v="0"/>
    <s v="50+"/>
    <x v="1"/>
    <n v="1"/>
    <s v="Low"/>
  </r>
  <r>
    <n v="37"/>
    <s v="No"/>
    <s v="Travel_Frequently"/>
    <n v="1278"/>
    <x v="0"/>
    <n v="1"/>
    <n v="4"/>
    <s v="Medical"/>
    <n v="1700"/>
    <n v="3"/>
    <x v="1"/>
    <n v="31"/>
    <n v="1"/>
    <n v="2"/>
    <x v="0"/>
    <x v="0"/>
    <s v="Divorced"/>
    <n v="9525"/>
    <n v="7677"/>
    <n v="1"/>
    <x v="1"/>
    <n v="14"/>
    <n v="3"/>
    <n v="3"/>
    <n v="2"/>
    <n v="6"/>
    <n v="2"/>
    <n v="2"/>
    <n v="6"/>
    <n v="3"/>
    <n v="1"/>
    <n v="3"/>
    <x v="0"/>
    <n v="0"/>
    <s v="30–39"/>
    <x v="0"/>
    <n v="0"/>
    <s v="Low"/>
  </r>
  <r>
    <n v="34"/>
    <s v="No"/>
    <s v="Travel_Rarely"/>
    <n v="678"/>
    <x v="1"/>
    <n v="19"/>
    <n v="3"/>
    <s v="Life Sciences"/>
    <n v="1701"/>
    <n v="2"/>
    <x v="0"/>
    <n v="35"/>
    <n v="2"/>
    <n v="1"/>
    <x v="1"/>
    <x v="0"/>
    <s v="Married"/>
    <n v="2929"/>
    <n v="20338"/>
    <n v="1"/>
    <x v="1"/>
    <n v="12"/>
    <n v="3"/>
    <n v="2"/>
    <n v="0"/>
    <n v="10"/>
    <n v="3"/>
    <n v="3"/>
    <n v="10"/>
    <n v="9"/>
    <n v="8"/>
    <n v="7"/>
    <x v="0"/>
    <n v="0"/>
    <s v="30–39"/>
    <x v="0"/>
    <n v="0"/>
    <s v="Low"/>
  </r>
  <r>
    <n v="23"/>
    <s v="Yes"/>
    <s v="Travel_Rarely"/>
    <n v="427"/>
    <x v="0"/>
    <n v="7"/>
    <n v="3"/>
    <s v="Life Sciences"/>
    <n v="1702"/>
    <n v="3"/>
    <x v="1"/>
    <n v="99"/>
    <n v="3"/>
    <n v="1"/>
    <x v="6"/>
    <x v="0"/>
    <s v="Divorced"/>
    <n v="2275"/>
    <n v="25103"/>
    <n v="1"/>
    <x v="0"/>
    <n v="21"/>
    <n v="4"/>
    <n v="2"/>
    <n v="1"/>
    <n v="3"/>
    <n v="2"/>
    <n v="3"/>
    <n v="3"/>
    <n v="2"/>
    <n v="0"/>
    <n v="2"/>
    <x v="2"/>
    <n v="1"/>
    <s v="30–39"/>
    <x v="0"/>
    <n v="2"/>
    <s v="Medium"/>
  </r>
  <r>
    <n v="44"/>
    <s v="No"/>
    <s v="Travel_Rarely"/>
    <n v="921"/>
    <x v="1"/>
    <n v="2"/>
    <n v="3"/>
    <s v="Life Sciences"/>
    <n v="1703"/>
    <n v="3"/>
    <x v="0"/>
    <n v="96"/>
    <n v="4"/>
    <n v="3"/>
    <x v="4"/>
    <x v="0"/>
    <s v="Married"/>
    <n v="7879"/>
    <n v="14810"/>
    <n v="1"/>
    <x v="0"/>
    <n v="19"/>
    <n v="3"/>
    <n v="2"/>
    <n v="1"/>
    <n v="9"/>
    <n v="2"/>
    <n v="3"/>
    <n v="8"/>
    <n v="7"/>
    <n v="6"/>
    <n v="7"/>
    <x v="0"/>
    <n v="0"/>
    <s v="&lt;30"/>
    <x v="0"/>
    <n v="1"/>
    <s v="Low"/>
  </r>
  <r>
    <n v="35"/>
    <s v="No"/>
    <s v="Travel_Frequently"/>
    <n v="146"/>
    <x v="1"/>
    <n v="2"/>
    <n v="4"/>
    <s v="Medical"/>
    <n v="1704"/>
    <n v="1"/>
    <x v="1"/>
    <n v="79"/>
    <n v="2"/>
    <n v="1"/>
    <x v="1"/>
    <x v="0"/>
    <s v="Single"/>
    <n v="4930"/>
    <n v="13970"/>
    <n v="0"/>
    <x v="0"/>
    <n v="14"/>
    <n v="3"/>
    <n v="3"/>
    <n v="0"/>
    <n v="6"/>
    <n v="2"/>
    <n v="4"/>
    <n v="5"/>
    <n v="4"/>
    <n v="1"/>
    <n v="4"/>
    <x v="3"/>
    <n v="0"/>
    <s v="40–49"/>
    <x v="0"/>
    <n v="1"/>
    <s v="Low"/>
  </r>
  <r>
    <n v="43"/>
    <s v="No"/>
    <s v="Travel_Rarely"/>
    <n v="1179"/>
    <x v="0"/>
    <n v="2"/>
    <n v="3"/>
    <s v="Medical"/>
    <n v="1706"/>
    <n v="4"/>
    <x v="1"/>
    <n v="73"/>
    <n v="3"/>
    <n v="2"/>
    <x v="0"/>
    <x v="0"/>
    <s v="Married"/>
    <n v="7847"/>
    <n v="6069"/>
    <n v="1"/>
    <x v="0"/>
    <n v="17"/>
    <n v="3"/>
    <n v="1"/>
    <n v="1"/>
    <n v="10"/>
    <n v="3"/>
    <n v="3"/>
    <n v="10"/>
    <n v="9"/>
    <n v="8"/>
    <n v="8"/>
    <x v="0"/>
    <n v="0"/>
    <s v="30–39"/>
    <x v="0"/>
    <n v="1"/>
    <s v="Low"/>
  </r>
  <r>
    <n v="24"/>
    <s v="No"/>
    <s v="Travel_Rarely"/>
    <n v="581"/>
    <x v="1"/>
    <n v="9"/>
    <n v="3"/>
    <s v="Medical"/>
    <n v="1707"/>
    <n v="3"/>
    <x v="1"/>
    <n v="62"/>
    <n v="4"/>
    <n v="1"/>
    <x v="1"/>
    <x v="2"/>
    <s v="Married"/>
    <n v="4401"/>
    <n v="17616"/>
    <n v="1"/>
    <x v="1"/>
    <n v="16"/>
    <n v="3"/>
    <n v="4"/>
    <n v="1"/>
    <n v="5"/>
    <n v="1"/>
    <n v="3"/>
    <n v="5"/>
    <n v="3"/>
    <n v="0"/>
    <n v="4"/>
    <x v="3"/>
    <n v="0"/>
    <s v="40–49"/>
    <x v="2"/>
    <n v="0"/>
    <s v="Low"/>
  </r>
  <r>
    <n v="41"/>
    <s v="No"/>
    <s v="Travel_Rarely"/>
    <n v="918"/>
    <x v="0"/>
    <n v="6"/>
    <n v="3"/>
    <s v="Marketing"/>
    <n v="1708"/>
    <n v="4"/>
    <x v="1"/>
    <n v="35"/>
    <n v="3"/>
    <n v="3"/>
    <x v="0"/>
    <x v="2"/>
    <s v="Single"/>
    <n v="9241"/>
    <n v="15869"/>
    <n v="1"/>
    <x v="1"/>
    <n v="12"/>
    <n v="3"/>
    <n v="2"/>
    <n v="0"/>
    <n v="10"/>
    <n v="3"/>
    <n v="3"/>
    <n v="10"/>
    <n v="8"/>
    <n v="8"/>
    <n v="7"/>
    <x v="0"/>
    <n v="0"/>
    <s v="&lt;30"/>
    <x v="2"/>
    <n v="0"/>
    <s v="Low"/>
  </r>
  <r>
    <n v="29"/>
    <s v="No"/>
    <s v="Travel_Rarely"/>
    <n v="1082"/>
    <x v="1"/>
    <n v="9"/>
    <n v="4"/>
    <s v="Medical"/>
    <n v="1709"/>
    <n v="4"/>
    <x v="0"/>
    <n v="43"/>
    <n v="3"/>
    <n v="1"/>
    <x v="2"/>
    <x v="2"/>
    <s v="Married"/>
    <n v="2974"/>
    <n v="25412"/>
    <n v="9"/>
    <x v="1"/>
    <n v="17"/>
    <n v="3"/>
    <n v="3"/>
    <n v="1"/>
    <n v="9"/>
    <n v="2"/>
    <n v="3"/>
    <n v="5"/>
    <n v="3"/>
    <n v="1"/>
    <n v="2"/>
    <x v="3"/>
    <n v="0"/>
    <s v="40–49"/>
    <x v="2"/>
    <n v="0"/>
    <s v="Low"/>
  </r>
  <r>
    <n v="36"/>
    <s v="No"/>
    <s v="Travel_Rarely"/>
    <n v="530"/>
    <x v="0"/>
    <n v="2"/>
    <n v="4"/>
    <s v="Life Sciences"/>
    <n v="1710"/>
    <n v="3"/>
    <x v="0"/>
    <n v="51"/>
    <n v="3"/>
    <n v="2"/>
    <x v="6"/>
    <x v="0"/>
    <s v="Single"/>
    <n v="4502"/>
    <n v="7439"/>
    <n v="3"/>
    <x v="1"/>
    <n v="15"/>
    <n v="3"/>
    <n v="3"/>
    <n v="0"/>
    <n v="17"/>
    <n v="2"/>
    <n v="2"/>
    <n v="13"/>
    <n v="7"/>
    <n v="6"/>
    <n v="7"/>
    <x v="0"/>
    <n v="0"/>
    <s v="&lt;30"/>
    <x v="0"/>
    <n v="0"/>
    <s v="Low"/>
  </r>
  <r>
    <n v="45"/>
    <s v="No"/>
    <s v="Non-Travel"/>
    <n v="1238"/>
    <x v="1"/>
    <n v="1"/>
    <n v="1"/>
    <s v="Life Sciences"/>
    <n v="1712"/>
    <n v="3"/>
    <x v="1"/>
    <n v="74"/>
    <n v="2"/>
    <n v="3"/>
    <x v="4"/>
    <x v="2"/>
    <s v="Married"/>
    <n v="10748"/>
    <n v="3395"/>
    <n v="3"/>
    <x v="1"/>
    <n v="23"/>
    <n v="4"/>
    <n v="4"/>
    <n v="1"/>
    <n v="25"/>
    <n v="3"/>
    <n v="2"/>
    <n v="23"/>
    <n v="15"/>
    <n v="14"/>
    <n v="4"/>
    <x v="0"/>
    <n v="0"/>
    <s v="30–39"/>
    <x v="2"/>
    <n v="0"/>
    <s v="Low"/>
  </r>
  <r>
    <n v="24"/>
    <s v="Yes"/>
    <s v="Travel_Rarely"/>
    <n v="240"/>
    <x v="2"/>
    <n v="22"/>
    <n v="1"/>
    <s v="Human Resources"/>
    <n v="1714"/>
    <n v="4"/>
    <x v="1"/>
    <n v="58"/>
    <n v="1"/>
    <n v="1"/>
    <x v="8"/>
    <x v="2"/>
    <s v="Married"/>
    <n v="1555"/>
    <n v="11585"/>
    <n v="1"/>
    <x v="1"/>
    <n v="11"/>
    <n v="3"/>
    <n v="3"/>
    <n v="1"/>
    <n v="1"/>
    <n v="2"/>
    <n v="3"/>
    <n v="1"/>
    <n v="0"/>
    <n v="0"/>
    <n v="0"/>
    <x v="2"/>
    <n v="1"/>
    <s v="40–49"/>
    <x v="2"/>
    <n v="1"/>
    <s v="Low"/>
  </r>
  <r>
    <n v="47"/>
    <s v="Yes"/>
    <s v="Travel_Frequently"/>
    <n v="1093"/>
    <x v="0"/>
    <n v="9"/>
    <n v="3"/>
    <s v="Life Sciences"/>
    <n v="1716"/>
    <n v="3"/>
    <x v="1"/>
    <n v="82"/>
    <n v="1"/>
    <n v="4"/>
    <x v="0"/>
    <x v="2"/>
    <s v="Married"/>
    <n v="12936"/>
    <n v="24164"/>
    <n v="7"/>
    <x v="1"/>
    <n v="11"/>
    <n v="3"/>
    <n v="3"/>
    <n v="0"/>
    <n v="25"/>
    <n v="3"/>
    <n v="1"/>
    <n v="23"/>
    <n v="5"/>
    <n v="14"/>
    <n v="10"/>
    <x v="0"/>
    <n v="1"/>
    <s v="&lt;30"/>
    <x v="2"/>
    <n v="0"/>
    <s v="Low"/>
  </r>
  <r>
    <n v="26"/>
    <s v="No"/>
    <s v="Travel_Rarely"/>
    <n v="390"/>
    <x v="1"/>
    <n v="17"/>
    <n v="4"/>
    <s v="Medical"/>
    <n v="1718"/>
    <n v="4"/>
    <x v="1"/>
    <n v="62"/>
    <n v="1"/>
    <n v="1"/>
    <x v="2"/>
    <x v="2"/>
    <s v="Married"/>
    <n v="2305"/>
    <n v="6217"/>
    <n v="1"/>
    <x v="1"/>
    <n v="15"/>
    <n v="3"/>
    <n v="3"/>
    <n v="3"/>
    <n v="3"/>
    <n v="3"/>
    <n v="4"/>
    <n v="3"/>
    <n v="2"/>
    <n v="0"/>
    <n v="2"/>
    <x v="2"/>
    <n v="0"/>
    <s v="40–49"/>
    <x v="2"/>
    <n v="1"/>
    <s v="Low"/>
  </r>
  <r>
    <n v="45"/>
    <s v="No"/>
    <s v="Travel_Rarely"/>
    <n v="1005"/>
    <x v="1"/>
    <n v="28"/>
    <n v="2"/>
    <s v="Technical Degree"/>
    <n v="1719"/>
    <n v="4"/>
    <x v="0"/>
    <n v="48"/>
    <n v="2"/>
    <n v="4"/>
    <x v="7"/>
    <x v="1"/>
    <s v="Single"/>
    <n v="16704"/>
    <n v="17119"/>
    <n v="1"/>
    <x v="1"/>
    <n v="11"/>
    <n v="3"/>
    <n v="3"/>
    <n v="0"/>
    <n v="21"/>
    <n v="2"/>
    <n v="3"/>
    <n v="21"/>
    <n v="6"/>
    <n v="8"/>
    <n v="6"/>
    <x v="0"/>
    <n v="0"/>
    <s v="&lt;30"/>
    <x v="1"/>
    <n v="1"/>
    <s v="Low"/>
  </r>
  <r>
    <n v="32"/>
    <s v="No"/>
    <s v="Travel_Frequently"/>
    <n v="585"/>
    <x v="1"/>
    <n v="10"/>
    <n v="3"/>
    <s v="Life Sciences"/>
    <n v="1720"/>
    <n v="1"/>
    <x v="1"/>
    <n v="56"/>
    <n v="3"/>
    <n v="1"/>
    <x v="1"/>
    <x v="2"/>
    <s v="Married"/>
    <n v="3433"/>
    <n v="17360"/>
    <n v="6"/>
    <x v="1"/>
    <n v="13"/>
    <n v="3"/>
    <n v="1"/>
    <n v="1"/>
    <n v="10"/>
    <n v="3"/>
    <n v="2"/>
    <n v="5"/>
    <n v="2"/>
    <n v="1"/>
    <n v="3"/>
    <x v="3"/>
    <n v="0"/>
    <s v="40–49"/>
    <x v="2"/>
    <n v="0"/>
    <s v="Low"/>
  </r>
  <r>
    <n v="31"/>
    <s v="No"/>
    <s v="Travel_Rarely"/>
    <n v="741"/>
    <x v="1"/>
    <n v="2"/>
    <n v="4"/>
    <s v="Life Sciences"/>
    <n v="1721"/>
    <n v="2"/>
    <x v="1"/>
    <n v="69"/>
    <n v="3"/>
    <n v="1"/>
    <x v="2"/>
    <x v="2"/>
    <s v="Married"/>
    <n v="3477"/>
    <n v="18103"/>
    <n v="1"/>
    <x v="1"/>
    <n v="14"/>
    <n v="3"/>
    <n v="4"/>
    <n v="1"/>
    <n v="6"/>
    <n v="2"/>
    <n v="4"/>
    <n v="5"/>
    <n v="2"/>
    <n v="0"/>
    <n v="3"/>
    <x v="3"/>
    <n v="0"/>
    <s v="30–39"/>
    <x v="2"/>
    <n v="0"/>
    <s v="Low"/>
  </r>
  <r>
    <n v="41"/>
    <s v="No"/>
    <s v="Non-Travel"/>
    <n v="552"/>
    <x v="2"/>
    <n v="4"/>
    <n v="3"/>
    <s v="Human Resources"/>
    <n v="1722"/>
    <n v="3"/>
    <x v="1"/>
    <n v="60"/>
    <n v="1"/>
    <n v="2"/>
    <x v="8"/>
    <x v="1"/>
    <s v="Married"/>
    <n v="6430"/>
    <n v="20794"/>
    <n v="6"/>
    <x v="1"/>
    <n v="19"/>
    <n v="3"/>
    <n v="2"/>
    <n v="1"/>
    <n v="10"/>
    <n v="4"/>
    <n v="3"/>
    <n v="3"/>
    <n v="2"/>
    <n v="1"/>
    <n v="2"/>
    <x v="2"/>
    <n v="0"/>
    <s v="30–39"/>
    <x v="1"/>
    <n v="2"/>
    <s v="Medium"/>
  </r>
  <r>
    <n v="40"/>
    <s v="No"/>
    <s v="Travel_Rarely"/>
    <n v="369"/>
    <x v="1"/>
    <n v="8"/>
    <n v="2"/>
    <s v="Life Sciences"/>
    <n v="1724"/>
    <n v="2"/>
    <x v="0"/>
    <n v="92"/>
    <n v="3"/>
    <n v="2"/>
    <x v="3"/>
    <x v="3"/>
    <s v="Married"/>
    <n v="6516"/>
    <n v="5041"/>
    <n v="2"/>
    <x v="0"/>
    <n v="16"/>
    <n v="3"/>
    <n v="2"/>
    <n v="1"/>
    <n v="18"/>
    <n v="3"/>
    <n v="3"/>
    <n v="1"/>
    <n v="0"/>
    <n v="0"/>
    <n v="0"/>
    <x v="2"/>
    <n v="0"/>
    <s v="40–49"/>
    <x v="1"/>
    <n v="3"/>
    <s v="High"/>
  </r>
  <r>
    <n v="24"/>
    <s v="No"/>
    <s v="Travel_Rarely"/>
    <n v="506"/>
    <x v="1"/>
    <n v="29"/>
    <n v="1"/>
    <s v="Medical"/>
    <n v="1725"/>
    <n v="2"/>
    <x v="1"/>
    <n v="91"/>
    <n v="3"/>
    <n v="1"/>
    <x v="2"/>
    <x v="3"/>
    <s v="Divorced"/>
    <n v="3907"/>
    <n v="3622"/>
    <n v="1"/>
    <x v="1"/>
    <n v="13"/>
    <n v="3"/>
    <n v="2"/>
    <n v="3"/>
    <n v="6"/>
    <n v="2"/>
    <n v="4"/>
    <n v="6"/>
    <n v="2"/>
    <n v="1"/>
    <n v="2"/>
    <x v="0"/>
    <n v="0"/>
    <s v="40–49"/>
    <x v="1"/>
    <n v="1"/>
    <s v="Low"/>
  </r>
  <r>
    <n v="46"/>
    <s v="No"/>
    <s v="Travel_Rarely"/>
    <n v="717"/>
    <x v="1"/>
    <n v="13"/>
    <n v="4"/>
    <s v="Life Sciences"/>
    <n v="1727"/>
    <n v="3"/>
    <x v="1"/>
    <n v="34"/>
    <n v="3"/>
    <n v="2"/>
    <x v="4"/>
    <x v="1"/>
    <s v="Single"/>
    <n v="5562"/>
    <n v="9697"/>
    <n v="6"/>
    <x v="1"/>
    <n v="14"/>
    <n v="3"/>
    <n v="4"/>
    <n v="0"/>
    <n v="19"/>
    <n v="3"/>
    <n v="3"/>
    <n v="10"/>
    <n v="7"/>
    <n v="0"/>
    <n v="9"/>
    <x v="0"/>
    <n v="0"/>
    <s v="&lt;30"/>
    <x v="1"/>
    <n v="1"/>
    <s v="Low"/>
  </r>
  <r>
    <n v="35"/>
    <s v="No"/>
    <s v="Travel_Rarely"/>
    <n v="1370"/>
    <x v="1"/>
    <n v="27"/>
    <n v="4"/>
    <s v="Life Sciences"/>
    <n v="1728"/>
    <n v="4"/>
    <x v="1"/>
    <n v="49"/>
    <n v="3"/>
    <n v="2"/>
    <x v="3"/>
    <x v="2"/>
    <s v="Married"/>
    <n v="6883"/>
    <n v="5151"/>
    <n v="2"/>
    <x v="1"/>
    <n v="16"/>
    <n v="3"/>
    <n v="2"/>
    <n v="1"/>
    <n v="17"/>
    <n v="3"/>
    <n v="3"/>
    <n v="7"/>
    <n v="7"/>
    <n v="0"/>
    <n v="7"/>
    <x v="0"/>
    <n v="0"/>
    <s v="40–49"/>
    <x v="2"/>
    <n v="0"/>
    <s v="Low"/>
  </r>
  <r>
    <n v="30"/>
    <s v="No"/>
    <s v="Travel_Rarely"/>
    <n v="793"/>
    <x v="1"/>
    <n v="16"/>
    <n v="1"/>
    <s v="Life Sciences"/>
    <n v="1729"/>
    <n v="2"/>
    <x v="1"/>
    <n v="33"/>
    <n v="3"/>
    <n v="1"/>
    <x v="1"/>
    <x v="0"/>
    <s v="Married"/>
    <n v="2862"/>
    <n v="3811"/>
    <n v="1"/>
    <x v="1"/>
    <n v="12"/>
    <n v="3"/>
    <n v="2"/>
    <n v="1"/>
    <n v="10"/>
    <n v="2"/>
    <n v="2"/>
    <n v="10"/>
    <n v="0"/>
    <n v="0"/>
    <n v="8"/>
    <x v="0"/>
    <n v="0"/>
    <s v="30–39"/>
    <x v="0"/>
    <n v="0"/>
    <s v="Low"/>
  </r>
  <r>
    <n v="47"/>
    <s v="No"/>
    <s v="Non-Travel"/>
    <n v="543"/>
    <x v="0"/>
    <n v="2"/>
    <n v="4"/>
    <s v="Marketing"/>
    <n v="1731"/>
    <n v="3"/>
    <x v="1"/>
    <n v="87"/>
    <n v="3"/>
    <n v="2"/>
    <x v="0"/>
    <x v="1"/>
    <s v="Married"/>
    <n v="4978"/>
    <n v="3536"/>
    <n v="7"/>
    <x v="1"/>
    <n v="11"/>
    <n v="3"/>
    <n v="4"/>
    <n v="1"/>
    <n v="4"/>
    <n v="3"/>
    <n v="1"/>
    <n v="1"/>
    <n v="0"/>
    <n v="0"/>
    <n v="0"/>
    <x v="2"/>
    <n v="0"/>
    <s v="30–39"/>
    <x v="1"/>
    <n v="2"/>
    <s v="Medium"/>
  </r>
  <r>
    <n v="46"/>
    <s v="No"/>
    <s v="Travel_Rarely"/>
    <n v="1277"/>
    <x v="0"/>
    <n v="2"/>
    <n v="3"/>
    <s v="Life Sciences"/>
    <n v="1732"/>
    <n v="3"/>
    <x v="1"/>
    <n v="74"/>
    <n v="3"/>
    <n v="3"/>
    <x v="0"/>
    <x v="0"/>
    <s v="Divorced"/>
    <n v="10368"/>
    <n v="5596"/>
    <n v="4"/>
    <x v="0"/>
    <n v="12"/>
    <n v="3"/>
    <n v="2"/>
    <n v="1"/>
    <n v="13"/>
    <n v="5"/>
    <n v="2"/>
    <n v="10"/>
    <n v="6"/>
    <n v="0"/>
    <n v="3"/>
    <x v="0"/>
    <n v="0"/>
    <s v="40–49"/>
    <x v="0"/>
    <n v="1"/>
    <s v="Low"/>
  </r>
  <r>
    <n v="36"/>
    <s v="Yes"/>
    <s v="Travel_Rarely"/>
    <n v="1456"/>
    <x v="0"/>
    <n v="13"/>
    <n v="5"/>
    <s v="Marketing"/>
    <n v="1733"/>
    <n v="2"/>
    <x v="1"/>
    <n v="96"/>
    <n v="2"/>
    <n v="2"/>
    <x v="0"/>
    <x v="3"/>
    <s v="Divorced"/>
    <n v="6134"/>
    <n v="8658"/>
    <n v="5"/>
    <x v="0"/>
    <n v="13"/>
    <n v="3"/>
    <n v="2"/>
    <n v="3"/>
    <n v="16"/>
    <n v="3"/>
    <n v="3"/>
    <n v="2"/>
    <n v="2"/>
    <n v="2"/>
    <n v="2"/>
    <x v="2"/>
    <n v="1"/>
    <s v="40–49"/>
    <x v="1"/>
    <n v="3"/>
    <s v="High"/>
  </r>
  <r>
    <n v="32"/>
    <s v="Yes"/>
    <s v="Travel_Rarely"/>
    <n v="964"/>
    <x v="0"/>
    <n v="1"/>
    <n v="2"/>
    <s v="Life Sciences"/>
    <n v="1734"/>
    <n v="1"/>
    <x v="1"/>
    <n v="34"/>
    <n v="1"/>
    <n v="2"/>
    <x v="0"/>
    <x v="1"/>
    <s v="Single"/>
    <n v="6735"/>
    <n v="12147"/>
    <n v="6"/>
    <x v="1"/>
    <n v="15"/>
    <n v="3"/>
    <n v="2"/>
    <n v="0"/>
    <n v="10"/>
    <n v="2"/>
    <n v="3"/>
    <n v="0"/>
    <n v="0"/>
    <n v="0"/>
    <n v="0"/>
    <x v="1"/>
    <n v="1"/>
    <s v="30–39"/>
    <x v="1"/>
    <n v="2"/>
    <s v="Medium"/>
  </r>
  <r>
    <n v="23"/>
    <s v="No"/>
    <s v="Travel_Rarely"/>
    <n v="160"/>
    <x v="1"/>
    <n v="4"/>
    <n v="1"/>
    <s v="Medical"/>
    <n v="1735"/>
    <n v="3"/>
    <x v="0"/>
    <n v="51"/>
    <n v="3"/>
    <n v="1"/>
    <x v="2"/>
    <x v="1"/>
    <s v="Single"/>
    <n v="3295"/>
    <n v="12862"/>
    <n v="1"/>
    <x v="1"/>
    <n v="13"/>
    <n v="3"/>
    <n v="3"/>
    <n v="0"/>
    <n v="3"/>
    <n v="3"/>
    <n v="1"/>
    <n v="3"/>
    <n v="2"/>
    <n v="1"/>
    <n v="2"/>
    <x v="2"/>
    <n v="0"/>
    <s v="30–39"/>
    <x v="1"/>
    <n v="2"/>
    <s v="Medium"/>
  </r>
  <r>
    <n v="31"/>
    <s v="No"/>
    <s v="Travel_Frequently"/>
    <n v="163"/>
    <x v="1"/>
    <n v="24"/>
    <n v="1"/>
    <s v="Technical Degree"/>
    <n v="1736"/>
    <n v="4"/>
    <x v="0"/>
    <n v="30"/>
    <n v="3"/>
    <n v="2"/>
    <x v="3"/>
    <x v="0"/>
    <s v="Single"/>
    <n v="5238"/>
    <n v="6670"/>
    <n v="2"/>
    <x v="1"/>
    <n v="20"/>
    <n v="4"/>
    <n v="4"/>
    <n v="0"/>
    <n v="9"/>
    <n v="3"/>
    <n v="2"/>
    <n v="5"/>
    <n v="4"/>
    <n v="1"/>
    <n v="4"/>
    <x v="3"/>
    <n v="0"/>
    <s v="&lt;30"/>
    <x v="0"/>
    <n v="0"/>
    <s v="Low"/>
  </r>
  <r>
    <n v="39"/>
    <s v="No"/>
    <s v="Non-Travel"/>
    <n v="792"/>
    <x v="1"/>
    <n v="1"/>
    <n v="3"/>
    <s v="Life Sciences"/>
    <n v="1737"/>
    <n v="4"/>
    <x v="1"/>
    <n v="77"/>
    <n v="3"/>
    <n v="2"/>
    <x v="2"/>
    <x v="0"/>
    <s v="Married"/>
    <n v="6472"/>
    <n v="8989"/>
    <n v="1"/>
    <x v="0"/>
    <n v="15"/>
    <n v="3"/>
    <n v="4"/>
    <n v="1"/>
    <n v="9"/>
    <n v="2"/>
    <n v="3"/>
    <n v="9"/>
    <n v="8"/>
    <n v="5"/>
    <n v="8"/>
    <x v="0"/>
    <n v="0"/>
    <s v="30–39"/>
    <x v="0"/>
    <n v="1"/>
    <s v="Low"/>
  </r>
  <r>
    <n v="32"/>
    <s v="No"/>
    <s v="Travel_Rarely"/>
    <n v="371"/>
    <x v="0"/>
    <n v="19"/>
    <n v="3"/>
    <s v="Life Sciences"/>
    <n v="1739"/>
    <n v="4"/>
    <x v="1"/>
    <n v="80"/>
    <n v="1"/>
    <n v="3"/>
    <x v="0"/>
    <x v="2"/>
    <s v="Married"/>
    <n v="9610"/>
    <n v="3840"/>
    <n v="3"/>
    <x v="1"/>
    <n v="13"/>
    <n v="3"/>
    <n v="3"/>
    <n v="1"/>
    <n v="10"/>
    <n v="2"/>
    <n v="1"/>
    <n v="4"/>
    <n v="3"/>
    <n v="0"/>
    <n v="2"/>
    <x v="3"/>
    <n v="0"/>
    <s v="30–39"/>
    <x v="2"/>
    <n v="0"/>
    <s v="Low"/>
  </r>
  <r>
    <n v="40"/>
    <s v="No"/>
    <s v="Travel_Rarely"/>
    <n v="611"/>
    <x v="0"/>
    <n v="7"/>
    <n v="4"/>
    <s v="Medical"/>
    <n v="1740"/>
    <n v="2"/>
    <x v="1"/>
    <n v="88"/>
    <n v="3"/>
    <n v="5"/>
    <x v="5"/>
    <x v="1"/>
    <s v="Single"/>
    <n v="19833"/>
    <n v="4349"/>
    <n v="1"/>
    <x v="1"/>
    <n v="14"/>
    <n v="3"/>
    <n v="2"/>
    <n v="0"/>
    <n v="21"/>
    <n v="3"/>
    <n v="2"/>
    <n v="21"/>
    <n v="8"/>
    <n v="12"/>
    <n v="8"/>
    <x v="0"/>
    <n v="0"/>
    <s v="30–39"/>
    <x v="1"/>
    <n v="1"/>
    <s v="Low"/>
  </r>
  <r>
    <n v="45"/>
    <s v="No"/>
    <s v="Travel_Rarely"/>
    <n v="176"/>
    <x v="2"/>
    <n v="4"/>
    <n v="3"/>
    <s v="Life Sciences"/>
    <n v="1744"/>
    <n v="3"/>
    <x v="0"/>
    <n v="56"/>
    <n v="1"/>
    <n v="3"/>
    <x v="8"/>
    <x v="2"/>
    <s v="Married"/>
    <n v="9756"/>
    <n v="6595"/>
    <n v="4"/>
    <x v="1"/>
    <n v="21"/>
    <n v="4"/>
    <n v="3"/>
    <n v="2"/>
    <n v="9"/>
    <n v="2"/>
    <n v="4"/>
    <n v="5"/>
    <n v="0"/>
    <n v="0"/>
    <n v="3"/>
    <x v="3"/>
    <n v="0"/>
    <s v="40–49"/>
    <x v="2"/>
    <n v="0"/>
    <s v="Low"/>
  </r>
  <r>
    <n v="30"/>
    <s v="No"/>
    <s v="Travel_Frequently"/>
    <n v="1312"/>
    <x v="1"/>
    <n v="2"/>
    <n v="4"/>
    <s v="Technical Degree"/>
    <n v="1745"/>
    <n v="4"/>
    <x v="0"/>
    <n v="78"/>
    <n v="2"/>
    <n v="1"/>
    <x v="1"/>
    <x v="3"/>
    <s v="Single"/>
    <n v="4968"/>
    <n v="26427"/>
    <n v="0"/>
    <x v="1"/>
    <n v="16"/>
    <n v="3"/>
    <n v="4"/>
    <n v="0"/>
    <n v="10"/>
    <n v="2"/>
    <n v="3"/>
    <n v="9"/>
    <n v="7"/>
    <n v="0"/>
    <n v="7"/>
    <x v="0"/>
    <n v="0"/>
    <s v="40–49"/>
    <x v="1"/>
    <n v="1"/>
    <s v="Low"/>
  </r>
  <r>
    <n v="24"/>
    <s v="No"/>
    <s v="Travel_Frequently"/>
    <n v="897"/>
    <x v="2"/>
    <n v="10"/>
    <n v="3"/>
    <s v="Medical"/>
    <n v="1746"/>
    <n v="1"/>
    <x v="1"/>
    <n v="59"/>
    <n v="3"/>
    <n v="1"/>
    <x v="8"/>
    <x v="0"/>
    <s v="Married"/>
    <n v="2145"/>
    <n v="2097"/>
    <n v="0"/>
    <x v="1"/>
    <n v="14"/>
    <n v="3"/>
    <n v="4"/>
    <n v="1"/>
    <n v="3"/>
    <n v="2"/>
    <n v="3"/>
    <n v="2"/>
    <n v="2"/>
    <n v="2"/>
    <n v="1"/>
    <x v="2"/>
    <n v="0"/>
    <s v="30–39"/>
    <x v="0"/>
    <n v="1"/>
    <s v="Low"/>
  </r>
  <r>
    <n v="30"/>
    <s v="Yes"/>
    <s v="Travel_Frequently"/>
    <n v="600"/>
    <x v="2"/>
    <n v="8"/>
    <n v="3"/>
    <s v="Human Resources"/>
    <n v="1747"/>
    <n v="3"/>
    <x v="0"/>
    <n v="66"/>
    <n v="2"/>
    <n v="1"/>
    <x v="8"/>
    <x v="0"/>
    <s v="Divorced"/>
    <n v="2180"/>
    <n v="9732"/>
    <n v="6"/>
    <x v="1"/>
    <n v="11"/>
    <n v="3"/>
    <n v="3"/>
    <n v="1"/>
    <n v="6"/>
    <n v="0"/>
    <n v="2"/>
    <n v="4"/>
    <n v="2"/>
    <n v="1"/>
    <n v="2"/>
    <x v="3"/>
    <n v="1"/>
    <s v="&lt;30"/>
    <x v="0"/>
    <n v="0"/>
    <s v="Low"/>
  </r>
  <r>
    <n v="31"/>
    <s v="No"/>
    <s v="Travel_Rarely"/>
    <n v="1003"/>
    <x v="0"/>
    <n v="5"/>
    <n v="3"/>
    <s v="Technical Degree"/>
    <n v="1749"/>
    <n v="1"/>
    <x v="1"/>
    <n v="51"/>
    <n v="3"/>
    <n v="2"/>
    <x v="0"/>
    <x v="2"/>
    <s v="Married"/>
    <n v="8346"/>
    <n v="20943"/>
    <n v="1"/>
    <x v="1"/>
    <n v="19"/>
    <n v="3"/>
    <n v="3"/>
    <n v="1"/>
    <n v="6"/>
    <n v="3"/>
    <n v="3"/>
    <n v="5"/>
    <n v="2"/>
    <n v="0"/>
    <n v="2"/>
    <x v="3"/>
    <n v="0"/>
    <s v="30–39"/>
    <x v="2"/>
    <n v="0"/>
    <s v="Low"/>
  </r>
  <r>
    <n v="27"/>
    <s v="No"/>
    <s v="Travel_Rarely"/>
    <n v="1054"/>
    <x v="1"/>
    <n v="8"/>
    <n v="3"/>
    <s v="Medical"/>
    <n v="1751"/>
    <n v="3"/>
    <x v="0"/>
    <n v="67"/>
    <n v="3"/>
    <n v="1"/>
    <x v="1"/>
    <x v="0"/>
    <s v="Single"/>
    <n v="3445"/>
    <n v="6152"/>
    <n v="1"/>
    <x v="1"/>
    <n v="11"/>
    <n v="3"/>
    <n v="3"/>
    <n v="0"/>
    <n v="6"/>
    <n v="5"/>
    <n v="2"/>
    <n v="6"/>
    <n v="2"/>
    <n v="1"/>
    <n v="4"/>
    <x v="0"/>
    <n v="0"/>
    <s v="30–39"/>
    <x v="0"/>
    <n v="0"/>
    <s v="Low"/>
  </r>
  <r>
    <n v="29"/>
    <s v="Yes"/>
    <s v="Travel_Rarely"/>
    <n v="428"/>
    <x v="0"/>
    <n v="9"/>
    <n v="3"/>
    <s v="Marketing"/>
    <n v="1752"/>
    <n v="2"/>
    <x v="0"/>
    <n v="52"/>
    <n v="1"/>
    <n v="1"/>
    <x v="6"/>
    <x v="1"/>
    <s v="Single"/>
    <n v="2760"/>
    <n v="14630"/>
    <n v="1"/>
    <x v="1"/>
    <n v="13"/>
    <n v="3"/>
    <n v="3"/>
    <n v="0"/>
    <n v="2"/>
    <n v="3"/>
    <n v="3"/>
    <n v="2"/>
    <n v="2"/>
    <n v="2"/>
    <n v="2"/>
    <x v="2"/>
    <n v="1"/>
    <s v="&lt;30"/>
    <x v="1"/>
    <n v="2"/>
    <s v="Medium"/>
  </r>
  <r>
    <n v="29"/>
    <s v="No"/>
    <s v="Travel_Frequently"/>
    <n v="461"/>
    <x v="1"/>
    <n v="1"/>
    <n v="3"/>
    <s v="Life Sciences"/>
    <n v="1753"/>
    <n v="4"/>
    <x v="1"/>
    <n v="70"/>
    <n v="4"/>
    <n v="2"/>
    <x v="4"/>
    <x v="2"/>
    <s v="Single"/>
    <n v="6294"/>
    <n v="23060"/>
    <n v="8"/>
    <x v="0"/>
    <n v="12"/>
    <n v="3"/>
    <n v="4"/>
    <n v="0"/>
    <n v="10"/>
    <n v="5"/>
    <n v="4"/>
    <n v="3"/>
    <n v="2"/>
    <n v="0"/>
    <n v="2"/>
    <x v="2"/>
    <n v="0"/>
    <s v="&lt;30"/>
    <x v="2"/>
    <n v="2"/>
    <s v="Medium"/>
  </r>
  <r>
    <n v="30"/>
    <s v="No"/>
    <s v="Travel_Rarely"/>
    <n v="979"/>
    <x v="0"/>
    <n v="15"/>
    <n v="2"/>
    <s v="Marketing"/>
    <n v="1754"/>
    <n v="3"/>
    <x v="1"/>
    <n v="94"/>
    <n v="2"/>
    <n v="3"/>
    <x v="0"/>
    <x v="3"/>
    <s v="Divorced"/>
    <n v="7140"/>
    <n v="3088"/>
    <n v="2"/>
    <x v="1"/>
    <n v="11"/>
    <n v="3"/>
    <n v="1"/>
    <n v="1"/>
    <n v="12"/>
    <n v="2"/>
    <n v="3"/>
    <n v="7"/>
    <n v="7"/>
    <n v="1"/>
    <n v="7"/>
    <x v="0"/>
    <n v="0"/>
    <s v="&lt;30"/>
    <x v="1"/>
    <n v="1"/>
    <s v="Low"/>
  </r>
  <r>
    <n v="34"/>
    <s v="No"/>
    <s v="Travel_Rarely"/>
    <n v="181"/>
    <x v="1"/>
    <n v="2"/>
    <n v="4"/>
    <s v="Medical"/>
    <n v="1755"/>
    <n v="4"/>
    <x v="1"/>
    <n v="97"/>
    <n v="4"/>
    <n v="1"/>
    <x v="1"/>
    <x v="0"/>
    <s v="Married"/>
    <n v="2932"/>
    <n v="5586"/>
    <n v="0"/>
    <x v="0"/>
    <n v="14"/>
    <n v="3"/>
    <n v="1"/>
    <n v="3"/>
    <n v="6"/>
    <n v="3"/>
    <n v="3"/>
    <n v="5"/>
    <n v="0"/>
    <n v="1"/>
    <n v="2"/>
    <x v="3"/>
    <n v="0"/>
    <s v="30–39"/>
    <x v="0"/>
    <n v="1"/>
    <s v="Low"/>
  </r>
  <r>
    <n v="33"/>
    <s v="No"/>
    <s v="Non-Travel"/>
    <n v="1283"/>
    <x v="0"/>
    <n v="2"/>
    <n v="3"/>
    <s v="Marketing"/>
    <n v="1756"/>
    <n v="4"/>
    <x v="0"/>
    <n v="62"/>
    <n v="3"/>
    <n v="2"/>
    <x v="0"/>
    <x v="1"/>
    <s v="Single"/>
    <n v="5147"/>
    <n v="10697"/>
    <n v="8"/>
    <x v="1"/>
    <n v="15"/>
    <n v="3"/>
    <n v="4"/>
    <n v="0"/>
    <n v="13"/>
    <n v="2"/>
    <n v="2"/>
    <n v="11"/>
    <n v="7"/>
    <n v="1"/>
    <n v="7"/>
    <x v="0"/>
    <n v="0"/>
    <s v="30–39"/>
    <x v="1"/>
    <n v="1"/>
    <s v="Low"/>
  </r>
  <r>
    <n v="49"/>
    <s v="No"/>
    <s v="Travel_Rarely"/>
    <n v="1313"/>
    <x v="0"/>
    <n v="11"/>
    <n v="4"/>
    <s v="Marketing"/>
    <n v="1757"/>
    <n v="4"/>
    <x v="0"/>
    <n v="80"/>
    <n v="3"/>
    <n v="2"/>
    <x v="0"/>
    <x v="0"/>
    <s v="Single"/>
    <n v="4507"/>
    <n v="8191"/>
    <n v="3"/>
    <x v="1"/>
    <n v="12"/>
    <n v="3"/>
    <n v="3"/>
    <n v="0"/>
    <n v="8"/>
    <n v="1"/>
    <n v="4"/>
    <n v="5"/>
    <n v="1"/>
    <n v="0"/>
    <n v="4"/>
    <x v="3"/>
    <n v="0"/>
    <s v="30–39"/>
    <x v="0"/>
    <n v="0"/>
    <s v="Low"/>
  </r>
  <r>
    <n v="33"/>
    <s v="Yes"/>
    <s v="Travel_Rarely"/>
    <n v="211"/>
    <x v="0"/>
    <n v="16"/>
    <n v="3"/>
    <s v="Life Sciences"/>
    <n v="1758"/>
    <n v="1"/>
    <x v="0"/>
    <n v="74"/>
    <n v="3"/>
    <n v="3"/>
    <x v="0"/>
    <x v="3"/>
    <s v="Single"/>
    <n v="8564"/>
    <n v="10092"/>
    <n v="2"/>
    <x v="0"/>
    <n v="20"/>
    <n v="4"/>
    <n v="3"/>
    <n v="0"/>
    <n v="11"/>
    <n v="2"/>
    <n v="2"/>
    <n v="0"/>
    <n v="0"/>
    <n v="0"/>
    <n v="0"/>
    <x v="1"/>
    <n v="1"/>
    <s v="40–49"/>
    <x v="1"/>
    <n v="3"/>
    <s v="High"/>
  </r>
  <r>
    <n v="38"/>
    <s v="No"/>
    <s v="Travel_Frequently"/>
    <n v="594"/>
    <x v="1"/>
    <n v="2"/>
    <n v="2"/>
    <s v="Medical"/>
    <n v="1760"/>
    <n v="3"/>
    <x v="0"/>
    <n v="75"/>
    <n v="2"/>
    <n v="1"/>
    <x v="2"/>
    <x v="1"/>
    <s v="Married"/>
    <n v="2468"/>
    <n v="15963"/>
    <n v="4"/>
    <x v="1"/>
    <n v="14"/>
    <n v="3"/>
    <n v="2"/>
    <n v="1"/>
    <n v="9"/>
    <n v="4"/>
    <n v="2"/>
    <n v="6"/>
    <n v="1"/>
    <n v="0"/>
    <n v="5"/>
    <x v="0"/>
    <n v="0"/>
    <s v="30–39"/>
    <x v="1"/>
    <n v="1"/>
    <s v="Low"/>
  </r>
  <r>
    <n v="31"/>
    <s v="Yes"/>
    <s v="Travel_Rarely"/>
    <n v="1079"/>
    <x v="0"/>
    <n v="16"/>
    <n v="4"/>
    <s v="Marketing"/>
    <n v="1761"/>
    <n v="1"/>
    <x v="1"/>
    <n v="70"/>
    <n v="3"/>
    <n v="3"/>
    <x v="0"/>
    <x v="2"/>
    <s v="Married"/>
    <n v="8161"/>
    <n v="19002"/>
    <n v="2"/>
    <x v="1"/>
    <n v="13"/>
    <n v="3"/>
    <n v="1"/>
    <n v="3"/>
    <n v="10"/>
    <n v="2"/>
    <n v="3"/>
    <n v="1"/>
    <n v="0"/>
    <n v="0"/>
    <n v="0"/>
    <x v="2"/>
    <n v="1"/>
    <s v="30–39"/>
    <x v="2"/>
    <n v="1"/>
    <s v="Low"/>
  </r>
  <r>
    <n v="29"/>
    <s v="No"/>
    <s v="Travel_Rarely"/>
    <n v="590"/>
    <x v="1"/>
    <n v="4"/>
    <n v="3"/>
    <s v="Technical Degree"/>
    <n v="1762"/>
    <n v="4"/>
    <x v="0"/>
    <n v="91"/>
    <n v="2"/>
    <n v="1"/>
    <x v="1"/>
    <x v="3"/>
    <s v="Divorced"/>
    <n v="2109"/>
    <n v="10007"/>
    <n v="1"/>
    <x v="1"/>
    <n v="13"/>
    <n v="3"/>
    <n v="3"/>
    <n v="1"/>
    <n v="1"/>
    <n v="2"/>
    <n v="3"/>
    <n v="1"/>
    <n v="0"/>
    <n v="0"/>
    <n v="0"/>
    <x v="2"/>
    <n v="0"/>
    <s v="30–39"/>
    <x v="1"/>
    <n v="2"/>
    <s v="Medium"/>
  </r>
  <r>
    <n v="30"/>
    <s v="No"/>
    <s v="Travel_Rarely"/>
    <n v="305"/>
    <x v="1"/>
    <n v="16"/>
    <n v="3"/>
    <s v="Life Sciences"/>
    <n v="1763"/>
    <n v="3"/>
    <x v="1"/>
    <n v="58"/>
    <n v="4"/>
    <n v="2"/>
    <x v="4"/>
    <x v="2"/>
    <s v="Married"/>
    <n v="5294"/>
    <n v="9128"/>
    <n v="3"/>
    <x v="1"/>
    <n v="16"/>
    <n v="3"/>
    <n v="3"/>
    <n v="1"/>
    <n v="10"/>
    <n v="3"/>
    <n v="3"/>
    <n v="7"/>
    <n v="0"/>
    <n v="1"/>
    <n v="7"/>
    <x v="0"/>
    <n v="0"/>
    <s v="&lt;30"/>
    <x v="2"/>
    <n v="0"/>
    <s v="Low"/>
  </r>
  <r>
    <n v="32"/>
    <s v="No"/>
    <s v="Non-Travel"/>
    <n v="953"/>
    <x v="1"/>
    <n v="5"/>
    <n v="4"/>
    <s v="Technical Degree"/>
    <n v="1764"/>
    <n v="2"/>
    <x v="1"/>
    <n v="65"/>
    <n v="3"/>
    <n v="1"/>
    <x v="1"/>
    <x v="1"/>
    <s v="Single"/>
    <n v="2718"/>
    <n v="17674"/>
    <n v="2"/>
    <x v="1"/>
    <n v="14"/>
    <n v="3"/>
    <n v="2"/>
    <n v="0"/>
    <n v="12"/>
    <n v="3"/>
    <n v="3"/>
    <n v="7"/>
    <n v="7"/>
    <n v="0"/>
    <n v="7"/>
    <x v="0"/>
    <n v="0"/>
    <s v="30–39"/>
    <x v="1"/>
    <n v="1"/>
    <s v="Low"/>
  </r>
  <r>
    <n v="38"/>
    <s v="No"/>
    <s v="Travel_Rarely"/>
    <n v="833"/>
    <x v="1"/>
    <n v="18"/>
    <n v="3"/>
    <s v="Medical"/>
    <n v="1766"/>
    <n v="2"/>
    <x v="1"/>
    <n v="60"/>
    <n v="1"/>
    <n v="2"/>
    <x v="4"/>
    <x v="0"/>
    <s v="Married"/>
    <n v="5811"/>
    <n v="24539"/>
    <n v="3"/>
    <x v="0"/>
    <n v="16"/>
    <n v="3"/>
    <n v="3"/>
    <n v="1"/>
    <n v="15"/>
    <n v="2"/>
    <n v="3"/>
    <n v="1"/>
    <n v="0"/>
    <n v="1"/>
    <n v="0"/>
    <x v="2"/>
    <n v="0"/>
    <s v="30–39"/>
    <x v="0"/>
    <n v="2"/>
    <s v="Medium"/>
  </r>
  <r>
    <n v="43"/>
    <s v="Yes"/>
    <s v="Travel_Frequently"/>
    <n v="807"/>
    <x v="1"/>
    <n v="17"/>
    <n v="3"/>
    <s v="Technical Degree"/>
    <n v="1767"/>
    <n v="3"/>
    <x v="1"/>
    <n v="38"/>
    <n v="2"/>
    <n v="1"/>
    <x v="1"/>
    <x v="2"/>
    <s v="Married"/>
    <n v="2437"/>
    <n v="15587"/>
    <n v="9"/>
    <x v="0"/>
    <n v="16"/>
    <n v="3"/>
    <n v="4"/>
    <n v="1"/>
    <n v="6"/>
    <n v="4"/>
    <n v="3"/>
    <n v="1"/>
    <n v="0"/>
    <n v="0"/>
    <n v="0"/>
    <x v="2"/>
    <n v="1"/>
    <s v="30–39"/>
    <x v="2"/>
    <n v="2"/>
    <s v="Medium"/>
  </r>
  <r>
    <n v="42"/>
    <s v="No"/>
    <s v="Travel_Rarely"/>
    <n v="855"/>
    <x v="1"/>
    <n v="12"/>
    <n v="3"/>
    <s v="Medical"/>
    <n v="1768"/>
    <n v="2"/>
    <x v="1"/>
    <n v="57"/>
    <n v="3"/>
    <n v="1"/>
    <x v="2"/>
    <x v="1"/>
    <s v="Divorced"/>
    <n v="2766"/>
    <n v="8952"/>
    <n v="8"/>
    <x v="1"/>
    <n v="22"/>
    <n v="4"/>
    <n v="2"/>
    <n v="3"/>
    <n v="7"/>
    <n v="6"/>
    <n v="2"/>
    <n v="5"/>
    <n v="3"/>
    <n v="0"/>
    <n v="4"/>
    <x v="3"/>
    <n v="0"/>
    <s v="40–49"/>
    <x v="1"/>
    <n v="1"/>
    <s v="Low"/>
  </r>
  <r>
    <n v="55"/>
    <s v="No"/>
    <s v="Travel_Rarely"/>
    <n v="478"/>
    <x v="1"/>
    <n v="2"/>
    <n v="3"/>
    <s v="Medical"/>
    <n v="1770"/>
    <n v="3"/>
    <x v="1"/>
    <n v="60"/>
    <n v="2"/>
    <n v="5"/>
    <x v="7"/>
    <x v="3"/>
    <s v="Married"/>
    <n v="19038"/>
    <n v="19805"/>
    <n v="8"/>
    <x v="1"/>
    <n v="12"/>
    <n v="3"/>
    <n v="2"/>
    <n v="3"/>
    <n v="34"/>
    <n v="2"/>
    <n v="3"/>
    <n v="1"/>
    <n v="0"/>
    <n v="0"/>
    <n v="0"/>
    <x v="2"/>
    <n v="0"/>
    <s v="40–49"/>
    <x v="1"/>
    <n v="2"/>
    <s v="Medium"/>
  </r>
  <r>
    <n v="33"/>
    <s v="No"/>
    <s v="Non-Travel"/>
    <n v="775"/>
    <x v="1"/>
    <n v="4"/>
    <n v="3"/>
    <s v="Technical Degree"/>
    <n v="1771"/>
    <n v="4"/>
    <x v="1"/>
    <n v="90"/>
    <n v="3"/>
    <n v="2"/>
    <x v="1"/>
    <x v="1"/>
    <s v="Divorced"/>
    <n v="3055"/>
    <n v="6194"/>
    <n v="5"/>
    <x v="1"/>
    <n v="15"/>
    <n v="3"/>
    <n v="4"/>
    <n v="2"/>
    <n v="11"/>
    <n v="2"/>
    <n v="2"/>
    <n v="9"/>
    <n v="8"/>
    <n v="1"/>
    <n v="7"/>
    <x v="0"/>
    <n v="0"/>
    <s v="50+"/>
    <x v="1"/>
    <n v="1"/>
    <s v="Low"/>
  </r>
  <r>
    <n v="41"/>
    <s v="No"/>
    <s v="Travel_Rarely"/>
    <n v="548"/>
    <x v="1"/>
    <n v="9"/>
    <n v="4"/>
    <s v="Life Sciences"/>
    <n v="1772"/>
    <n v="3"/>
    <x v="1"/>
    <n v="94"/>
    <n v="3"/>
    <n v="1"/>
    <x v="2"/>
    <x v="3"/>
    <s v="Divorced"/>
    <n v="2289"/>
    <n v="20520"/>
    <n v="1"/>
    <x v="1"/>
    <n v="20"/>
    <n v="4"/>
    <n v="2"/>
    <n v="2"/>
    <n v="5"/>
    <n v="2"/>
    <n v="3"/>
    <n v="5"/>
    <n v="3"/>
    <n v="0"/>
    <n v="4"/>
    <x v="3"/>
    <n v="0"/>
    <s v="30–39"/>
    <x v="1"/>
    <n v="1"/>
    <s v="Low"/>
  </r>
  <r>
    <n v="34"/>
    <s v="No"/>
    <s v="Non-Travel"/>
    <n v="1375"/>
    <x v="0"/>
    <n v="10"/>
    <n v="3"/>
    <s v="Life Sciences"/>
    <n v="1774"/>
    <n v="4"/>
    <x v="1"/>
    <n v="87"/>
    <n v="3"/>
    <n v="2"/>
    <x v="0"/>
    <x v="2"/>
    <s v="Divorced"/>
    <n v="4001"/>
    <n v="12313"/>
    <n v="1"/>
    <x v="0"/>
    <n v="14"/>
    <n v="3"/>
    <n v="3"/>
    <n v="1"/>
    <n v="15"/>
    <n v="3"/>
    <n v="3"/>
    <n v="15"/>
    <n v="14"/>
    <n v="0"/>
    <n v="7"/>
    <x v="0"/>
    <n v="0"/>
    <s v="40–49"/>
    <x v="2"/>
    <n v="1"/>
    <s v="Low"/>
  </r>
  <r>
    <n v="53"/>
    <s v="No"/>
    <s v="Non-Travel"/>
    <n v="661"/>
    <x v="1"/>
    <n v="1"/>
    <n v="4"/>
    <s v="Medical"/>
    <n v="1775"/>
    <n v="1"/>
    <x v="0"/>
    <n v="60"/>
    <n v="2"/>
    <n v="4"/>
    <x v="3"/>
    <x v="2"/>
    <s v="Married"/>
    <n v="12965"/>
    <n v="22308"/>
    <n v="4"/>
    <x v="0"/>
    <n v="20"/>
    <n v="4"/>
    <n v="4"/>
    <n v="3"/>
    <n v="27"/>
    <n v="2"/>
    <n v="2"/>
    <n v="3"/>
    <n v="2"/>
    <n v="0"/>
    <n v="2"/>
    <x v="2"/>
    <n v="0"/>
    <s v="30–39"/>
    <x v="2"/>
    <n v="2"/>
    <s v="Medium"/>
  </r>
  <r>
    <n v="43"/>
    <s v="No"/>
    <s v="Travel_Rarely"/>
    <n v="244"/>
    <x v="2"/>
    <n v="2"/>
    <n v="3"/>
    <s v="Life Sciences"/>
    <n v="1778"/>
    <n v="2"/>
    <x v="1"/>
    <n v="97"/>
    <n v="3"/>
    <n v="1"/>
    <x v="8"/>
    <x v="0"/>
    <s v="Single"/>
    <n v="3539"/>
    <n v="5033"/>
    <n v="0"/>
    <x v="1"/>
    <n v="13"/>
    <n v="3"/>
    <n v="2"/>
    <n v="0"/>
    <n v="10"/>
    <n v="5"/>
    <n v="3"/>
    <n v="9"/>
    <n v="7"/>
    <n v="1"/>
    <n v="8"/>
    <x v="0"/>
    <n v="0"/>
    <s v="50+"/>
    <x v="0"/>
    <n v="0"/>
    <s v="Low"/>
  </r>
  <r>
    <n v="34"/>
    <s v="No"/>
    <s v="Travel_Rarely"/>
    <n v="511"/>
    <x v="0"/>
    <n v="3"/>
    <n v="2"/>
    <s v="Life Sciences"/>
    <n v="1779"/>
    <n v="4"/>
    <x v="0"/>
    <n v="32"/>
    <n v="1"/>
    <n v="2"/>
    <x v="0"/>
    <x v="0"/>
    <s v="Single"/>
    <n v="6029"/>
    <n v="25353"/>
    <n v="5"/>
    <x v="1"/>
    <n v="12"/>
    <n v="3"/>
    <n v="1"/>
    <n v="0"/>
    <n v="6"/>
    <n v="3"/>
    <n v="3"/>
    <n v="2"/>
    <n v="2"/>
    <n v="2"/>
    <n v="2"/>
    <x v="2"/>
    <n v="0"/>
    <s v="40–49"/>
    <x v="0"/>
    <n v="1"/>
    <s v="Low"/>
  </r>
  <r>
    <n v="21"/>
    <s v="Yes"/>
    <s v="Travel_Rarely"/>
    <n v="337"/>
    <x v="0"/>
    <n v="7"/>
    <n v="1"/>
    <s v="Marketing"/>
    <n v="1780"/>
    <n v="2"/>
    <x v="1"/>
    <n v="31"/>
    <n v="3"/>
    <n v="1"/>
    <x v="6"/>
    <x v="1"/>
    <s v="Single"/>
    <n v="2679"/>
    <n v="4567"/>
    <n v="1"/>
    <x v="1"/>
    <n v="13"/>
    <n v="3"/>
    <n v="2"/>
    <n v="0"/>
    <n v="1"/>
    <n v="3"/>
    <n v="3"/>
    <n v="1"/>
    <n v="0"/>
    <n v="1"/>
    <n v="0"/>
    <x v="2"/>
    <n v="1"/>
    <s v="30–39"/>
    <x v="1"/>
    <n v="2"/>
    <s v="Medium"/>
  </r>
  <r>
    <n v="38"/>
    <s v="No"/>
    <s v="Travel_Rarely"/>
    <n v="1153"/>
    <x v="1"/>
    <n v="6"/>
    <n v="2"/>
    <s v="Other"/>
    <n v="1782"/>
    <n v="4"/>
    <x v="0"/>
    <n v="40"/>
    <n v="2"/>
    <n v="1"/>
    <x v="2"/>
    <x v="2"/>
    <s v="Married"/>
    <n v="3702"/>
    <n v="16376"/>
    <n v="1"/>
    <x v="1"/>
    <n v="11"/>
    <n v="3"/>
    <n v="2"/>
    <n v="1"/>
    <n v="5"/>
    <n v="3"/>
    <n v="3"/>
    <n v="5"/>
    <n v="4"/>
    <n v="0"/>
    <n v="4"/>
    <x v="3"/>
    <n v="0"/>
    <s v="&lt;30"/>
    <x v="2"/>
    <n v="0"/>
    <s v="Low"/>
  </r>
  <r>
    <n v="22"/>
    <s v="Yes"/>
    <s v="Travel_Rarely"/>
    <n v="1294"/>
    <x v="1"/>
    <n v="8"/>
    <n v="1"/>
    <s v="Medical"/>
    <n v="1783"/>
    <n v="3"/>
    <x v="0"/>
    <n v="79"/>
    <n v="3"/>
    <n v="1"/>
    <x v="2"/>
    <x v="3"/>
    <s v="Married"/>
    <n v="2398"/>
    <n v="15999"/>
    <n v="1"/>
    <x v="0"/>
    <n v="17"/>
    <n v="3"/>
    <n v="3"/>
    <n v="0"/>
    <n v="1"/>
    <n v="6"/>
    <n v="3"/>
    <n v="1"/>
    <n v="0"/>
    <n v="0"/>
    <n v="0"/>
    <x v="2"/>
    <n v="1"/>
    <s v="30–39"/>
    <x v="1"/>
    <n v="3"/>
    <s v="High"/>
  </r>
  <r>
    <n v="31"/>
    <s v="No"/>
    <s v="Travel_Rarely"/>
    <n v="196"/>
    <x v="0"/>
    <n v="29"/>
    <n v="4"/>
    <s v="Marketing"/>
    <n v="1784"/>
    <n v="1"/>
    <x v="0"/>
    <n v="91"/>
    <n v="2"/>
    <n v="2"/>
    <x v="0"/>
    <x v="0"/>
    <s v="Married"/>
    <n v="5468"/>
    <n v="13402"/>
    <n v="1"/>
    <x v="1"/>
    <n v="14"/>
    <n v="3"/>
    <n v="1"/>
    <n v="2"/>
    <n v="13"/>
    <n v="3"/>
    <n v="3"/>
    <n v="12"/>
    <n v="7"/>
    <n v="5"/>
    <n v="7"/>
    <x v="0"/>
    <n v="0"/>
    <s v="&lt;30"/>
    <x v="0"/>
    <n v="0"/>
    <s v="Low"/>
  </r>
  <r>
    <n v="51"/>
    <s v="No"/>
    <s v="Travel_Rarely"/>
    <n v="942"/>
    <x v="1"/>
    <n v="3"/>
    <n v="3"/>
    <s v="Technical Degree"/>
    <n v="1786"/>
    <n v="1"/>
    <x v="0"/>
    <n v="53"/>
    <n v="3"/>
    <n v="3"/>
    <x v="5"/>
    <x v="2"/>
    <s v="Married"/>
    <n v="13116"/>
    <n v="22984"/>
    <n v="2"/>
    <x v="1"/>
    <n v="11"/>
    <n v="3"/>
    <n v="4"/>
    <n v="0"/>
    <n v="15"/>
    <n v="2"/>
    <n v="3"/>
    <n v="2"/>
    <n v="2"/>
    <n v="2"/>
    <n v="2"/>
    <x v="2"/>
    <n v="0"/>
    <s v="30–39"/>
    <x v="2"/>
    <n v="1"/>
    <s v="Low"/>
  </r>
  <r>
    <n v="37"/>
    <s v="No"/>
    <s v="Travel_Rarely"/>
    <n v="589"/>
    <x v="0"/>
    <n v="9"/>
    <n v="2"/>
    <s v="Marketing"/>
    <n v="1787"/>
    <n v="2"/>
    <x v="1"/>
    <n v="46"/>
    <n v="2"/>
    <n v="2"/>
    <x v="0"/>
    <x v="1"/>
    <s v="Married"/>
    <n v="4189"/>
    <n v="8800"/>
    <n v="1"/>
    <x v="1"/>
    <n v="14"/>
    <n v="3"/>
    <n v="1"/>
    <n v="2"/>
    <n v="5"/>
    <n v="2"/>
    <n v="3"/>
    <n v="5"/>
    <n v="2"/>
    <n v="0"/>
    <n v="3"/>
    <x v="3"/>
    <n v="0"/>
    <s v="50+"/>
    <x v="1"/>
    <n v="1"/>
    <s v="Low"/>
  </r>
  <r>
    <n v="46"/>
    <s v="No"/>
    <s v="Travel_Rarely"/>
    <n v="734"/>
    <x v="1"/>
    <n v="2"/>
    <n v="4"/>
    <s v="Medical"/>
    <n v="1789"/>
    <n v="3"/>
    <x v="1"/>
    <n v="46"/>
    <n v="3"/>
    <n v="5"/>
    <x v="7"/>
    <x v="0"/>
    <s v="Divorced"/>
    <n v="19328"/>
    <n v="14218"/>
    <n v="7"/>
    <x v="0"/>
    <n v="17"/>
    <n v="3"/>
    <n v="3"/>
    <n v="1"/>
    <n v="24"/>
    <n v="3"/>
    <n v="3"/>
    <n v="2"/>
    <n v="1"/>
    <n v="2"/>
    <n v="2"/>
    <x v="2"/>
    <n v="0"/>
    <s v="30–39"/>
    <x v="0"/>
    <n v="2"/>
    <s v="Medium"/>
  </r>
  <r>
    <n v="36"/>
    <s v="No"/>
    <s v="Travel_Rarely"/>
    <n v="1383"/>
    <x v="1"/>
    <n v="10"/>
    <n v="3"/>
    <s v="Life Sciences"/>
    <n v="1790"/>
    <n v="4"/>
    <x v="1"/>
    <n v="90"/>
    <n v="3"/>
    <n v="3"/>
    <x v="4"/>
    <x v="3"/>
    <s v="Married"/>
    <n v="8321"/>
    <n v="25949"/>
    <n v="7"/>
    <x v="0"/>
    <n v="13"/>
    <n v="3"/>
    <n v="4"/>
    <n v="1"/>
    <n v="15"/>
    <n v="1"/>
    <n v="3"/>
    <n v="12"/>
    <n v="8"/>
    <n v="5"/>
    <n v="7"/>
    <x v="0"/>
    <n v="0"/>
    <s v="40–49"/>
    <x v="1"/>
    <n v="2"/>
    <s v="Medium"/>
  </r>
  <r>
    <n v="44"/>
    <s v="Yes"/>
    <s v="Travel_Frequently"/>
    <n v="429"/>
    <x v="1"/>
    <n v="1"/>
    <n v="2"/>
    <s v="Medical"/>
    <n v="1792"/>
    <n v="3"/>
    <x v="1"/>
    <n v="99"/>
    <n v="3"/>
    <n v="1"/>
    <x v="1"/>
    <x v="1"/>
    <s v="Divorced"/>
    <n v="2342"/>
    <n v="11092"/>
    <n v="1"/>
    <x v="0"/>
    <n v="12"/>
    <n v="3"/>
    <n v="3"/>
    <n v="3"/>
    <n v="6"/>
    <n v="2"/>
    <n v="2"/>
    <n v="5"/>
    <n v="3"/>
    <n v="2"/>
    <n v="3"/>
    <x v="3"/>
    <n v="1"/>
    <s v="30–39"/>
    <x v="1"/>
    <n v="2"/>
    <s v="Medium"/>
  </r>
  <r>
    <n v="37"/>
    <s v="No"/>
    <s v="Travel_Rarely"/>
    <n v="1239"/>
    <x v="2"/>
    <n v="8"/>
    <n v="2"/>
    <s v="Other"/>
    <n v="1794"/>
    <n v="3"/>
    <x v="1"/>
    <n v="89"/>
    <n v="3"/>
    <n v="2"/>
    <x v="8"/>
    <x v="1"/>
    <s v="Divorced"/>
    <n v="4071"/>
    <n v="12832"/>
    <n v="2"/>
    <x v="1"/>
    <n v="13"/>
    <n v="3"/>
    <n v="3"/>
    <n v="0"/>
    <n v="19"/>
    <n v="4"/>
    <n v="2"/>
    <n v="10"/>
    <n v="0"/>
    <n v="4"/>
    <n v="7"/>
    <x v="0"/>
    <n v="0"/>
    <s v="40–49"/>
    <x v="1"/>
    <n v="1"/>
    <s v="Low"/>
  </r>
  <r>
    <n v="35"/>
    <s v="Yes"/>
    <s v="Travel_Rarely"/>
    <n v="303"/>
    <x v="0"/>
    <n v="27"/>
    <n v="3"/>
    <s v="Life Sciences"/>
    <n v="1797"/>
    <n v="3"/>
    <x v="1"/>
    <n v="84"/>
    <n v="3"/>
    <n v="2"/>
    <x v="0"/>
    <x v="0"/>
    <s v="Single"/>
    <n v="5813"/>
    <n v="13492"/>
    <n v="1"/>
    <x v="0"/>
    <n v="18"/>
    <n v="3"/>
    <n v="4"/>
    <n v="0"/>
    <n v="10"/>
    <n v="2"/>
    <n v="3"/>
    <n v="10"/>
    <n v="7"/>
    <n v="7"/>
    <n v="7"/>
    <x v="0"/>
    <n v="1"/>
    <s v="30–39"/>
    <x v="0"/>
    <n v="1"/>
    <s v="Low"/>
  </r>
  <r>
    <n v="33"/>
    <s v="No"/>
    <s v="Travel_Rarely"/>
    <n v="867"/>
    <x v="1"/>
    <n v="8"/>
    <n v="4"/>
    <s v="Life Sciences"/>
    <n v="1798"/>
    <n v="4"/>
    <x v="1"/>
    <n v="90"/>
    <n v="4"/>
    <n v="1"/>
    <x v="1"/>
    <x v="3"/>
    <s v="Married"/>
    <n v="3143"/>
    <n v="6076"/>
    <n v="6"/>
    <x v="1"/>
    <n v="19"/>
    <n v="3"/>
    <n v="2"/>
    <n v="1"/>
    <n v="14"/>
    <n v="1"/>
    <n v="3"/>
    <n v="10"/>
    <n v="8"/>
    <n v="7"/>
    <n v="6"/>
    <x v="0"/>
    <n v="0"/>
    <s v="30–39"/>
    <x v="1"/>
    <n v="1"/>
    <s v="Low"/>
  </r>
  <r>
    <n v="28"/>
    <s v="No"/>
    <s v="Travel_Rarely"/>
    <n v="1181"/>
    <x v="1"/>
    <n v="1"/>
    <n v="3"/>
    <s v="Life Sciences"/>
    <n v="1799"/>
    <n v="3"/>
    <x v="1"/>
    <n v="82"/>
    <n v="3"/>
    <n v="1"/>
    <x v="1"/>
    <x v="0"/>
    <s v="Married"/>
    <n v="2044"/>
    <n v="5531"/>
    <n v="1"/>
    <x v="1"/>
    <n v="11"/>
    <n v="3"/>
    <n v="3"/>
    <n v="1"/>
    <n v="5"/>
    <n v="6"/>
    <n v="4"/>
    <n v="5"/>
    <n v="3"/>
    <n v="0"/>
    <n v="3"/>
    <x v="3"/>
    <n v="0"/>
    <s v="30–39"/>
    <x v="0"/>
    <n v="0"/>
    <s v="Low"/>
  </r>
  <r>
    <n v="39"/>
    <s v="No"/>
    <s v="Travel_Rarely"/>
    <n v="1253"/>
    <x v="1"/>
    <n v="10"/>
    <n v="1"/>
    <s v="Medical"/>
    <n v="1800"/>
    <n v="3"/>
    <x v="1"/>
    <n v="65"/>
    <n v="3"/>
    <n v="3"/>
    <x v="7"/>
    <x v="2"/>
    <s v="Single"/>
    <n v="13464"/>
    <n v="7914"/>
    <n v="7"/>
    <x v="1"/>
    <n v="21"/>
    <n v="4"/>
    <n v="3"/>
    <n v="0"/>
    <n v="9"/>
    <n v="3"/>
    <n v="3"/>
    <n v="4"/>
    <n v="3"/>
    <n v="2"/>
    <n v="2"/>
    <x v="3"/>
    <n v="0"/>
    <s v="&lt;30"/>
    <x v="2"/>
    <n v="0"/>
    <s v="Low"/>
  </r>
  <r>
    <n v="46"/>
    <s v="No"/>
    <s v="Non-Travel"/>
    <n v="849"/>
    <x v="0"/>
    <n v="26"/>
    <n v="2"/>
    <s v="Life Sciences"/>
    <n v="1801"/>
    <n v="2"/>
    <x v="1"/>
    <n v="98"/>
    <n v="2"/>
    <n v="2"/>
    <x v="0"/>
    <x v="1"/>
    <s v="Single"/>
    <n v="7991"/>
    <n v="25166"/>
    <n v="8"/>
    <x v="1"/>
    <n v="15"/>
    <n v="3"/>
    <n v="3"/>
    <n v="0"/>
    <n v="6"/>
    <n v="3"/>
    <n v="3"/>
    <n v="2"/>
    <n v="2"/>
    <n v="2"/>
    <n v="2"/>
    <x v="2"/>
    <n v="0"/>
    <s v="30–39"/>
    <x v="1"/>
    <n v="2"/>
    <s v="Medium"/>
  </r>
  <r>
    <n v="40"/>
    <s v="No"/>
    <s v="Travel_Rarely"/>
    <n v="616"/>
    <x v="1"/>
    <n v="2"/>
    <n v="2"/>
    <s v="Life Sciences"/>
    <n v="1802"/>
    <n v="3"/>
    <x v="0"/>
    <n v="99"/>
    <n v="3"/>
    <n v="1"/>
    <x v="2"/>
    <x v="3"/>
    <s v="Married"/>
    <n v="3377"/>
    <n v="25605"/>
    <n v="4"/>
    <x v="1"/>
    <n v="17"/>
    <n v="3"/>
    <n v="4"/>
    <n v="1"/>
    <n v="7"/>
    <n v="5"/>
    <n v="2"/>
    <n v="4"/>
    <n v="3"/>
    <n v="0"/>
    <n v="2"/>
    <x v="3"/>
    <n v="0"/>
    <s v="40–49"/>
    <x v="1"/>
    <n v="1"/>
    <s v="Low"/>
  </r>
  <r>
    <n v="42"/>
    <s v="No"/>
    <s v="Travel_Rarely"/>
    <n v="1128"/>
    <x v="1"/>
    <n v="13"/>
    <n v="3"/>
    <s v="Medical"/>
    <n v="1803"/>
    <n v="2"/>
    <x v="1"/>
    <n v="95"/>
    <n v="4"/>
    <n v="2"/>
    <x v="4"/>
    <x v="3"/>
    <s v="Married"/>
    <n v="5538"/>
    <n v="5696"/>
    <n v="5"/>
    <x v="1"/>
    <n v="18"/>
    <n v="3"/>
    <n v="3"/>
    <n v="2"/>
    <n v="10"/>
    <n v="2"/>
    <n v="2"/>
    <n v="0"/>
    <n v="0"/>
    <n v="0"/>
    <n v="0"/>
    <x v="1"/>
    <n v="0"/>
    <s v="40–49"/>
    <x v="1"/>
    <n v="2"/>
    <s v="Medium"/>
  </r>
  <r>
    <n v="35"/>
    <s v="No"/>
    <s v="Non-Travel"/>
    <n v="1180"/>
    <x v="1"/>
    <n v="2"/>
    <n v="2"/>
    <s v="Medical"/>
    <n v="1804"/>
    <n v="2"/>
    <x v="1"/>
    <n v="90"/>
    <n v="3"/>
    <n v="2"/>
    <x v="3"/>
    <x v="0"/>
    <s v="Divorced"/>
    <n v="5762"/>
    <n v="24442"/>
    <n v="2"/>
    <x v="1"/>
    <n v="14"/>
    <n v="3"/>
    <n v="3"/>
    <n v="1"/>
    <n v="15"/>
    <n v="6"/>
    <n v="3"/>
    <n v="7"/>
    <n v="7"/>
    <n v="1"/>
    <n v="7"/>
    <x v="0"/>
    <n v="0"/>
    <s v="40–49"/>
    <x v="0"/>
    <n v="0"/>
    <s v="Low"/>
  </r>
  <r>
    <n v="38"/>
    <s v="No"/>
    <s v="Non-Travel"/>
    <n v="1336"/>
    <x v="2"/>
    <n v="2"/>
    <n v="3"/>
    <s v="Human Resources"/>
    <n v="1805"/>
    <n v="1"/>
    <x v="1"/>
    <n v="100"/>
    <n v="3"/>
    <n v="1"/>
    <x v="8"/>
    <x v="1"/>
    <s v="Divorced"/>
    <n v="2592"/>
    <n v="7129"/>
    <n v="5"/>
    <x v="1"/>
    <n v="13"/>
    <n v="3"/>
    <n v="4"/>
    <n v="3"/>
    <n v="13"/>
    <n v="3"/>
    <n v="3"/>
    <n v="11"/>
    <n v="10"/>
    <n v="3"/>
    <n v="8"/>
    <x v="0"/>
    <n v="0"/>
    <s v="30–39"/>
    <x v="1"/>
    <n v="1"/>
    <s v="Low"/>
  </r>
  <r>
    <n v="34"/>
    <s v="Yes"/>
    <s v="Travel_Frequently"/>
    <n v="234"/>
    <x v="1"/>
    <n v="9"/>
    <n v="4"/>
    <s v="Life Sciences"/>
    <n v="1807"/>
    <n v="4"/>
    <x v="1"/>
    <n v="93"/>
    <n v="3"/>
    <n v="2"/>
    <x v="2"/>
    <x v="3"/>
    <s v="Married"/>
    <n v="5346"/>
    <n v="6208"/>
    <n v="4"/>
    <x v="1"/>
    <n v="17"/>
    <n v="3"/>
    <n v="3"/>
    <n v="1"/>
    <n v="11"/>
    <n v="3"/>
    <n v="2"/>
    <n v="7"/>
    <n v="1"/>
    <n v="0"/>
    <n v="7"/>
    <x v="0"/>
    <n v="1"/>
    <s v="30–39"/>
    <x v="1"/>
    <n v="1"/>
    <s v="Low"/>
  </r>
  <r>
    <n v="37"/>
    <s v="Yes"/>
    <s v="Travel_Rarely"/>
    <n v="370"/>
    <x v="1"/>
    <n v="10"/>
    <n v="4"/>
    <s v="Medical"/>
    <n v="1809"/>
    <n v="4"/>
    <x v="1"/>
    <n v="58"/>
    <n v="3"/>
    <n v="2"/>
    <x v="3"/>
    <x v="3"/>
    <s v="Single"/>
    <n v="4213"/>
    <n v="4992"/>
    <n v="1"/>
    <x v="1"/>
    <n v="15"/>
    <n v="3"/>
    <n v="2"/>
    <n v="0"/>
    <n v="10"/>
    <n v="4"/>
    <n v="1"/>
    <n v="10"/>
    <n v="3"/>
    <n v="0"/>
    <n v="8"/>
    <x v="0"/>
    <n v="1"/>
    <s v="30–39"/>
    <x v="1"/>
    <n v="1"/>
    <s v="Low"/>
  </r>
  <r>
    <n v="39"/>
    <s v="No"/>
    <s v="Travel_Frequently"/>
    <n v="766"/>
    <x v="0"/>
    <n v="20"/>
    <n v="3"/>
    <s v="Life Sciences"/>
    <n v="1812"/>
    <n v="3"/>
    <x v="1"/>
    <n v="83"/>
    <n v="3"/>
    <n v="2"/>
    <x v="0"/>
    <x v="0"/>
    <s v="Divorced"/>
    <n v="4127"/>
    <n v="19188"/>
    <n v="2"/>
    <x v="1"/>
    <n v="18"/>
    <n v="3"/>
    <n v="4"/>
    <n v="1"/>
    <n v="7"/>
    <n v="6"/>
    <n v="3"/>
    <n v="2"/>
    <n v="1"/>
    <n v="2"/>
    <n v="2"/>
    <x v="2"/>
    <n v="0"/>
    <s v="30–39"/>
    <x v="0"/>
    <n v="1"/>
    <s v="Low"/>
  </r>
  <r>
    <n v="43"/>
    <s v="No"/>
    <s v="Non-Travel"/>
    <n v="343"/>
    <x v="1"/>
    <n v="9"/>
    <n v="3"/>
    <s v="Life Sciences"/>
    <n v="1813"/>
    <n v="1"/>
    <x v="1"/>
    <n v="52"/>
    <n v="3"/>
    <n v="1"/>
    <x v="1"/>
    <x v="2"/>
    <s v="Single"/>
    <n v="2438"/>
    <n v="24978"/>
    <n v="4"/>
    <x v="1"/>
    <n v="13"/>
    <n v="3"/>
    <n v="3"/>
    <n v="0"/>
    <n v="7"/>
    <n v="2"/>
    <n v="2"/>
    <n v="3"/>
    <n v="2"/>
    <n v="1"/>
    <n v="2"/>
    <x v="2"/>
    <n v="0"/>
    <s v="30–39"/>
    <x v="2"/>
    <n v="1"/>
    <s v="Low"/>
  </r>
  <r>
    <n v="41"/>
    <s v="No"/>
    <s v="Travel_Rarely"/>
    <n v="447"/>
    <x v="1"/>
    <n v="5"/>
    <n v="3"/>
    <s v="Life Sciences"/>
    <n v="1814"/>
    <n v="2"/>
    <x v="1"/>
    <n v="85"/>
    <n v="4"/>
    <n v="2"/>
    <x v="4"/>
    <x v="1"/>
    <s v="Single"/>
    <n v="6870"/>
    <n v="15530"/>
    <n v="3"/>
    <x v="1"/>
    <n v="12"/>
    <n v="3"/>
    <n v="1"/>
    <n v="0"/>
    <n v="11"/>
    <n v="3"/>
    <n v="1"/>
    <n v="3"/>
    <n v="2"/>
    <n v="1"/>
    <n v="2"/>
    <x v="2"/>
    <n v="0"/>
    <s v="40–49"/>
    <x v="1"/>
    <n v="2"/>
    <s v="Medium"/>
  </r>
  <r>
    <n v="41"/>
    <s v="No"/>
    <s v="Travel_Rarely"/>
    <n v="796"/>
    <x v="0"/>
    <n v="4"/>
    <n v="1"/>
    <s v="Marketing"/>
    <n v="1815"/>
    <n v="3"/>
    <x v="0"/>
    <n v="81"/>
    <n v="3"/>
    <n v="3"/>
    <x v="0"/>
    <x v="2"/>
    <s v="Divorced"/>
    <n v="10447"/>
    <n v="26458"/>
    <n v="0"/>
    <x v="0"/>
    <n v="13"/>
    <n v="3"/>
    <n v="4"/>
    <n v="1"/>
    <n v="23"/>
    <n v="3"/>
    <n v="4"/>
    <n v="22"/>
    <n v="14"/>
    <n v="13"/>
    <n v="5"/>
    <x v="0"/>
    <n v="0"/>
    <s v="40–49"/>
    <x v="2"/>
    <n v="1"/>
    <s v="Low"/>
  </r>
  <r>
    <n v="30"/>
    <s v="No"/>
    <s v="Travel_Rarely"/>
    <n v="1092"/>
    <x v="1"/>
    <n v="10"/>
    <n v="3"/>
    <s v="Medical"/>
    <n v="1816"/>
    <n v="1"/>
    <x v="0"/>
    <n v="64"/>
    <n v="3"/>
    <n v="3"/>
    <x v="3"/>
    <x v="2"/>
    <s v="Single"/>
    <n v="9667"/>
    <n v="2739"/>
    <n v="9"/>
    <x v="1"/>
    <n v="14"/>
    <n v="3"/>
    <n v="2"/>
    <n v="0"/>
    <n v="9"/>
    <n v="3"/>
    <n v="3"/>
    <n v="7"/>
    <n v="7"/>
    <n v="0"/>
    <n v="2"/>
    <x v="0"/>
    <n v="0"/>
    <s v="40–49"/>
    <x v="2"/>
    <n v="0"/>
    <s v="Low"/>
  </r>
  <r>
    <n v="26"/>
    <s v="Yes"/>
    <s v="Travel_Rarely"/>
    <n v="920"/>
    <x v="2"/>
    <n v="20"/>
    <n v="2"/>
    <s v="Medical"/>
    <n v="1818"/>
    <n v="4"/>
    <x v="0"/>
    <n v="69"/>
    <n v="3"/>
    <n v="1"/>
    <x v="8"/>
    <x v="1"/>
    <s v="Married"/>
    <n v="2148"/>
    <n v="6889"/>
    <n v="0"/>
    <x v="0"/>
    <n v="11"/>
    <n v="3"/>
    <n v="3"/>
    <n v="0"/>
    <n v="6"/>
    <n v="3"/>
    <n v="3"/>
    <n v="5"/>
    <n v="1"/>
    <n v="1"/>
    <n v="4"/>
    <x v="3"/>
    <n v="1"/>
    <s v="30–39"/>
    <x v="1"/>
    <n v="2"/>
    <s v="Medium"/>
  </r>
  <r>
    <n v="46"/>
    <s v="Yes"/>
    <s v="Travel_Rarely"/>
    <n v="261"/>
    <x v="1"/>
    <n v="21"/>
    <n v="2"/>
    <s v="Medical"/>
    <n v="1821"/>
    <n v="4"/>
    <x v="0"/>
    <n v="66"/>
    <n v="3"/>
    <n v="2"/>
    <x v="4"/>
    <x v="1"/>
    <s v="Married"/>
    <n v="8926"/>
    <n v="10842"/>
    <n v="4"/>
    <x v="1"/>
    <n v="22"/>
    <n v="4"/>
    <n v="4"/>
    <n v="1"/>
    <n v="13"/>
    <n v="2"/>
    <n v="4"/>
    <n v="9"/>
    <n v="7"/>
    <n v="3"/>
    <n v="7"/>
    <x v="0"/>
    <n v="1"/>
    <s v="&lt;30"/>
    <x v="1"/>
    <n v="1"/>
    <s v="Low"/>
  </r>
  <r>
    <n v="40"/>
    <s v="No"/>
    <s v="Travel_Rarely"/>
    <n v="1194"/>
    <x v="1"/>
    <n v="1"/>
    <n v="3"/>
    <s v="Life Sciences"/>
    <n v="1822"/>
    <n v="3"/>
    <x v="0"/>
    <n v="52"/>
    <n v="3"/>
    <n v="2"/>
    <x v="4"/>
    <x v="0"/>
    <s v="Divorced"/>
    <n v="6513"/>
    <n v="9060"/>
    <n v="4"/>
    <x v="1"/>
    <n v="17"/>
    <n v="3"/>
    <n v="4"/>
    <n v="1"/>
    <n v="12"/>
    <n v="3"/>
    <n v="3"/>
    <n v="5"/>
    <n v="3"/>
    <n v="0"/>
    <n v="3"/>
    <x v="3"/>
    <n v="0"/>
    <s v="40–49"/>
    <x v="0"/>
    <n v="0"/>
    <s v="Low"/>
  </r>
  <r>
    <n v="34"/>
    <s v="No"/>
    <s v="Travel_Rarely"/>
    <n v="810"/>
    <x v="0"/>
    <n v="8"/>
    <n v="2"/>
    <s v="Technical Degree"/>
    <n v="1823"/>
    <n v="2"/>
    <x v="1"/>
    <n v="92"/>
    <n v="4"/>
    <n v="2"/>
    <x v="0"/>
    <x v="2"/>
    <s v="Married"/>
    <n v="6799"/>
    <n v="22128"/>
    <n v="1"/>
    <x v="1"/>
    <n v="21"/>
    <n v="4"/>
    <n v="3"/>
    <n v="2"/>
    <n v="10"/>
    <n v="5"/>
    <n v="3"/>
    <n v="10"/>
    <n v="8"/>
    <n v="4"/>
    <n v="8"/>
    <x v="0"/>
    <n v="0"/>
    <s v="40–49"/>
    <x v="2"/>
    <n v="0"/>
    <s v="Low"/>
  </r>
  <r>
    <n v="58"/>
    <s v="No"/>
    <s v="Non-Travel"/>
    <n v="350"/>
    <x v="0"/>
    <n v="2"/>
    <n v="3"/>
    <s v="Medical"/>
    <n v="1824"/>
    <n v="2"/>
    <x v="1"/>
    <n v="52"/>
    <n v="3"/>
    <n v="4"/>
    <x v="5"/>
    <x v="1"/>
    <s v="Divorced"/>
    <n v="16291"/>
    <n v="22577"/>
    <n v="4"/>
    <x v="1"/>
    <n v="22"/>
    <n v="4"/>
    <n v="4"/>
    <n v="1"/>
    <n v="37"/>
    <n v="0"/>
    <n v="2"/>
    <n v="16"/>
    <n v="9"/>
    <n v="14"/>
    <n v="14"/>
    <x v="0"/>
    <n v="0"/>
    <s v="30–39"/>
    <x v="1"/>
    <n v="1"/>
    <s v="Low"/>
  </r>
  <r>
    <n v="35"/>
    <s v="No"/>
    <s v="Travel_Rarely"/>
    <n v="185"/>
    <x v="1"/>
    <n v="23"/>
    <n v="4"/>
    <s v="Medical"/>
    <n v="1826"/>
    <n v="2"/>
    <x v="1"/>
    <n v="91"/>
    <n v="1"/>
    <n v="1"/>
    <x v="2"/>
    <x v="2"/>
    <s v="Married"/>
    <n v="2705"/>
    <n v="9696"/>
    <n v="0"/>
    <x v="1"/>
    <n v="16"/>
    <n v="3"/>
    <n v="2"/>
    <n v="1"/>
    <n v="6"/>
    <n v="2"/>
    <n v="4"/>
    <n v="5"/>
    <n v="4"/>
    <n v="0"/>
    <n v="3"/>
    <x v="3"/>
    <n v="0"/>
    <s v="50+"/>
    <x v="2"/>
    <n v="0"/>
    <s v="Low"/>
  </r>
  <r>
    <n v="47"/>
    <s v="No"/>
    <s v="Travel_Rarely"/>
    <n v="1001"/>
    <x v="1"/>
    <n v="4"/>
    <n v="3"/>
    <s v="Life Sciences"/>
    <n v="1827"/>
    <n v="3"/>
    <x v="0"/>
    <n v="92"/>
    <n v="2"/>
    <n v="3"/>
    <x v="3"/>
    <x v="1"/>
    <s v="Divorced"/>
    <n v="10333"/>
    <n v="19271"/>
    <n v="8"/>
    <x v="0"/>
    <n v="12"/>
    <n v="3"/>
    <n v="3"/>
    <n v="1"/>
    <n v="28"/>
    <n v="4"/>
    <n v="3"/>
    <n v="22"/>
    <n v="11"/>
    <n v="14"/>
    <n v="10"/>
    <x v="0"/>
    <n v="0"/>
    <s v="30–39"/>
    <x v="1"/>
    <n v="2"/>
    <s v="Medium"/>
  </r>
  <r>
    <n v="40"/>
    <s v="No"/>
    <s v="Travel_Rarely"/>
    <n v="750"/>
    <x v="1"/>
    <n v="12"/>
    <n v="3"/>
    <s v="Life Sciences"/>
    <n v="1829"/>
    <n v="2"/>
    <x v="0"/>
    <n v="47"/>
    <n v="3"/>
    <n v="2"/>
    <x v="4"/>
    <x v="3"/>
    <s v="Divorced"/>
    <n v="4448"/>
    <n v="10748"/>
    <n v="2"/>
    <x v="1"/>
    <n v="12"/>
    <n v="3"/>
    <n v="2"/>
    <n v="1"/>
    <n v="15"/>
    <n v="3"/>
    <n v="3"/>
    <n v="7"/>
    <n v="4"/>
    <n v="7"/>
    <n v="7"/>
    <x v="0"/>
    <n v="0"/>
    <s v="40–49"/>
    <x v="1"/>
    <n v="1"/>
    <s v="Low"/>
  </r>
  <r>
    <n v="54"/>
    <s v="No"/>
    <s v="Travel_Rarely"/>
    <n v="431"/>
    <x v="1"/>
    <n v="7"/>
    <n v="4"/>
    <s v="Medical"/>
    <n v="1830"/>
    <n v="4"/>
    <x v="0"/>
    <n v="68"/>
    <n v="3"/>
    <n v="2"/>
    <x v="1"/>
    <x v="0"/>
    <s v="Married"/>
    <n v="6854"/>
    <n v="15696"/>
    <n v="4"/>
    <x v="1"/>
    <n v="15"/>
    <n v="3"/>
    <n v="2"/>
    <n v="1"/>
    <n v="14"/>
    <n v="2"/>
    <n v="2"/>
    <n v="7"/>
    <n v="1"/>
    <n v="1"/>
    <n v="7"/>
    <x v="0"/>
    <n v="0"/>
    <s v="40–49"/>
    <x v="0"/>
    <n v="0"/>
    <s v="Low"/>
  </r>
  <r>
    <n v="31"/>
    <s v="No"/>
    <s v="Travel_Frequently"/>
    <n v="1125"/>
    <x v="0"/>
    <n v="7"/>
    <n v="4"/>
    <s v="Marketing"/>
    <n v="1833"/>
    <n v="1"/>
    <x v="0"/>
    <n v="68"/>
    <n v="3"/>
    <n v="3"/>
    <x v="0"/>
    <x v="3"/>
    <s v="Married"/>
    <n v="9637"/>
    <n v="8277"/>
    <n v="2"/>
    <x v="1"/>
    <n v="14"/>
    <n v="3"/>
    <n v="4"/>
    <n v="2"/>
    <n v="9"/>
    <n v="3"/>
    <n v="3"/>
    <n v="3"/>
    <n v="2"/>
    <n v="2"/>
    <n v="2"/>
    <x v="2"/>
    <n v="0"/>
    <s v="50+"/>
    <x v="1"/>
    <n v="2"/>
    <s v="Medium"/>
  </r>
  <r>
    <n v="28"/>
    <s v="No"/>
    <s v="Travel_Rarely"/>
    <n v="1217"/>
    <x v="1"/>
    <n v="1"/>
    <n v="3"/>
    <s v="Medical"/>
    <n v="1834"/>
    <n v="3"/>
    <x v="0"/>
    <n v="67"/>
    <n v="3"/>
    <n v="1"/>
    <x v="1"/>
    <x v="3"/>
    <s v="Married"/>
    <n v="3591"/>
    <n v="12719"/>
    <n v="1"/>
    <x v="1"/>
    <n v="25"/>
    <n v="4"/>
    <n v="3"/>
    <n v="1"/>
    <n v="3"/>
    <n v="3"/>
    <n v="3"/>
    <n v="3"/>
    <n v="2"/>
    <n v="1"/>
    <n v="2"/>
    <x v="2"/>
    <n v="0"/>
    <s v="30–39"/>
    <x v="1"/>
    <n v="2"/>
    <s v="Medium"/>
  </r>
  <r>
    <n v="38"/>
    <s v="No"/>
    <s v="Travel_Rarely"/>
    <n v="723"/>
    <x v="0"/>
    <n v="2"/>
    <n v="4"/>
    <s v="Marketing"/>
    <n v="1835"/>
    <n v="2"/>
    <x v="0"/>
    <n v="77"/>
    <n v="1"/>
    <n v="2"/>
    <x v="6"/>
    <x v="0"/>
    <s v="Married"/>
    <n v="5405"/>
    <n v="4244"/>
    <n v="2"/>
    <x v="0"/>
    <n v="20"/>
    <n v="4"/>
    <n v="1"/>
    <n v="2"/>
    <n v="20"/>
    <n v="4"/>
    <n v="2"/>
    <n v="4"/>
    <n v="2"/>
    <n v="0"/>
    <n v="3"/>
    <x v="3"/>
    <n v="0"/>
    <s v="&lt;30"/>
    <x v="0"/>
    <n v="1"/>
    <s v="Low"/>
  </r>
  <r>
    <n v="26"/>
    <s v="No"/>
    <s v="Travel_Rarely"/>
    <n v="572"/>
    <x v="0"/>
    <n v="10"/>
    <n v="3"/>
    <s v="Medical"/>
    <n v="1836"/>
    <n v="3"/>
    <x v="1"/>
    <n v="46"/>
    <n v="3"/>
    <n v="2"/>
    <x v="0"/>
    <x v="0"/>
    <s v="Single"/>
    <n v="4684"/>
    <n v="9125"/>
    <n v="1"/>
    <x v="1"/>
    <n v="13"/>
    <n v="3"/>
    <n v="1"/>
    <n v="0"/>
    <n v="5"/>
    <n v="4"/>
    <n v="3"/>
    <n v="5"/>
    <n v="3"/>
    <n v="1"/>
    <n v="2"/>
    <x v="3"/>
    <n v="0"/>
    <s v="30–39"/>
    <x v="0"/>
    <n v="0"/>
    <s v="Low"/>
  </r>
  <r>
    <n v="58"/>
    <s v="No"/>
    <s v="Travel_Frequently"/>
    <n v="1216"/>
    <x v="1"/>
    <n v="15"/>
    <n v="4"/>
    <s v="Life Sciences"/>
    <n v="1837"/>
    <n v="1"/>
    <x v="1"/>
    <n v="87"/>
    <n v="3"/>
    <n v="4"/>
    <x v="7"/>
    <x v="2"/>
    <s v="Married"/>
    <n v="15787"/>
    <n v="21624"/>
    <n v="2"/>
    <x v="0"/>
    <n v="14"/>
    <n v="3"/>
    <n v="2"/>
    <n v="0"/>
    <n v="23"/>
    <n v="3"/>
    <n v="3"/>
    <n v="2"/>
    <n v="2"/>
    <n v="2"/>
    <n v="2"/>
    <x v="2"/>
    <n v="0"/>
    <s v="&lt;30"/>
    <x v="2"/>
    <n v="2"/>
    <s v="Medium"/>
  </r>
  <r>
    <n v="18"/>
    <s v="No"/>
    <s v="Non-Travel"/>
    <n v="1431"/>
    <x v="1"/>
    <n v="14"/>
    <n v="3"/>
    <s v="Medical"/>
    <n v="1839"/>
    <n v="2"/>
    <x v="0"/>
    <n v="33"/>
    <n v="3"/>
    <n v="1"/>
    <x v="1"/>
    <x v="2"/>
    <s v="Single"/>
    <n v="1514"/>
    <n v="8018"/>
    <n v="1"/>
    <x v="1"/>
    <n v="16"/>
    <n v="3"/>
    <n v="3"/>
    <n v="0"/>
    <n v="0"/>
    <n v="4"/>
    <n v="1"/>
    <n v="0"/>
    <n v="0"/>
    <n v="0"/>
    <n v="0"/>
    <x v="1"/>
    <n v="0"/>
    <s v="50+"/>
    <x v="2"/>
    <n v="1"/>
    <s v="Low"/>
  </r>
  <r>
    <n v="31"/>
    <s v="Yes"/>
    <s v="Travel_Rarely"/>
    <n v="359"/>
    <x v="2"/>
    <n v="18"/>
    <n v="5"/>
    <s v="Human Resources"/>
    <n v="1842"/>
    <n v="4"/>
    <x v="1"/>
    <n v="89"/>
    <n v="4"/>
    <n v="1"/>
    <x v="8"/>
    <x v="3"/>
    <s v="Married"/>
    <n v="2956"/>
    <n v="21495"/>
    <n v="0"/>
    <x v="1"/>
    <n v="17"/>
    <n v="3"/>
    <n v="3"/>
    <n v="0"/>
    <n v="2"/>
    <n v="4"/>
    <n v="3"/>
    <n v="1"/>
    <n v="0"/>
    <n v="0"/>
    <n v="0"/>
    <x v="2"/>
    <n v="1"/>
    <s v="&lt;30"/>
    <x v="1"/>
    <n v="2"/>
    <s v="Medium"/>
  </r>
  <r>
    <n v="29"/>
    <s v="Yes"/>
    <s v="Travel_Rarely"/>
    <n v="350"/>
    <x v="2"/>
    <n v="13"/>
    <n v="3"/>
    <s v="Human Resources"/>
    <n v="1844"/>
    <n v="1"/>
    <x v="1"/>
    <n v="56"/>
    <n v="2"/>
    <n v="1"/>
    <x v="8"/>
    <x v="3"/>
    <s v="Divorced"/>
    <n v="2335"/>
    <n v="3157"/>
    <n v="4"/>
    <x v="0"/>
    <n v="15"/>
    <n v="3"/>
    <n v="4"/>
    <n v="3"/>
    <n v="4"/>
    <n v="3"/>
    <n v="3"/>
    <n v="2"/>
    <n v="2"/>
    <n v="2"/>
    <n v="0"/>
    <x v="2"/>
    <n v="1"/>
    <s v="30–39"/>
    <x v="1"/>
    <n v="3"/>
    <s v="High"/>
  </r>
  <r>
    <n v="45"/>
    <s v="No"/>
    <s v="Non-Travel"/>
    <n v="589"/>
    <x v="0"/>
    <n v="2"/>
    <n v="4"/>
    <s v="Life Sciences"/>
    <n v="1845"/>
    <n v="3"/>
    <x v="0"/>
    <n v="67"/>
    <n v="3"/>
    <n v="2"/>
    <x v="0"/>
    <x v="2"/>
    <s v="Married"/>
    <n v="5154"/>
    <n v="19665"/>
    <n v="4"/>
    <x v="1"/>
    <n v="22"/>
    <n v="4"/>
    <n v="2"/>
    <n v="2"/>
    <n v="10"/>
    <n v="3"/>
    <n v="4"/>
    <n v="8"/>
    <n v="7"/>
    <n v="5"/>
    <n v="7"/>
    <x v="0"/>
    <n v="0"/>
    <s v="&lt;30"/>
    <x v="2"/>
    <n v="0"/>
    <s v="Low"/>
  </r>
  <r>
    <n v="36"/>
    <s v="No"/>
    <s v="Travel_Rarely"/>
    <n v="430"/>
    <x v="1"/>
    <n v="2"/>
    <n v="4"/>
    <s v="Other"/>
    <n v="1847"/>
    <n v="4"/>
    <x v="0"/>
    <n v="73"/>
    <n v="3"/>
    <n v="2"/>
    <x v="1"/>
    <x v="1"/>
    <s v="Married"/>
    <n v="6962"/>
    <n v="19573"/>
    <n v="4"/>
    <x v="0"/>
    <n v="22"/>
    <n v="4"/>
    <n v="4"/>
    <n v="1"/>
    <n v="15"/>
    <n v="2"/>
    <n v="3"/>
    <n v="1"/>
    <n v="0"/>
    <n v="0"/>
    <n v="0"/>
    <x v="2"/>
    <n v="0"/>
    <s v="40–49"/>
    <x v="1"/>
    <n v="3"/>
    <s v="High"/>
  </r>
  <r>
    <n v="43"/>
    <s v="No"/>
    <s v="Travel_Frequently"/>
    <n v="1422"/>
    <x v="0"/>
    <n v="2"/>
    <n v="4"/>
    <s v="Life Sciences"/>
    <n v="1849"/>
    <n v="1"/>
    <x v="1"/>
    <n v="92"/>
    <n v="3"/>
    <n v="2"/>
    <x v="0"/>
    <x v="0"/>
    <s v="Married"/>
    <n v="5675"/>
    <n v="19246"/>
    <n v="1"/>
    <x v="1"/>
    <n v="20"/>
    <n v="4"/>
    <n v="3"/>
    <n v="1"/>
    <n v="7"/>
    <n v="5"/>
    <n v="3"/>
    <n v="7"/>
    <n v="7"/>
    <n v="7"/>
    <n v="7"/>
    <x v="0"/>
    <n v="0"/>
    <s v="30–39"/>
    <x v="0"/>
    <n v="0"/>
    <s v="Low"/>
  </r>
  <r>
    <n v="27"/>
    <s v="No"/>
    <s v="Travel_Frequently"/>
    <n v="1297"/>
    <x v="1"/>
    <n v="5"/>
    <n v="2"/>
    <s v="Life Sciences"/>
    <n v="1850"/>
    <n v="4"/>
    <x v="0"/>
    <n v="53"/>
    <n v="3"/>
    <n v="1"/>
    <x v="2"/>
    <x v="0"/>
    <s v="Single"/>
    <n v="2379"/>
    <n v="19826"/>
    <n v="0"/>
    <x v="0"/>
    <n v="14"/>
    <n v="3"/>
    <n v="3"/>
    <n v="0"/>
    <n v="6"/>
    <n v="3"/>
    <n v="2"/>
    <n v="5"/>
    <n v="4"/>
    <n v="0"/>
    <n v="2"/>
    <x v="3"/>
    <n v="0"/>
    <s v="40–49"/>
    <x v="0"/>
    <n v="1"/>
    <s v="Low"/>
  </r>
  <r>
    <n v="29"/>
    <s v="No"/>
    <s v="Travel_Frequently"/>
    <n v="574"/>
    <x v="1"/>
    <n v="20"/>
    <n v="1"/>
    <s v="Medical"/>
    <n v="1852"/>
    <n v="4"/>
    <x v="1"/>
    <n v="40"/>
    <n v="3"/>
    <n v="1"/>
    <x v="2"/>
    <x v="0"/>
    <s v="Married"/>
    <n v="3812"/>
    <n v="7003"/>
    <n v="1"/>
    <x v="1"/>
    <n v="13"/>
    <n v="3"/>
    <n v="2"/>
    <n v="0"/>
    <n v="11"/>
    <n v="3"/>
    <n v="4"/>
    <n v="11"/>
    <n v="8"/>
    <n v="3"/>
    <n v="10"/>
    <x v="0"/>
    <n v="0"/>
    <s v="&lt;30"/>
    <x v="0"/>
    <n v="0"/>
    <s v="Low"/>
  </r>
  <r>
    <n v="32"/>
    <s v="No"/>
    <s v="Travel_Frequently"/>
    <n v="1318"/>
    <x v="0"/>
    <n v="10"/>
    <n v="4"/>
    <s v="Marketing"/>
    <n v="1853"/>
    <n v="4"/>
    <x v="1"/>
    <n v="79"/>
    <n v="3"/>
    <n v="2"/>
    <x v="0"/>
    <x v="0"/>
    <s v="Single"/>
    <n v="4648"/>
    <n v="26075"/>
    <n v="8"/>
    <x v="1"/>
    <n v="13"/>
    <n v="3"/>
    <n v="3"/>
    <n v="0"/>
    <n v="4"/>
    <n v="2"/>
    <n v="4"/>
    <n v="0"/>
    <n v="0"/>
    <n v="0"/>
    <n v="0"/>
    <x v="1"/>
    <n v="0"/>
    <s v="&lt;30"/>
    <x v="0"/>
    <n v="1"/>
    <s v="Low"/>
  </r>
  <r>
    <n v="42"/>
    <s v="No"/>
    <s v="Non-Travel"/>
    <n v="355"/>
    <x v="1"/>
    <n v="10"/>
    <n v="4"/>
    <s v="Technical Degree"/>
    <n v="1854"/>
    <n v="3"/>
    <x v="1"/>
    <n v="38"/>
    <n v="3"/>
    <n v="1"/>
    <x v="1"/>
    <x v="2"/>
    <s v="Married"/>
    <n v="2936"/>
    <n v="6161"/>
    <n v="3"/>
    <x v="1"/>
    <n v="22"/>
    <n v="4"/>
    <n v="2"/>
    <n v="2"/>
    <n v="10"/>
    <n v="1"/>
    <n v="2"/>
    <n v="6"/>
    <n v="3"/>
    <n v="3"/>
    <n v="3"/>
    <x v="0"/>
    <n v="0"/>
    <s v="30–39"/>
    <x v="2"/>
    <n v="0"/>
    <s v="Low"/>
  </r>
  <r>
    <n v="47"/>
    <s v="No"/>
    <s v="Travel_Rarely"/>
    <n v="207"/>
    <x v="1"/>
    <n v="9"/>
    <n v="4"/>
    <s v="Life Sciences"/>
    <n v="1856"/>
    <n v="2"/>
    <x v="0"/>
    <n v="64"/>
    <n v="3"/>
    <n v="1"/>
    <x v="2"/>
    <x v="2"/>
    <s v="Single"/>
    <n v="2105"/>
    <n v="5411"/>
    <n v="4"/>
    <x v="1"/>
    <n v="12"/>
    <n v="3"/>
    <n v="3"/>
    <n v="0"/>
    <n v="7"/>
    <n v="2"/>
    <n v="3"/>
    <n v="2"/>
    <n v="2"/>
    <n v="2"/>
    <n v="0"/>
    <x v="2"/>
    <n v="0"/>
    <s v="40–49"/>
    <x v="2"/>
    <n v="1"/>
    <s v="Low"/>
  </r>
  <r>
    <n v="46"/>
    <s v="No"/>
    <s v="Travel_Rarely"/>
    <n v="706"/>
    <x v="1"/>
    <n v="2"/>
    <n v="2"/>
    <s v="Life Sciences"/>
    <n v="1857"/>
    <n v="4"/>
    <x v="1"/>
    <n v="82"/>
    <n v="3"/>
    <n v="3"/>
    <x v="3"/>
    <x v="0"/>
    <s v="Divorced"/>
    <n v="8578"/>
    <n v="19989"/>
    <n v="3"/>
    <x v="1"/>
    <n v="14"/>
    <n v="3"/>
    <n v="3"/>
    <n v="1"/>
    <n v="12"/>
    <n v="4"/>
    <n v="2"/>
    <n v="9"/>
    <n v="8"/>
    <n v="4"/>
    <n v="7"/>
    <x v="0"/>
    <n v="0"/>
    <s v="40–49"/>
    <x v="0"/>
    <n v="0"/>
    <s v="Low"/>
  </r>
  <r>
    <n v="28"/>
    <s v="No"/>
    <s v="Non-Travel"/>
    <n v="280"/>
    <x v="2"/>
    <n v="1"/>
    <n v="2"/>
    <s v="Life Sciences"/>
    <n v="1858"/>
    <n v="3"/>
    <x v="1"/>
    <n v="43"/>
    <n v="3"/>
    <n v="1"/>
    <x v="8"/>
    <x v="0"/>
    <s v="Divorced"/>
    <n v="2706"/>
    <n v="10494"/>
    <n v="1"/>
    <x v="1"/>
    <n v="15"/>
    <n v="3"/>
    <n v="2"/>
    <n v="1"/>
    <n v="3"/>
    <n v="2"/>
    <n v="3"/>
    <n v="3"/>
    <n v="2"/>
    <n v="2"/>
    <n v="2"/>
    <x v="2"/>
    <n v="0"/>
    <s v="40–49"/>
    <x v="0"/>
    <n v="1"/>
    <s v="Low"/>
  </r>
  <r>
    <n v="29"/>
    <s v="No"/>
    <s v="Travel_Rarely"/>
    <n v="726"/>
    <x v="1"/>
    <n v="29"/>
    <n v="1"/>
    <s v="Life Sciences"/>
    <n v="1859"/>
    <n v="4"/>
    <x v="1"/>
    <n v="93"/>
    <n v="1"/>
    <n v="2"/>
    <x v="4"/>
    <x v="2"/>
    <s v="Divorced"/>
    <n v="6384"/>
    <n v="21143"/>
    <n v="8"/>
    <x v="1"/>
    <n v="17"/>
    <n v="3"/>
    <n v="4"/>
    <n v="2"/>
    <n v="11"/>
    <n v="3"/>
    <n v="3"/>
    <n v="7"/>
    <n v="0"/>
    <n v="1"/>
    <n v="6"/>
    <x v="0"/>
    <n v="0"/>
    <s v="&lt;30"/>
    <x v="2"/>
    <n v="0"/>
    <s v="Low"/>
  </r>
  <r>
    <n v="42"/>
    <s v="No"/>
    <s v="Travel_Rarely"/>
    <n v="1142"/>
    <x v="1"/>
    <n v="8"/>
    <n v="3"/>
    <s v="Life Sciences"/>
    <n v="1860"/>
    <n v="4"/>
    <x v="1"/>
    <n v="81"/>
    <n v="3"/>
    <n v="1"/>
    <x v="2"/>
    <x v="2"/>
    <s v="Single"/>
    <n v="3968"/>
    <n v="13624"/>
    <n v="4"/>
    <x v="1"/>
    <n v="13"/>
    <n v="3"/>
    <n v="4"/>
    <n v="0"/>
    <n v="8"/>
    <n v="3"/>
    <n v="3"/>
    <n v="0"/>
    <n v="0"/>
    <n v="0"/>
    <n v="0"/>
    <x v="1"/>
    <n v="0"/>
    <s v="&lt;30"/>
    <x v="2"/>
    <n v="1"/>
    <s v="Low"/>
  </r>
  <r>
    <n v="32"/>
    <s v="Yes"/>
    <s v="Travel_Rarely"/>
    <n v="414"/>
    <x v="0"/>
    <n v="2"/>
    <n v="4"/>
    <s v="Marketing"/>
    <n v="1862"/>
    <n v="3"/>
    <x v="1"/>
    <n v="82"/>
    <n v="2"/>
    <n v="2"/>
    <x v="0"/>
    <x v="1"/>
    <s v="Single"/>
    <n v="9907"/>
    <n v="26186"/>
    <n v="7"/>
    <x v="0"/>
    <n v="12"/>
    <n v="3"/>
    <n v="3"/>
    <n v="0"/>
    <n v="7"/>
    <n v="3"/>
    <n v="2"/>
    <n v="2"/>
    <n v="2"/>
    <n v="2"/>
    <n v="2"/>
    <x v="2"/>
    <n v="1"/>
    <s v="40–49"/>
    <x v="1"/>
    <n v="3"/>
    <s v="High"/>
  </r>
  <r>
    <n v="46"/>
    <s v="No"/>
    <s v="Travel_Rarely"/>
    <n v="1319"/>
    <x v="0"/>
    <n v="3"/>
    <n v="3"/>
    <s v="Technical Degree"/>
    <n v="1863"/>
    <n v="1"/>
    <x v="0"/>
    <n v="45"/>
    <n v="4"/>
    <n v="4"/>
    <x v="0"/>
    <x v="3"/>
    <s v="Divorced"/>
    <n v="13225"/>
    <n v="7739"/>
    <n v="2"/>
    <x v="1"/>
    <n v="12"/>
    <n v="3"/>
    <n v="4"/>
    <n v="1"/>
    <n v="25"/>
    <n v="5"/>
    <n v="3"/>
    <n v="19"/>
    <n v="17"/>
    <n v="2"/>
    <n v="8"/>
    <x v="0"/>
    <n v="0"/>
    <s v="30–39"/>
    <x v="1"/>
    <n v="1"/>
    <s v="Low"/>
  </r>
  <r>
    <n v="27"/>
    <s v="No"/>
    <s v="Travel_Rarely"/>
    <n v="728"/>
    <x v="0"/>
    <n v="23"/>
    <n v="1"/>
    <s v="Medical"/>
    <n v="1864"/>
    <n v="2"/>
    <x v="0"/>
    <n v="36"/>
    <n v="2"/>
    <n v="2"/>
    <x v="6"/>
    <x v="2"/>
    <s v="Married"/>
    <n v="3540"/>
    <n v="7018"/>
    <n v="1"/>
    <x v="1"/>
    <n v="21"/>
    <n v="4"/>
    <n v="4"/>
    <n v="1"/>
    <n v="9"/>
    <n v="5"/>
    <n v="3"/>
    <n v="9"/>
    <n v="8"/>
    <n v="5"/>
    <n v="8"/>
    <x v="0"/>
    <n v="0"/>
    <s v="40–49"/>
    <x v="2"/>
    <n v="0"/>
    <s v="Low"/>
  </r>
  <r>
    <n v="29"/>
    <s v="No"/>
    <s v="Travel_Rarely"/>
    <n v="352"/>
    <x v="2"/>
    <n v="6"/>
    <n v="1"/>
    <s v="Medical"/>
    <n v="1865"/>
    <n v="4"/>
    <x v="1"/>
    <n v="87"/>
    <n v="2"/>
    <n v="1"/>
    <x v="8"/>
    <x v="1"/>
    <s v="Married"/>
    <n v="2804"/>
    <n v="15434"/>
    <n v="1"/>
    <x v="1"/>
    <n v="11"/>
    <n v="3"/>
    <n v="4"/>
    <n v="0"/>
    <n v="1"/>
    <n v="3"/>
    <n v="3"/>
    <n v="1"/>
    <n v="0"/>
    <n v="0"/>
    <n v="0"/>
    <x v="2"/>
    <n v="0"/>
    <s v="&lt;30"/>
    <x v="1"/>
    <n v="2"/>
    <s v="Medium"/>
  </r>
  <r>
    <n v="43"/>
    <s v="No"/>
    <s v="Travel_Rarely"/>
    <n v="823"/>
    <x v="1"/>
    <n v="6"/>
    <n v="3"/>
    <s v="Medical"/>
    <n v="1866"/>
    <n v="1"/>
    <x v="0"/>
    <n v="81"/>
    <n v="2"/>
    <n v="5"/>
    <x v="5"/>
    <x v="2"/>
    <s v="Married"/>
    <n v="19392"/>
    <n v="22539"/>
    <n v="7"/>
    <x v="1"/>
    <n v="13"/>
    <n v="3"/>
    <n v="4"/>
    <n v="0"/>
    <n v="21"/>
    <n v="2"/>
    <n v="3"/>
    <n v="16"/>
    <n v="12"/>
    <n v="6"/>
    <n v="14"/>
    <x v="0"/>
    <n v="0"/>
    <s v="&lt;30"/>
    <x v="2"/>
    <n v="0"/>
    <s v="Low"/>
  </r>
  <r>
    <n v="48"/>
    <s v="No"/>
    <s v="Travel_Rarely"/>
    <n v="1224"/>
    <x v="1"/>
    <n v="10"/>
    <n v="3"/>
    <s v="Life Sciences"/>
    <n v="1867"/>
    <n v="4"/>
    <x v="1"/>
    <n v="91"/>
    <n v="2"/>
    <n v="5"/>
    <x v="7"/>
    <x v="1"/>
    <s v="Married"/>
    <n v="19665"/>
    <n v="13583"/>
    <n v="4"/>
    <x v="1"/>
    <n v="12"/>
    <n v="3"/>
    <n v="4"/>
    <n v="0"/>
    <n v="29"/>
    <n v="3"/>
    <n v="3"/>
    <n v="22"/>
    <n v="10"/>
    <n v="12"/>
    <n v="9"/>
    <x v="0"/>
    <n v="0"/>
    <s v="40–49"/>
    <x v="1"/>
    <n v="1"/>
    <s v="Low"/>
  </r>
  <r>
    <n v="29"/>
    <s v="Yes"/>
    <s v="Travel_Frequently"/>
    <n v="459"/>
    <x v="1"/>
    <n v="24"/>
    <n v="2"/>
    <s v="Life Sciences"/>
    <n v="1868"/>
    <n v="4"/>
    <x v="1"/>
    <n v="73"/>
    <n v="2"/>
    <n v="1"/>
    <x v="1"/>
    <x v="0"/>
    <s v="Single"/>
    <n v="2439"/>
    <n v="14753"/>
    <n v="1"/>
    <x v="0"/>
    <n v="24"/>
    <n v="4"/>
    <n v="2"/>
    <n v="0"/>
    <n v="1"/>
    <n v="3"/>
    <n v="2"/>
    <n v="1"/>
    <n v="0"/>
    <n v="1"/>
    <n v="0"/>
    <x v="2"/>
    <n v="1"/>
    <s v="40–49"/>
    <x v="0"/>
    <n v="2"/>
    <s v="Medium"/>
  </r>
  <r>
    <n v="46"/>
    <s v="Yes"/>
    <s v="Travel_Rarely"/>
    <n v="1254"/>
    <x v="0"/>
    <n v="10"/>
    <n v="3"/>
    <s v="Life Sciences"/>
    <n v="1869"/>
    <n v="3"/>
    <x v="0"/>
    <n v="64"/>
    <n v="3"/>
    <n v="3"/>
    <x v="0"/>
    <x v="1"/>
    <s v="Married"/>
    <n v="7314"/>
    <n v="14011"/>
    <n v="5"/>
    <x v="1"/>
    <n v="21"/>
    <n v="4"/>
    <n v="3"/>
    <n v="3"/>
    <n v="14"/>
    <n v="2"/>
    <n v="3"/>
    <n v="8"/>
    <n v="7"/>
    <n v="0"/>
    <n v="7"/>
    <x v="0"/>
    <n v="1"/>
    <s v="&lt;30"/>
    <x v="1"/>
    <n v="1"/>
    <s v="Low"/>
  </r>
  <r>
    <n v="27"/>
    <s v="No"/>
    <s v="Travel_Frequently"/>
    <n v="1131"/>
    <x v="1"/>
    <n v="15"/>
    <n v="3"/>
    <s v="Life Sciences"/>
    <n v="1870"/>
    <n v="4"/>
    <x v="0"/>
    <n v="77"/>
    <n v="2"/>
    <n v="1"/>
    <x v="1"/>
    <x v="3"/>
    <s v="Married"/>
    <n v="4774"/>
    <n v="23844"/>
    <n v="0"/>
    <x v="1"/>
    <n v="19"/>
    <n v="3"/>
    <n v="4"/>
    <n v="1"/>
    <n v="8"/>
    <n v="2"/>
    <n v="2"/>
    <n v="7"/>
    <n v="6"/>
    <n v="7"/>
    <n v="3"/>
    <x v="0"/>
    <n v="0"/>
    <s v="40–49"/>
    <x v="1"/>
    <n v="1"/>
    <s v="Low"/>
  </r>
  <r>
    <n v="39"/>
    <s v="No"/>
    <s v="Travel_Rarely"/>
    <n v="835"/>
    <x v="1"/>
    <n v="19"/>
    <n v="4"/>
    <s v="Other"/>
    <n v="1871"/>
    <n v="4"/>
    <x v="1"/>
    <n v="41"/>
    <n v="3"/>
    <n v="2"/>
    <x v="1"/>
    <x v="0"/>
    <s v="Divorced"/>
    <n v="3902"/>
    <n v="5141"/>
    <n v="8"/>
    <x v="1"/>
    <n v="14"/>
    <n v="3"/>
    <n v="2"/>
    <n v="3"/>
    <n v="7"/>
    <n v="2"/>
    <n v="3"/>
    <n v="2"/>
    <n v="2"/>
    <n v="2"/>
    <n v="2"/>
    <x v="2"/>
    <n v="0"/>
    <s v="&lt;30"/>
    <x v="0"/>
    <n v="1"/>
    <s v="Low"/>
  </r>
  <r>
    <n v="55"/>
    <s v="No"/>
    <s v="Travel_Rarely"/>
    <n v="836"/>
    <x v="1"/>
    <n v="2"/>
    <n v="4"/>
    <s v="Technical Degree"/>
    <n v="1873"/>
    <n v="2"/>
    <x v="1"/>
    <n v="98"/>
    <n v="2"/>
    <n v="1"/>
    <x v="1"/>
    <x v="0"/>
    <s v="Married"/>
    <n v="2662"/>
    <n v="7975"/>
    <n v="8"/>
    <x v="1"/>
    <n v="20"/>
    <n v="4"/>
    <n v="2"/>
    <n v="1"/>
    <n v="19"/>
    <n v="2"/>
    <n v="4"/>
    <n v="5"/>
    <n v="2"/>
    <n v="0"/>
    <n v="4"/>
    <x v="3"/>
    <n v="0"/>
    <s v="30–39"/>
    <x v="0"/>
    <n v="0"/>
    <s v="Low"/>
  </r>
  <r>
    <n v="28"/>
    <s v="No"/>
    <s v="Travel_Rarely"/>
    <n v="1172"/>
    <x v="0"/>
    <n v="3"/>
    <n v="3"/>
    <s v="Medical"/>
    <n v="1875"/>
    <n v="2"/>
    <x v="0"/>
    <n v="78"/>
    <n v="3"/>
    <n v="1"/>
    <x v="6"/>
    <x v="1"/>
    <s v="Married"/>
    <n v="2856"/>
    <n v="3692"/>
    <n v="1"/>
    <x v="1"/>
    <n v="19"/>
    <n v="3"/>
    <n v="4"/>
    <n v="1"/>
    <n v="1"/>
    <n v="3"/>
    <n v="3"/>
    <n v="1"/>
    <n v="0"/>
    <n v="0"/>
    <n v="0"/>
    <x v="2"/>
    <n v="0"/>
    <s v="50+"/>
    <x v="1"/>
    <n v="2"/>
    <s v="Medium"/>
  </r>
  <r>
    <n v="30"/>
    <s v="Yes"/>
    <s v="Travel_Rarely"/>
    <n v="945"/>
    <x v="0"/>
    <n v="9"/>
    <n v="3"/>
    <s v="Medical"/>
    <n v="1876"/>
    <n v="2"/>
    <x v="1"/>
    <n v="89"/>
    <n v="3"/>
    <n v="1"/>
    <x v="6"/>
    <x v="0"/>
    <s v="Single"/>
    <n v="1081"/>
    <n v="16019"/>
    <n v="1"/>
    <x v="1"/>
    <n v="13"/>
    <n v="3"/>
    <n v="3"/>
    <n v="0"/>
    <n v="1"/>
    <n v="3"/>
    <n v="2"/>
    <n v="1"/>
    <n v="0"/>
    <n v="0"/>
    <n v="0"/>
    <x v="2"/>
    <n v="1"/>
    <s v="&lt;30"/>
    <x v="0"/>
    <n v="1"/>
    <s v="Low"/>
  </r>
  <r>
    <n v="22"/>
    <s v="Yes"/>
    <s v="Travel_Rarely"/>
    <n v="391"/>
    <x v="1"/>
    <n v="7"/>
    <n v="1"/>
    <s v="Life Sciences"/>
    <n v="1878"/>
    <n v="4"/>
    <x v="1"/>
    <n v="75"/>
    <n v="3"/>
    <n v="1"/>
    <x v="1"/>
    <x v="1"/>
    <s v="Single"/>
    <n v="2472"/>
    <n v="26092"/>
    <n v="1"/>
    <x v="0"/>
    <n v="23"/>
    <n v="4"/>
    <n v="1"/>
    <n v="0"/>
    <n v="1"/>
    <n v="2"/>
    <n v="3"/>
    <n v="1"/>
    <n v="0"/>
    <n v="0"/>
    <n v="0"/>
    <x v="2"/>
    <n v="1"/>
    <s v="30–39"/>
    <x v="1"/>
    <n v="3"/>
    <s v="High"/>
  </r>
  <r>
    <n v="36"/>
    <s v="No"/>
    <s v="Travel_Rarely"/>
    <n v="1266"/>
    <x v="0"/>
    <n v="10"/>
    <n v="4"/>
    <s v="Technical Degree"/>
    <n v="1880"/>
    <n v="2"/>
    <x v="0"/>
    <n v="63"/>
    <n v="2"/>
    <n v="2"/>
    <x v="0"/>
    <x v="2"/>
    <s v="Married"/>
    <n v="5673"/>
    <n v="6060"/>
    <n v="1"/>
    <x v="0"/>
    <n v="13"/>
    <n v="3"/>
    <n v="1"/>
    <n v="1"/>
    <n v="10"/>
    <n v="4"/>
    <n v="3"/>
    <n v="10"/>
    <n v="9"/>
    <n v="1"/>
    <n v="7"/>
    <x v="0"/>
    <n v="0"/>
    <s v="&lt;30"/>
    <x v="2"/>
    <n v="1"/>
    <s v="Low"/>
  </r>
  <r>
    <n v="31"/>
    <s v="No"/>
    <s v="Travel_Rarely"/>
    <n v="311"/>
    <x v="1"/>
    <n v="20"/>
    <n v="3"/>
    <s v="Life Sciences"/>
    <n v="1881"/>
    <n v="2"/>
    <x v="1"/>
    <n v="89"/>
    <n v="3"/>
    <n v="2"/>
    <x v="2"/>
    <x v="2"/>
    <s v="Divorced"/>
    <n v="4197"/>
    <n v="18624"/>
    <n v="1"/>
    <x v="1"/>
    <n v="11"/>
    <n v="3"/>
    <n v="1"/>
    <n v="1"/>
    <n v="10"/>
    <n v="2"/>
    <n v="3"/>
    <n v="10"/>
    <n v="8"/>
    <n v="0"/>
    <n v="2"/>
    <x v="0"/>
    <n v="0"/>
    <s v="30–39"/>
    <x v="2"/>
    <n v="0"/>
    <s v="Low"/>
  </r>
  <r>
    <n v="34"/>
    <s v="No"/>
    <s v="Travel_Rarely"/>
    <n v="1480"/>
    <x v="0"/>
    <n v="4"/>
    <n v="3"/>
    <s v="Life Sciences"/>
    <n v="1882"/>
    <n v="3"/>
    <x v="1"/>
    <n v="64"/>
    <n v="3"/>
    <n v="3"/>
    <x v="0"/>
    <x v="0"/>
    <s v="Married"/>
    <n v="9713"/>
    <n v="24444"/>
    <n v="2"/>
    <x v="0"/>
    <n v="13"/>
    <n v="3"/>
    <n v="4"/>
    <n v="3"/>
    <n v="9"/>
    <n v="3"/>
    <n v="3"/>
    <n v="5"/>
    <n v="3"/>
    <n v="1"/>
    <n v="0"/>
    <x v="3"/>
    <n v="0"/>
    <s v="30–39"/>
    <x v="0"/>
    <n v="1"/>
    <s v="Low"/>
  </r>
  <r>
    <n v="29"/>
    <s v="No"/>
    <s v="Travel_Rarely"/>
    <n v="592"/>
    <x v="1"/>
    <n v="7"/>
    <n v="3"/>
    <s v="Life Sciences"/>
    <n v="1883"/>
    <n v="4"/>
    <x v="1"/>
    <n v="59"/>
    <n v="3"/>
    <n v="1"/>
    <x v="2"/>
    <x v="3"/>
    <s v="Single"/>
    <n v="2062"/>
    <n v="19384"/>
    <n v="3"/>
    <x v="1"/>
    <n v="14"/>
    <n v="3"/>
    <n v="2"/>
    <n v="0"/>
    <n v="11"/>
    <n v="2"/>
    <n v="3"/>
    <n v="3"/>
    <n v="2"/>
    <n v="1"/>
    <n v="2"/>
    <x v="2"/>
    <n v="0"/>
    <s v="30–39"/>
    <x v="1"/>
    <n v="2"/>
    <s v="Medium"/>
  </r>
  <r>
    <n v="37"/>
    <s v="No"/>
    <s v="Travel_Rarely"/>
    <n v="783"/>
    <x v="1"/>
    <n v="7"/>
    <n v="4"/>
    <s v="Medical"/>
    <n v="1885"/>
    <n v="4"/>
    <x v="1"/>
    <n v="78"/>
    <n v="3"/>
    <n v="2"/>
    <x v="1"/>
    <x v="3"/>
    <s v="Married"/>
    <n v="4284"/>
    <n v="13588"/>
    <n v="5"/>
    <x v="0"/>
    <n v="22"/>
    <n v="4"/>
    <n v="3"/>
    <n v="1"/>
    <n v="16"/>
    <n v="2"/>
    <n v="3"/>
    <n v="5"/>
    <n v="3"/>
    <n v="0"/>
    <n v="4"/>
    <x v="3"/>
    <n v="0"/>
    <s v="&lt;30"/>
    <x v="1"/>
    <n v="2"/>
    <s v="Medium"/>
  </r>
  <r>
    <n v="35"/>
    <s v="No"/>
    <s v="Travel_Rarely"/>
    <n v="219"/>
    <x v="1"/>
    <n v="16"/>
    <n v="2"/>
    <s v="Other"/>
    <n v="1886"/>
    <n v="4"/>
    <x v="0"/>
    <n v="44"/>
    <n v="2"/>
    <n v="2"/>
    <x v="3"/>
    <x v="1"/>
    <s v="Married"/>
    <n v="4788"/>
    <n v="25388"/>
    <n v="0"/>
    <x v="0"/>
    <n v="11"/>
    <n v="3"/>
    <n v="4"/>
    <n v="0"/>
    <n v="4"/>
    <n v="2"/>
    <n v="3"/>
    <n v="3"/>
    <n v="2"/>
    <n v="0"/>
    <n v="2"/>
    <x v="2"/>
    <n v="0"/>
    <s v="30–39"/>
    <x v="1"/>
    <n v="3"/>
    <s v="High"/>
  </r>
  <r>
    <n v="45"/>
    <s v="No"/>
    <s v="Travel_Rarely"/>
    <n v="556"/>
    <x v="1"/>
    <n v="25"/>
    <n v="2"/>
    <s v="Life Sciences"/>
    <n v="1888"/>
    <n v="2"/>
    <x v="0"/>
    <n v="93"/>
    <n v="2"/>
    <n v="2"/>
    <x v="3"/>
    <x v="0"/>
    <s v="Married"/>
    <n v="5906"/>
    <n v="23888"/>
    <n v="0"/>
    <x v="1"/>
    <n v="13"/>
    <n v="3"/>
    <n v="4"/>
    <n v="2"/>
    <n v="10"/>
    <n v="2"/>
    <n v="2"/>
    <n v="9"/>
    <n v="8"/>
    <n v="3"/>
    <n v="8"/>
    <x v="0"/>
    <n v="0"/>
    <s v="30–39"/>
    <x v="0"/>
    <n v="0"/>
    <s v="Low"/>
  </r>
  <r>
    <n v="36"/>
    <s v="No"/>
    <s v="Travel_Frequently"/>
    <n v="1213"/>
    <x v="2"/>
    <n v="2"/>
    <n v="1"/>
    <s v="Human Resources"/>
    <n v="1890"/>
    <n v="2"/>
    <x v="1"/>
    <n v="94"/>
    <n v="2"/>
    <n v="2"/>
    <x v="8"/>
    <x v="0"/>
    <s v="Single"/>
    <n v="3886"/>
    <n v="4223"/>
    <n v="1"/>
    <x v="1"/>
    <n v="21"/>
    <n v="4"/>
    <n v="4"/>
    <n v="0"/>
    <n v="10"/>
    <n v="2"/>
    <n v="2"/>
    <n v="10"/>
    <n v="1"/>
    <n v="0"/>
    <n v="8"/>
    <x v="0"/>
    <n v="0"/>
    <s v="40–49"/>
    <x v="0"/>
    <n v="0"/>
    <s v="Low"/>
  </r>
  <r>
    <n v="40"/>
    <s v="No"/>
    <s v="Travel_Rarely"/>
    <n v="1137"/>
    <x v="1"/>
    <n v="1"/>
    <n v="4"/>
    <s v="Life Sciences"/>
    <n v="1892"/>
    <n v="1"/>
    <x v="1"/>
    <n v="98"/>
    <n v="3"/>
    <n v="4"/>
    <x v="5"/>
    <x v="3"/>
    <s v="Divorced"/>
    <n v="16823"/>
    <n v="18991"/>
    <n v="2"/>
    <x v="1"/>
    <n v="11"/>
    <n v="3"/>
    <n v="1"/>
    <n v="1"/>
    <n v="22"/>
    <n v="3"/>
    <n v="3"/>
    <n v="19"/>
    <n v="7"/>
    <n v="11"/>
    <n v="16"/>
    <x v="0"/>
    <n v="0"/>
    <s v="30–39"/>
    <x v="1"/>
    <n v="1"/>
    <s v="Low"/>
  </r>
  <r>
    <n v="26"/>
    <s v="No"/>
    <s v="Travel_Rarely"/>
    <n v="482"/>
    <x v="1"/>
    <n v="1"/>
    <n v="2"/>
    <s v="Life Sciences"/>
    <n v="1893"/>
    <n v="2"/>
    <x v="0"/>
    <n v="90"/>
    <n v="2"/>
    <n v="1"/>
    <x v="1"/>
    <x v="2"/>
    <s v="Married"/>
    <n v="2933"/>
    <n v="14908"/>
    <n v="1"/>
    <x v="0"/>
    <n v="13"/>
    <n v="3"/>
    <n v="3"/>
    <n v="1"/>
    <n v="1"/>
    <n v="3"/>
    <n v="2"/>
    <n v="1"/>
    <n v="0"/>
    <n v="1"/>
    <n v="0"/>
    <x v="2"/>
    <n v="0"/>
    <s v="40–49"/>
    <x v="2"/>
    <n v="2"/>
    <s v="Medium"/>
  </r>
  <r>
    <n v="27"/>
    <s v="No"/>
    <s v="Travel_Rarely"/>
    <n v="511"/>
    <x v="0"/>
    <n v="2"/>
    <n v="2"/>
    <s v="Medical"/>
    <n v="1898"/>
    <n v="1"/>
    <x v="0"/>
    <n v="89"/>
    <n v="4"/>
    <n v="2"/>
    <x v="0"/>
    <x v="2"/>
    <s v="Single"/>
    <n v="6500"/>
    <n v="26997"/>
    <n v="0"/>
    <x v="1"/>
    <n v="14"/>
    <n v="3"/>
    <n v="2"/>
    <n v="0"/>
    <n v="9"/>
    <n v="5"/>
    <n v="2"/>
    <n v="8"/>
    <n v="7"/>
    <n v="0"/>
    <n v="7"/>
    <x v="0"/>
    <n v="0"/>
    <s v="&lt;30"/>
    <x v="2"/>
    <n v="0"/>
    <s v="Low"/>
  </r>
  <r>
    <n v="48"/>
    <s v="No"/>
    <s v="Travel_Frequently"/>
    <n v="117"/>
    <x v="1"/>
    <n v="22"/>
    <n v="3"/>
    <s v="Medical"/>
    <n v="1900"/>
    <n v="4"/>
    <x v="0"/>
    <n v="58"/>
    <n v="3"/>
    <n v="4"/>
    <x v="5"/>
    <x v="0"/>
    <s v="Divorced"/>
    <n v="17174"/>
    <n v="2437"/>
    <n v="3"/>
    <x v="1"/>
    <n v="11"/>
    <n v="3"/>
    <n v="2"/>
    <n v="1"/>
    <n v="24"/>
    <n v="3"/>
    <n v="3"/>
    <n v="22"/>
    <n v="17"/>
    <n v="4"/>
    <n v="7"/>
    <x v="0"/>
    <n v="0"/>
    <s v="&lt;30"/>
    <x v="0"/>
    <n v="0"/>
    <s v="Low"/>
  </r>
  <r>
    <n v="44"/>
    <s v="No"/>
    <s v="Travel_Rarely"/>
    <n v="170"/>
    <x v="1"/>
    <n v="1"/>
    <n v="4"/>
    <s v="Life Sciences"/>
    <n v="1903"/>
    <n v="2"/>
    <x v="1"/>
    <n v="78"/>
    <n v="4"/>
    <n v="2"/>
    <x v="4"/>
    <x v="3"/>
    <s v="Married"/>
    <n v="5033"/>
    <n v="9364"/>
    <n v="2"/>
    <x v="1"/>
    <n v="15"/>
    <n v="3"/>
    <n v="4"/>
    <n v="1"/>
    <n v="10"/>
    <n v="5"/>
    <n v="3"/>
    <n v="2"/>
    <n v="0"/>
    <n v="2"/>
    <n v="2"/>
    <x v="2"/>
    <n v="0"/>
    <s v="40–49"/>
    <x v="1"/>
    <n v="2"/>
    <s v="Medium"/>
  </r>
  <r>
    <n v="34"/>
    <s v="Yes"/>
    <s v="Non-Travel"/>
    <n v="967"/>
    <x v="1"/>
    <n v="16"/>
    <n v="4"/>
    <s v="Technical Degree"/>
    <n v="1905"/>
    <n v="4"/>
    <x v="1"/>
    <n v="85"/>
    <n v="1"/>
    <n v="1"/>
    <x v="1"/>
    <x v="3"/>
    <s v="Married"/>
    <n v="2307"/>
    <n v="14460"/>
    <n v="1"/>
    <x v="0"/>
    <n v="23"/>
    <n v="4"/>
    <n v="2"/>
    <n v="1"/>
    <n v="5"/>
    <n v="2"/>
    <n v="3"/>
    <n v="5"/>
    <n v="2"/>
    <n v="3"/>
    <n v="0"/>
    <x v="3"/>
    <n v="1"/>
    <s v="40–49"/>
    <x v="1"/>
    <n v="2"/>
    <s v="Medium"/>
  </r>
  <r>
    <n v="56"/>
    <s v="Yes"/>
    <s v="Travel_Rarely"/>
    <n v="1162"/>
    <x v="1"/>
    <n v="24"/>
    <n v="2"/>
    <s v="Life Sciences"/>
    <n v="1907"/>
    <n v="1"/>
    <x v="1"/>
    <n v="97"/>
    <n v="3"/>
    <n v="1"/>
    <x v="2"/>
    <x v="0"/>
    <s v="Single"/>
    <n v="2587"/>
    <n v="10261"/>
    <n v="1"/>
    <x v="1"/>
    <n v="16"/>
    <n v="3"/>
    <n v="4"/>
    <n v="0"/>
    <n v="5"/>
    <n v="3"/>
    <n v="3"/>
    <n v="4"/>
    <n v="2"/>
    <n v="1"/>
    <n v="0"/>
    <x v="3"/>
    <n v="1"/>
    <s v="30–39"/>
    <x v="0"/>
    <n v="0"/>
    <s v="Low"/>
  </r>
  <r>
    <n v="36"/>
    <s v="No"/>
    <s v="Travel_Rarely"/>
    <n v="335"/>
    <x v="0"/>
    <n v="17"/>
    <n v="2"/>
    <s v="Marketing"/>
    <n v="1908"/>
    <n v="3"/>
    <x v="1"/>
    <n v="33"/>
    <n v="2"/>
    <n v="2"/>
    <x v="0"/>
    <x v="1"/>
    <s v="Married"/>
    <n v="5507"/>
    <n v="16822"/>
    <n v="2"/>
    <x v="1"/>
    <n v="16"/>
    <n v="3"/>
    <n v="3"/>
    <n v="2"/>
    <n v="12"/>
    <n v="1"/>
    <n v="1"/>
    <n v="4"/>
    <n v="2"/>
    <n v="1"/>
    <n v="3"/>
    <x v="3"/>
    <n v="0"/>
    <s v="50+"/>
    <x v="1"/>
    <n v="1"/>
    <s v="Low"/>
  </r>
  <r>
    <n v="41"/>
    <s v="No"/>
    <s v="Travel_Rarely"/>
    <n v="337"/>
    <x v="0"/>
    <n v="8"/>
    <n v="3"/>
    <s v="Marketing"/>
    <n v="1909"/>
    <n v="3"/>
    <x v="0"/>
    <n v="54"/>
    <n v="3"/>
    <n v="2"/>
    <x v="0"/>
    <x v="1"/>
    <s v="Married"/>
    <n v="4393"/>
    <n v="26841"/>
    <n v="5"/>
    <x v="1"/>
    <n v="21"/>
    <n v="4"/>
    <n v="3"/>
    <n v="1"/>
    <n v="14"/>
    <n v="3"/>
    <n v="3"/>
    <n v="5"/>
    <n v="4"/>
    <n v="1"/>
    <n v="4"/>
    <x v="3"/>
    <n v="0"/>
    <s v="30–39"/>
    <x v="1"/>
    <n v="1"/>
    <s v="Low"/>
  </r>
  <r>
    <n v="42"/>
    <s v="No"/>
    <s v="Travel_Rarely"/>
    <n v="1396"/>
    <x v="1"/>
    <n v="6"/>
    <n v="3"/>
    <s v="Medical"/>
    <n v="1911"/>
    <n v="3"/>
    <x v="1"/>
    <n v="83"/>
    <n v="3"/>
    <n v="3"/>
    <x v="7"/>
    <x v="3"/>
    <s v="Married"/>
    <n v="13348"/>
    <n v="14842"/>
    <n v="9"/>
    <x v="1"/>
    <n v="13"/>
    <n v="3"/>
    <n v="2"/>
    <n v="1"/>
    <n v="18"/>
    <n v="3"/>
    <n v="4"/>
    <n v="13"/>
    <n v="7"/>
    <n v="5"/>
    <n v="7"/>
    <x v="0"/>
    <n v="0"/>
    <s v="40–49"/>
    <x v="1"/>
    <n v="1"/>
    <s v="Low"/>
  </r>
  <r>
    <n v="31"/>
    <s v="No"/>
    <s v="Travel_Rarely"/>
    <n v="1079"/>
    <x v="0"/>
    <n v="10"/>
    <n v="2"/>
    <s v="Medical"/>
    <n v="1912"/>
    <n v="3"/>
    <x v="0"/>
    <n v="86"/>
    <n v="3"/>
    <n v="2"/>
    <x v="0"/>
    <x v="0"/>
    <s v="Divorced"/>
    <n v="6583"/>
    <n v="20115"/>
    <n v="2"/>
    <x v="0"/>
    <n v="11"/>
    <n v="3"/>
    <n v="4"/>
    <n v="1"/>
    <n v="8"/>
    <n v="2"/>
    <n v="3"/>
    <n v="5"/>
    <n v="2"/>
    <n v="1"/>
    <n v="4"/>
    <x v="3"/>
    <n v="0"/>
    <s v="40–49"/>
    <x v="0"/>
    <n v="1"/>
    <s v="Low"/>
  </r>
  <r>
    <n v="34"/>
    <s v="No"/>
    <s v="Travel_Rarely"/>
    <n v="735"/>
    <x v="0"/>
    <n v="3"/>
    <n v="1"/>
    <s v="Medical"/>
    <n v="1915"/>
    <n v="4"/>
    <x v="0"/>
    <n v="75"/>
    <n v="2"/>
    <n v="2"/>
    <x v="0"/>
    <x v="0"/>
    <s v="Married"/>
    <n v="8103"/>
    <n v="16495"/>
    <n v="3"/>
    <x v="0"/>
    <n v="12"/>
    <n v="3"/>
    <n v="3"/>
    <n v="0"/>
    <n v="9"/>
    <n v="3"/>
    <n v="2"/>
    <n v="4"/>
    <n v="2"/>
    <n v="0"/>
    <n v="1"/>
    <x v="3"/>
    <n v="0"/>
    <s v="30–39"/>
    <x v="0"/>
    <n v="1"/>
    <s v="Low"/>
  </r>
  <r>
    <n v="31"/>
    <s v="No"/>
    <s v="Travel_Rarely"/>
    <n v="471"/>
    <x v="1"/>
    <n v="4"/>
    <n v="3"/>
    <s v="Medical"/>
    <n v="1916"/>
    <n v="1"/>
    <x v="0"/>
    <n v="62"/>
    <n v="4"/>
    <n v="1"/>
    <x v="2"/>
    <x v="2"/>
    <s v="Divorced"/>
    <n v="3978"/>
    <n v="16031"/>
    <n v="8"/>
    <x v="1"/>
    <n v="12"/>
    <n v="3"/>
    <n v="2"/>
    <n v="1"/>
    <n v="4"/>
    <n v="0"/>
    <n v="2"/>
    <n v="2"/>
    <n v="2"/>
    <n v="2"/>
    <n v="2"/>
    <x v="2"/>
    <n v="0"/>
    <s v="30–39"/>
    <x v="2"/>
    <n v="1"/>
    <s v="Low"/>
  </r>
  <r>
    <n v="26"/>
    <s v="No"/>
    <s v="Travel_Frequently"/>
    <n v="1096"/>
    <x v="1"/>
    <n v="6"/>
    <n v="3"/>
    <s v="Other"/>
    <n v="1918"/>
    <n v="3"/>
    <x v="1"/>
    <n v="61"/>
    <n v="4"/>
    <n v="1"/>
    <x v="2"/>
    <x v="0"/>
    <s v="Married"/>
    <n v="2544"/>
    <n v="7102"/>
    <n v="0"/>
    <x v="1"/>
    <n v="18"/>
    <n v="3"/>
    <n v="1"/>
    <n v="1"/>
    <n v="8"/>
    <n v="3"/>
    <n v="3"/>
    <n v="7"/>
    <n v="7"/>
    <n v="7"/>
    <n v="7"/>
    <x v="0"/>
    <n v="0"/>
    <s v="30–39"/>
    <x v="0"/>
    <n v="0"/>
    <s v="Low"/>
  </r>
  <r>
    <n v="45"/>
    <s v="No"/>
    <s v="Travel_Frequently"/>
    <n v="1297"/>
    <x v="1"/>
    <n v="1"/>
    <n v="4"/>
    <s v="Medical"/>
    <n v="1922"/>
    <n v="2"/>
    <x v="1"/>
    <n v="44"/>
    <n v="3"/>
    <n v="2"/>
    <x v="4"/>
    <x v="2"/>
    <s v="Single"/>
    <n v="5399"/>
    <n v="14511"/>
    <n v="4"/>
    <x v="1"/>
    <n v="12"/>
    <n v="3"/>
    <n v="3"/>
    <n v="0"/>
    <n v="12"/>
    <n v="3"/>
    <n v="3"/>
    <n v="4"/>
    <n v="2"/>
    <n v="0"/>
    <n v="3"/>
    <x v="3"/>
    <n v="0"/>
    <s v="&lt;30"/>
    <x v="2"/>
    <n v="0"/>
    <s v="Low"/>
  </r>
  <r>
    <n v="33"/>
    <s v="No"/>
    <s v="Travel_Rarely"/>
    <n v="217"/>
    <x v="0"/>
    <n v="10"/>
    <n v="4"/>
    <s v="Marketing"/>
    <n v="1924"/>
    <n v="2"/>
    <x v="1"/>
    <n v="43"/>
    <n v="3"/>
    <n v="2"/>
    <x v="0"/>
    <x v="2"/>
    <s v="Single"/>
    <n v="5487"/>
    <n v="10410"/>
    <n v="1"/>
    <x v="1"/>
    <n v="14"/>
    <n v="3"/>
    <n v="2"/>
    <n v="0"/>
    <n v="10"/>
    <n v="2"/>
    <n v="2"/>
    <n v="10"/>
    <n v="4"/>
    <n v="0"/>
    <n v="9"/>
    <x v="0"/>
    <n v="0"/>
    <s v="40–49"/>
    <x v="2"/>
    <n v="0"/>
    <s v="Low"/>
  </r>
  <r>
    <n v="28"/>
    <s v="No"/>
    <s v="Travel_Frequently"/>
    <n v="783"/>
    <x v="0"/>
    <n v="1"/>
    <n v="2"/>
    <s v="Life Sciences"/>
    <n v="1927"/>
    <n v="3"/>
    <x v="1"/>
    <n v="42"/>
    <n v="2"/>
    <n v="2"/>
    <x v="0"/>
    <x v="0"/>
    <s v="Married"/>
    <n v="6834"/>
    <n v="19255"/>
    <n v="1"/>
    <x v="0"/>
    <n v="12"/>
    <n v="3"/>
    <n v="3"/>
    <n v="1"/>
    <n v="7"/>
    <n v="2"/>
    <n v="3"/>
    <n v="7"/>
    <n v="7"/>
    <n v="0"/>
    <n v="7"/>
    <x v="0"/>
    <n v="0"/>
    <s v="30–39"/>
    <x v="0"/>
    <n v="1"/>
    <s v="Low"/>
  </r>
  <r>
    <n v="29"/>
    <s v="Yes"/>
    <s v="Travel_Frequently"/>
    <n v="746"/>
    <x v="0"/>
    <n v="24"/>
    <n v="3"/>
    <s v="Technical Degree"/>
    <n v="1928"/>
    <n v="3"/>
    <x v="1"/>
    <n v="45"/>
    <n v="4"/>
    <n v="1"/>
    <x v="6"/>
    <x v="3"/>
    <s v="Single"/>
    <n v="1091"/>
    <n v="10642"/>
    <n v="1"/>
    <x v="1"/>
    <n v="17"/>
    <n v="3"/>
    <n v="4"/>
    <n v="0"/>
    <n v="1"/>
    <n v="3"/>
    <n v="3"/>
    <n v="1"/>
    <n v="0"/>
    <n v="0"/>
    <n v="0"/>
    <x v="2"/>
    <n v="1"/>
    <s v="&lt;30"/>
    <x v="1"/>
    <n v="2"/>
    <s v="Medium"/>
  </r>
  <r>
    <n v="39"/>
    <s v="No"/>
    <s v="Non-Travel"/>
    <n v="1251"/>
    <x v="0"/>
    <n v="21"/>
    <n v="4"/>
    <s v="Life Sciences"/>
    <n v="1929"/>
    <n v="1"/>
    <x v="0"/>
    <n v="32"/>
    <n v="1"/>
    <n v="2"/>
    <x v="0"/>
    <x v="2"/>
    <s v="Married"/>
    <n v="5736"/>
    <n v="3987"/>
    <n v="6"/>
    <x v="1"/>
    <n v="19"/>
    <n v="3"/>
    <n v="3"/>
    <n v="1"/>
    <n v="10"/>
    <n v="1"/>
    <n v="3"/>
    <n v="3"/>
    <n v="2"/>
    <n v="1"/>
    <n v="2"/>
    <x v="2"/>
    <n v="0"/>
    <s v="&lt;30"/>
    <x v="2"/>
    <n v="1"/>
    <s v="Low"/>
  </r>
  <r>
    <n v="27"/>
    <s v="No"/>
    <s v="Travel_Rarely"/>
    <n v="1354"/>
    <x v="1"/>
    <n v="2"/>
    <n v="4"/>
    <s v="Technical Degree"/>
    <n v="1931"/>
    <n v="2"/>
    <x v="1"/>
    <n v="41"/>
    <n v="3"/>
    <n v="1"/>
    <x v="1"/>
    <x v="1"/>
    <s v="Married"/>
    <n v="2226"/>
    <n v="6073"/>
    <n v="1"/>
    <x v="1"/>
    <n v="11"/>
    <n v="3"/>
    <n v="3"/>
    <n v="1"/>
    <n v="6"/>
    <n v="3"/>
    <n v="2"/>
    <n v="5"/>
    <n v="3"/>
    <n v="1"/>
    <n v="2"/>
    <x v="3"/>
    <n v="0"/>
    <s v="30–39"/>
    <x v="1"/>
    <n v="1"/>
    <s v="Low"/>
  </r>
  <r>
    <n v="34"/>
    <s v="No"/>
    <s v="Travel_Frequently"/>
    <n v="735"/>
    <x v="1"/>
    <n v="22"/>
    <n v="4"/>
    <s v="Other"/>
    <n v="1932"/>
    <n v="3"/>
    <x v="1"/>
    <n v="86"/>
    <n v="2"/>
    <n v="2"/>
    <x v="1"/>
    <x v="0"/>
    <s v="Married"/>
    <n v="5747"/>
    <n v="26496"/>
    <n v="1"/>
    <x v="0"/>
    <n v="15"/>
    <n v="3"/>
    <n v="2"/>
    <n v="0"/>
    <n v="16"/>
    <n v="3"/>
    <n v="3"/>
    <n v="15"/>
    <n v="10"/>
    <n v="6"/>
    <n v="11"/>
    <x v="0"/>
    <n v="0"/>
    <s v="&lt;30"/>
    <x v="0"/>
    <n v="1"/>
    <s v="Low"/>
  </r>
  <r>
    <n v="28"/>
    <s v="Yes"/>
    <s v="Travel_Rarely"/>
    <n v="1475"/>
    <x v="0"/>
    <n v="13"/>
    <n v="2"/>
    <s v="Marketing"/>
    <n v="1933"/>
    <n v="4"/>
    <x v="0"/>
    <n v="84"/>
    <n v="3"/>
    <n v="2"/>
    <x v="0"/>
    <x v="2"/>
    <s v="Single"/>
    <n v="9854"/>
    <n v="23352"/>
    <n v="3"/>
    <x v="0"/>
    <n v="11"/>
    <n v="3"/>
    <n v="4"/>
    <n v="0"/>
    <n v="6"/>
    <n v="0"/>
    <n v="3"/>
    <n v="2"/>
    <n v="0"/>
    <n v="2"/>
    <n v="2"/>
    <x v="2"/>
    <n v="1"/>
    <s v="30–39"/>
    <x v="2"/>
    <n v="2"/>
    <s v="Medium"/>
  </r>
  <r>
    <n v="47"/>
    <s v="No"/>
    <s v="Non-Travel"/>
    <n v="1169"/>
    <x v="1"/>
    <n v="14"/>
    <n v="4"/>
    <s v="Technical Degree"/>
    <n v="1934"/>
    <n v="3"/>
    <x v="1"/>
    <n v="64"/>
    <n v="3"/>
    <n v="2"/>
    <x v="1"/>
    <x v="1"/>
    <s v="Married"/>
    <n v="5467"/>
    <n v="2125"/>
    <n v="8"/>
    <x v="1"/>
    <n v="18"/>
    <n v="3"/>
    <n v="3"/>
    <n v="1"/>
    <n v="16"/>
    <n v="4"/>
    <n v="4"/>
    <n v="8"/>
    <n v="7"/>
    <n v="1"/>
    <n v="7"/>
    <x v="0"/>
    <n v="0"/>
    <s v="&lt;30"/>
    <x v="1"/>
    <n v="1"/>
    <s v="Low"/>
  </r>
  <r>
    <n v="56"/>
    <s v="No"/>
    <s v="Travel_Rarely"/>
    <n v="1443"/>
    <x v="0"/>
    <n v="11"/>
    <n v="5"/>
    <s v="Marketing"/>
    <n v="1935"/>
    <n v="4"/>
    <x v="0"/>
    <n v="89"/>
    <n v="2"/>
    <n v="2"/>
    <x v="0"/>
    <x v="3"/>
    <s v="Married"/>
    <n v="5380"/>
    <n v="20328"/>
    <n v="4"/>
    <x v="1"/>
    <n v="16"/>
    <n v="3"/>
    <n v="3"/>
    <n v="1"/>
    <n v="6"/>
    <n v="3"/>
    <n v="3"/>
    <n v="0"/>
    <n v="0"/>
    <n v="0"/>
    <n v="0"/>
    <x v="1"/>
    <n v="0"/>
    <s v="40–49"/>
    <x v="1"/>
    <n v="2"/>
    <s v="Medium"/>
  </r>
  <r>
    <n v="39"/>
    <s v="No"/>
    <s v="Travel_Rarely"/>
    <n v="867"/>
    <x v="1"/>
    <n v="9"/>
    <n v="2"/>
    <s v="Medical"/>
    <n v="1936"/>
    <n v="1"/>
    <x v="1"/>
    <n v="87"/>
    <n v="3"/>
    <n v="2"/>
    <x v="3"/>
    <x v="3"/>
    <s v="Married"/>
    <n v="5151"/>
    <n v="12315"/>
    <n v="1"/>
    <x v="1"/>
    <n v="25"/>
    <n v="4"/>
    <n v="4"/>
    <n v="1"/>
    <n v="10"/>
    <n v="3"/>
    <n v="3"/>
    <n v="10"/>
    <n v="0"/>
    <n v="7"/>
    <n v="9"/>
    <x v="0"/>
    <n v="0"/>
    <s v="50+"/>
    <x v="1"/>
    <n v="1"/>
    <s v="Low"/>
  </r>
  <r>
    <n v="38"/>
    <s v="No"/>
    <s v="Travel_Frequently"/>
    <n v="1394"/>
    <x v="1"/>
    <n v="8"/>
    <n v="3"/>
    <s v="Medical"/>
    <n v="1937"/>
    <n v="4"/>
    <x v="0"/>
    <n v="58"/>
    <n v="2"/>
    <n v="2"/>
    <x v="1"/>
    <x v="1"/>
    <s v="Divorced"/>
    <n v="2133"/>
    <n v="18115"/>
    <n v="1"/>
    <x v="0"/>
    <n v="16"/>
    <n v="3"/>
    <n v="3"/>
    <n v="1"/>
    <n v="20"/>
    <n v="3"/>
    <n v="3"/>
    <n v="20"/>
    <n v="11"/>
    <n v="0"/>
    <n v="7"/>
    <x v="0"/>
    <n v="0"/>
    <s v="30–39"/>
    <x v="1"/>
    <n v="2"/>
    <s v="Medium"/>
  </r>
  <r>
    <n v="58"/>
    <s v="No"/>
    <s v="Travel_Rarely"/>
    <n v="605"/>
    <x v="0"/>
    <n v="21"/>
    <n v="3"/>
    <s v="Life Sciences"/>
    <n v="1938"/>
    <n v="4"/>
    <x v="0"/>
    <n v="72"/>
    <n v="3"/>
    <n v="4"/>
    <x v="5"/>
    <x v="0"/>
    <s v="Married"/>
    <n v="17875"/>
    <n v="11761"/>
    <n v="4"/>
    <x v="0"/>
    <n v="13"/>
    <n v="3"/>
    <n v="3"/>
    <n v="1"/>
    <n v="29"/>
    <n v="2"/>
    <n v="2"/>
    <n v="1"/>
    <n v="0"/>
    <n v="0"/>
    <n v="0"/>
    <x v="2"/>
    <n v="0"/>
    <s v="30–39"/>
    <x v="0"/>
    <n v="2"/>
    <s v="Medium"/>
  </r>
  <r>
    <n v="32"/>
    <s v="Yes"/>
    <s v="Travel_Frequently"/>
    <n v="238"/>
    <x v="1"/>
    <n v="5"/>
    <n v="2"/>
    <s v="Life Sciences"/>
    <n v="1939"/>
    <n v="1"/>
    <x v="0"/>
    <n v="47"/>
    <n v="4"/>
    <n v="1"/>
    <x v="1"/>
    <x v="2"/>
    <s v="Single"/>
    <n v="2432"/>
    <n v="15318"/>
    <n v="3"/>
    <x v="0"/>
    <n v="14"/>
    <n v="3"/>
    <n v="1"/>
    <n v="0"/>
    <n v="8"/>
    <n v="2"/>
    <n v="3"/>
    <n v="4"/>
    <n v="1"/>
    <n v="0"/>
    <n v="3"/>
    <x v="3"/>
    <n v="1"/>
    <s v="50+"/>
    <x v="2"/>
    <n v="1"/>
    <s v="Low"/>
  </r>
  <r>
    <n v="38"/>
    <s v="No"/>
    <s v="Travel_Rarely"/>
    <n v="1206"/>
    <x v="1"/>
    <n v="9"/>
    <n v="2"/>
    <s v="Life Sciences"/>
    <n v="1940"/>
    <n v="2"/>
    <x v="1"/>
    <n v="71"/>
    <n v="3"/>
    <n v="1"/>
    <x v="1"/>
    <x v="0"/>
    <s v="Divorced"/>
    <n v="4771"/>
    <n v="14293"/>
    <n v="2"/>
    <x v="1"/>
    <n v="19"/>
    <n v="3"/>
    <n v="4"/>
    <n v="2"/>
    <n v="10"/>
    <n v="0"/>
    <n v="4"/>
    <n v="5"/>
    <n v="2"/>
    <n v="0"/>
    <n v="3"/>
    <x v="3"/>
    <n v="0"/>
    <s v="30–39"/>
    <x v="0"/>
    <n v="0"/>
    <s v="Low"/>
  </r>
  <r>
    <n v="49"/>
    <s v="No"/>
    <s v="Travel_Frequently"/>
    <n v="1064"/>
    <x v="1"/>
    <n v="2"/>
    <n v="1"/>
    <s v="Life Sciences"/>
    <n v="1941"/>
    <n v="2"/>
    <x v="1"/>
    <n v="42"/>
    <n v="3"/>
    <n v="5"/>
    <x v="7"/>
    <x v="0"/>
    <s v="Married"/>
    <n v="19161"/>
    <n v="13738"/>
    <n v="3"/>
    <x v="1"/>
    <n v="15"/>
    <n v="3"/>
    <n v="4"/>
    <n v="0"/>
    <n v="28"/>
    <n v="3"/>
    <n v="3"/>
    <n v="5"/>
    <n v="4"/>
    <n v="4"/>
    <n v="3"/>
    <x v="3"/>
    <n v="0"/>
    <s v="30–39"/>
    <x v="0"/>
    <n v="0"/>
    <s v="Low"/>
  </r>
  <r>
    <n v="42"/>
    <s v="No"/>
    <s v="Travel_Rarely"/>
    <n v="419"/>
    <x v="0"/>
    <n v="12"/>
    <n v="4"/>
    <s v="Marketing"/>
    <n v="1943"/>
    <n v="2"/>
    <x v="1"/>
    <n v="77"/>
    <n v="3"/>
    <n v="2"/>
    <x v="0"/>
    <x v="0"/>
    <s v="Divorced"/>
    <n v="5087"/>
    <n v="2900"/>
    <n v="3"/>
    <x v="0"/>
    <n v="12"/>
    <n v="3"/>
    <n v="3"/>
    <n v="2"/>
    <n v="14"/>
    <n v="4"/>
    <n v="3"/>
    <n v="0"/>
    <n v="0"/>
    <n v="0"/>
    <n v="0"/>
    <x v="1"/>
    <n v="0"/>
    <s v="40–49"/>
    <x v="0"/>
    <n v="2"/>
    <s v="Medium"/>
  </r>
  <r>
    <n v="27"/>
    <s v="Yes"/>
    <s v="Travel_Frequently"/>
    <n v="1337"/>
    <x v="2"/>
    <n v="22"/>
    <n v="3"/>
    <s v="Human Resources"/>
    <n v="1944"/>
    <n v="1"/>
    <x v="0"/>
    <n v="58"/>
    <n v="2"/>
    <n v="1"/>
    <x v="8"/>
    <x v="1"/>
    <s v="Married"/>
    <n v="2863"/>
    <n v="19555"/>
    <n v="1"/>
    <x v="1"/>
    <n v="12"/>
    <n v="3"/>
    <n v="1"/>
    <n v="0"/>
    <n v="1"/>
    <n v="2"/>
    <n v="3"/>
    <n v="1"/>
    <n v="0"/>
    <n v="0"/>
    <n v="0"/>
    <x v="2"/>
    <n v="1"/>
    <s v="40–49"/>
    <x v="1"/>
    <n v="2"/>
    <s v="Medium"/>
  </r>
  <r>
    <n v="35"/>
    <s v="No"/>
    <s v="Travel_Rarely"/>
    <n v="682"/>
    <x v="0"/>
    <n v="18"/>
    <n v="4"/>
    <s v="Medical"/>
    <n v="1945"/>
    <n v="2"/>
    <x v="1"/>
    <n v="71"/>
    <n v="3"/>
    <n v="2"/>
    <x v="0"/>
    <x v="3"/>
    <s v="Married"/>
    <n v="5561"/>
    <n v="15975"/>
    <n v="0"/>
    <x v="1"/>
    <n v="16"/>
    <n v="3"/>
    <n v="4"/>
    <n v="1"/>
    <n v="6"/>
    <n v="2"/>
    <n v="1"/>
    <n v="5"/>
    <n v="3"/>
    <n v="0"/>
    <n v="4"/>
    <x v="3"/>
    <n v="0"/>
    <s v="&lt;30"/>
    <x v="1"/>
    <n v="1"/>
    <s v="Low"/>
  </r>
  <r>
    <n v="28"/>
    <s v="No"/>
    <s v="Non-Travel"/>
    <n v="1103"/>
    <x v="1"/>
    <n v="16"/>
    <n v="3"/>
    <s v="Medical"/>
    <n v="1947"/>
    <n v="3"/>
    <x v="1"/>
    <n v="49"/>
    <n v="3"/>
    <n v="1"/>
    <x v="1"/>
    <x v="2"/>
    <s v="Single"/>
    <n v="2144"/>
    <n v="2122"/>
    <n v="1"/>
    <x v="1"/>
    <n v="14"/>
    <n v="3"/>
    <n v="3"/>
    <n v="0"/>
    <n v="5"/>
    <n v="3"/>
    <n v="2"/>
    <n v="5"/>
    <n v="3"/>
    <n v="1"/>
    <n v="4"/>
    <x v="3"/>
    <n v="0"/>
    <s v="30–39"/>
    <x v="2"/>
    <n v="0"/>
    <s v="Low"/>
  </r>
  <r>
    <n v="31"/>
    <s v="No"/>
    <s v="Non-Travel"/>
    <n v="976"/>
    <x v="1"/>
    <n v="3"/>
    <n v="2"/>
    <s v="Medical"/>
    <n v="1948"/>
    <n v="3"/>
    <x v="1"/>
    <n v="48"/>
    <n v="3"/>
    <n v="1"/>
    <x v="1"/>
    <x v="3"/>
    <s v="Divorced"/>
    <n v="3065"/>
    <n v="3995"/>
    <n v="1"/>
    <x v="0"/>
    <n v="13"/>
    <n v="3"/>
    <n v="4"/>
    <n v="1"/>
    <n v="4"/>
    <n v="3"/>
    <n v="4"/>
    <n v="4"/>
    <n v="2"/>
    <n v="2"/>
    <n v="3"/>
    <x v="3"/>
    <n v="0"/>
    <s v="&lt;30"/>
    <x v="1"/>
    <n v="2"/>
    <s v="Medium"/>
  </r>
  <r>
    <n v="36"/>
    <s v="No"/>
    <s v="Non-Travel"/>
    <n v="1351"/>
    <x v="1"/>
    <n v="9"/>
    <n v="4"/>
    <s v="Life Sciences"/>
    <n v="1949"/>
    <n v="1"/>
    <x v="1"/>
    <n v="66"/>
    <n v="4"/>
    <n v="1"/>
    <x v="2"/>
    <x v="1"/>
    <s v="Married"/>
    <n v="2810"/>
    <n v="9238"/>
    <n v="1"/>
    <x v="1"/>
    <n v="22"/>
    <n v="4"/>
    <n v="2"/>
    <n v="0"/>
    <n v="5"/>
    <n v="3"/>
    <n v="3"/>
    <n v="5"/>
    <n v="4"/>
    <n v="0"/>
    <n v="2"/>
    <x v="3"/>
    <n v="0"/>
    <s v="30–39"/>
    <x v="1"/>
    <n v="1"/>
    <s v="Low"/>
  </r>
  <r>
    <n v="34"/>
    <s v="No"/>
    <s v="Travel_Rarely"/>
    <n v="937"/>
    <x v="0"/>
    <n v="1"/>
    <n v="3"/>
    <s v="Marketing"/>
    <n v="1950"/>
    <n v="1"/>
    <x v="1"/>
    <n v="32"/>
    <n v="3"/>
    <n v="3"/>
    <x v="0"/>
    <x v="0"/>
    <s v="Single"/>
    <n v="9888"/>
    <n v="6770"/>
    <n v="1"/>
    <x v="1"/>
    <n v="21"/>
    <n v="4"/>
    <n v="1"/>
    <n v="0"/>
    <n v="14"/>
    <n v="3"/>
    <n v="2"/>
    <n v="14"/>
    <n v="8"/>
    <n v="2"/>
    <n v="1"/>
    <x v="0"/>
    <n v="0"/>
    <s v="30–39"/>
    <x v="0"/>
    <n v="0"/>
    <s v="Low"/>
  </r>
  <r>
    <n v="34"/>
    <s v="No"/>
    <s v="Travel_Rarely"/>
    <n v="1239"/>
    <x v="0"/>
    <n v="13"/>
    <n v="4"/>
    <s v="Medical"/>
    <n v="1951"/>
    <n v="4"/>
    <x v="1"/>
    <n v="39"/>
    <n v="3"/>
    <n v="3"/>
    <x v="0"/>
    <x v="2"/>
    <s v="Divorced"/>
    <n v="8628"/>
    <n v="22914"/>
    <n v="1"/>
    <x v="1"/>
    <n v="18"/>
    <n v="3"/>
    <n v="3"/>
    <n v="1"/>
    <n v="9"/>
    <n v="2"/>
    <n v="2"/>
    <n v="8"/>
    <n v="7"/>
    <n v="1"/>
    <n v="1"/>
    <x v="0"/>
    <n v="0"/>
    <s v="30–39"/>
    <x v="2"/>
    <n v="0"/>
    <s v="Low"/>
  </r>
  <r>
    <n v="26"/>
    <s v="No"/>
    <s v="Travel_Rarely"/>
    <n v="157"/>
    <x v="1"/>
    <n v="1"/>
    <n v="3"/>
    <s v="Medical"/>
    <n v="1952"/>
    <n v="3"/>
    <x v="1"/>
    <n v="95"/>
    <n v="3"/>
    <n v="1"/>
    <x v="2"/>
    <x v="3"/>
    <s v="Single"/>
    <n v="2867"/>
    <n v="20006"/>
    <n v="0"/>
    <x v="1"/>
    <n v="13"/>
    <n v="3"/>
    <n v="4"/>
    <n v="0"/>
    <n v="8"/>
    <n v="6"/>
    <n v="2"/>
    <n v="7"/>
    <n v="7"/>
    <n v="7"/>
    <n v="6"/>
    <x v="0"/>
    <n v="0"/>
    <s v="30–39"/>
    <x v="1"/>
    <n v="1"/>
    <s v="Low"/>
  </r>
  <r>
    <n v="29"/>
    <s v="No"/>
    <s v="Travel_Rarely"/>
    <n v="136"/>
    <x v="1"/>
    <n v="1"/>
    <n v="3"/>
    <s v="Life Sciences"/>
    <n v="1954"/>
    <n v="1"/>
    <x v="1"/>
    <n v="89"/>
    <n v="3"/>
    <n v="2"/>
    <x v="4"/>
    <x v="3"/>
    <s v="Married"/>
    <n v="5373"/>
    <n v="6225"/>
    <n v="0"/>
    <x v="1"/>
    <n v="12"/>
    <n v="3"/>
    <n v="1"/>
    <n v="1"/>
    <n v="6"/>
    <n v="5"/>
    <n v="2"/>
    <n v="5"/>
    <n v="3"/>
    <n v="0"/>
    <n v="2"/>
    <x v="3"/>
    <n v="0"/>
    <s v="&lt;30"/>
    <x v="1"/>
    <n v="1"/>
    <s v="Low"/>
  </r>
  <r>
    <n v="32"/>
    <s v="No"/>
    <s v="Non-Travel"/>
    <n v="1146"/>
    <x v="1"/>
    <n v="15"/>
    <n v="4"/>
    <s v="Medical"/>
    <n v="1955"/>
    <n v="3"/>
    <x v="0"/>
    <n v="34"/>
    <n v="3"/>
    <n v="2"/>
    <x v="4"/>
    <x v="0"/>
    <s v="Divorced"/>
    <n v="6667"/>
    <n v="16542"/>
    <n v="5"/>
    <x v="1"/>
    <n v="18"/>
    <n v="3"/>
    <n v="2"/>
    <n v="1"/>
    <n v="9"/>
    <n v="6"/>
    <n v="3"/>
    <n v="5"/>
    <n v="1"/>
    <n v="1"/>
    <n v="2"/>
    <x v="3"/>
    <n v="0"/>
    <s v="&lt;30"/>
    <x v="0"/>
    <n v="0"/>
    <s v="Low"/>
  </r>
  <r>
    <n v="31"/>
    <s v="No"/>
    <s v="Travel_Frequently"/>
    <n v="1125"/>
    <x v="1"/>
    <n v="1"/>
    <n v="3"/>
    <s v="Life Sciences"/>
    <n v="1956"/>
    <n v="4"/>
    <x v="1"/>
    <n v="48"/>
    <n v="1"/>
    <n v="2"/>
    <x v="1"/>
    <x v="3"/>
    <s v="Married"/>
    <n v="5003"/>
    <n v="5771"/>
    <n v="1"/>
    <x v="1"/>
    <n v="21"/>
    <n v="4"/>
    <n v="2"/>
    <n v="0"/>
    <n v="10"/>
    <n v="6"/>
    <n v="3"/>
    <n v="10"/>
    <n v="8"/>
    <n v="8"/>
    <n v="7"/>
    <x v="0"/>
    <n v="0"/>
    <s v="30–39"/>
    <x v="1"/>
    <n v="1"/>
    <s v="Low"/>
  </r>
  <r>
    <n v="28"/>
    <s v="Yes"/>
    <s v="Travel_Rarely"/>
    <n v="1404"/>
    <x v="1"/>
    <n v="17"/>
    <n v="3"/>
    <s v="Technical Degree"/>
    <n v="1960"/>
    <n v="3"/>
    <x v="1"/>
    <n v="32"/>
    <n v="2"/>
    <n v="1"/>
    <x v="2"/>
    <x v="0"/>
    <s v="Divorced"/>
    <n v="2367"/>
    <n v="18779"/>
    <n v="5"/>
    <x v="1"/>
    <n v="12"/>
    <n v="3"/>
    <n v="1"/>
    <n v="1"/>
    <n v="6"/>
    <n v="2"/>
    <n v="2"/>
    <n v="4"/>
    <n v="1"/>
    <n v="0"/>
    <n v="3"/>
    <x v="3"/>
    <n v="1"/>
    <s v="30–39"/>
    <x v="0"/>
    <n v="0"/>
    <s v="Low"/>
  </r>
  <r>
    <n v="38"/>
    <s v="No"/>
    <s v="Travel_Rarely"/>
    <n v="1404"/>
    <x v="0"/>
    <n v="1"/>
    <n v="3"/>
    <s v="Life Sciences"/>
    <n v="1961"/>
    <n v="1"/>
    <x v="1"/>
    <n v="59"/>
    <n v="2"/>
    <n v="1"/>
    <x v="6"/>
    <x v="3"/>
    <s v="Single"/>
    <n v="2858"/>
    <n v="11473"/>
    <n v="4"/>
    <x v="1"/>
    <n v="14"/>
    <n v="3"/>
    <n v="1"/>
    <n v="0"/>
    <n v="20"/>
    <n v="3"/>
    <n v="2"/>
    <n v="1"/>
    <n v="0"/>
    <n v="0"/>
    <n v="0"/>
    <x v="2"/>
    <n v="0"/>
    <s v="&lt;30"/>
    <x v="1"/>
    <n v="2"/>
    <s v="Medium"/>
  </r>
  <r>
    <n v="35"/>
    <s v="No"/>
    <s v="Travel_Rarely"/>
    <n v="1224"/>
    <x v="0"/>
    <n v="7"/>
    <n v="4"/>
    <s v="Life Sciences"/>
    <n v="1962"/>
    <n v="3"/>
    <x v="0"/>
    <n v="55"/>
    <n v="3"/>
    <n v="2"/>
    <x v="0"/>
    <x v="0"/>
    <s v="Married"/>
    <n v="5204"/>
    <n v="13586"/>
    <n v="1"/>
    <x v="0"/>
    <n v="11"/>
    <n v="3"/>
    <n v="4"/>
    <n v="0"/>
    <n v="10"/>
    <n v="2"/>
    <n v="3"/>
    <n v="10"/>
    <n v="8"/>
    <n v="0"/>
    <n v="9"/>
    <x v="0"/>
    <n v="0"/>
    <s v="30–39"/>
    <x v="0"/>
    <n v="1"/>
    <s v="Low"/>
  </r>
  <r>
    <n v="27"/>
    <s v="No"/>
    <s v="Travel_Rarely"/>
    <n v="954"/>
    <x v="0"/>
    <n v="9"/>
    <n v="3"/>
    <s v="Marketing"/>
    <n v="1965"/>
    <n v="4"/>
    <x v="1"/>
    <n v="44"/>
    <n v="3"/>
    <n v="2"/>
    <x v="0"/>
    <x v="0"/>
    <s v="Single"/>
    <n v="4105"/>
    <n v="5099"/>
    <n v="1"/>
    <x v="1"/>
    <n v="14"/>
    <n v="3"/>
    <n v="1"/>
    <n v="0"/>
    <n v="7"/>
    <n v="5"/>
    <n v="3"/>
    <n v="7"/>
    <n v="7"/>
    <n v="0"/>
    <n v="7"/>
    <x v="0"/>
    <n v="0"/>
    <s v="30–39"/>
    <x v="0"/>
    <n v="0"/>
    <s v="Low"/>
  </r>
  <r>
    <n v="32"/>
    <s v="No"/>
    <s v="Travel_Rarely"/>
    <n v="1373"/>
    <x v="1"/>
    <n v="5"/>
    <n v="4"/>
    <s v="Life Sciences"/>
    <n v="1966"/>
    <n v="4"/>
    <x v="1"/>
    <n v="56"/>
    <n v="2"/>
    <n v="2"/>
    <x v="3"/>
    <x v="0"/>
    <s v="Single"/>
    <n v="9679"/>
    <n v="10138"/>
    <n v="8"/>
    <x v="1"/>
    <n v="24"/>
    <n v="4"/>
    <n v="2"/>
    <n v="0"/>
    <n v="8"/>
    <n v="1"/>
    <n v="3"/>
    <n v="1"/>
    <n v="0"/>
    <n v="0"/>
    <n v="0"/>
    <x v="2"/>
    <n v="0"/>
    <s v="&lt;30"/>
    <x v="0"/>
    <n v="1"/>
    <s v="Low"/>
  </r>
  <r>
    <n v="31"/>
    <s v="Yes"/>
    <s v="Travel_Frequently"/>
    <n v="754"/>
    <x v="0"/>
    <n v="26"/>
    <n v="4"/>
    <s v="Marketing"/>
    <n v="1967"/>
    <n v="1"/>
    <x v="1"/>
    <n v="63"/>
    <n v="3"/>
    <n v="2"/>
    <x v="0"/>
    <x v="0"/>
    <s v="Married"/>
    <n v="5617"/>
    <n v="21075"/>
    <n v="1"/>
    <x v="0"/>
    <n v="11"/>
    <n v="3"/>
    <n v="3"/>
    <n v="0"/>
    <n v="10"/>
    <n v="4"/>
    <n v="3"/>
    <n v="10"/>
    <n v="7"/>
    <n v="0"/>
    <n v="8"/>
    <x v="0"/>
    <n v="1"/>
    <s v="30–39"/>
    <x v="0"/>
    <n v="1"/>
    <s v="Low"/>
  </r>
  <r>
    <n v="53"/>
    <s v="Yes"/>
    <s v="Travel_Rarely"/>
    <n v="1168"/>
    <x v="0"/>
    <n v="24"/>
    <n v="4"/>
    <s v="Life Sciences"/>
    <n v="1968"/>
    <n v="1"/>
    <x v="1"/>
    <n v="66"/>
    <n v="3"/>
    <n v="3"/>
    <x v="0"/>
    <x v="3"/>
    <s v="Single"/>
    <n v="10448"/>
    <n v="5843"/>
    <n v="6"/>
    <x v="0"/>
    <n v="13"/>
    <n v="3"/>
    <n v="2"/>
    <n v="0"/>
    <n v="15"/>
    <n v="2"/>
    <n v="2"/>
    <n v="2"/>
    <n v="2"/>
    <n v="2"/>
    <n v="2"/>
    <x v="2"/>
    <n v="1"/>
    <s v="30–39"/>
    <x v="1"/>
    <n v="3"/>
    <s v="High"/>
  </r>
  <r>
    <n v="54"/>
    <s v="No"/>
    <s v="Travel_Rarely"/>
    <n v="155"/>
    <x v="1"/>
    <n v="9"/>
    <n v="2"/>
    <s v="Life Sciences"/>
    <n v="1969"/>
    <n v="1"/>
    <x v="0"/>
    <n v="67"/>
    <n v="3"/>
    <n v="2"/>
    <x v="1"/>
    <x v="2"/>
    <s v="Married"/>
    <n v="2897"/>
    <n v="22474"/>
    <n v="3"/>
    <x v="1"/>
    <n v="11"/>
    <n v="3"/>
    <n v="3"/>
    <n v="2"/>
    <n v="9"/>
    <n v="6"/>
    <n v="2"/>
    <n v="4"/>
    <n v="3"/>
    <n v="2"/>
    <n v="3"/>
    <x v="3"/>
    <n v="0"/>
    <s v="50+"/>
    <x v="2"/>
    <n v="0"/>
    <s v="Low"/>
  </r>
  <r>
    <n v="33"/>
    <s v="No"/>
    <s v="Travel_Frequently"/>
    <n v="1303"/>
    <x v="1"/>
    <n v="7"/>
    <n v="2"/>
    <s v="Life Sciences"/>
    <n v="1970"/>
    <n v="4"/>
    <x v="1"/>
    <n v="36"/>
    <n v="3"/>
    <n v="2"/>
    <x v="4"/>
    <x v="2"/>
    <s v="Divorced"/>
    <n v="5968"/>
    <n v="18079"/>
    <n v="1"/>
    <x v="1"/>
    <n v="20"/>
    <n v="4"/>
    <n v="3"/>
    <n v="3"/>
    <n v="9"/>
    <n v="2"/>
    <n v="3"/>
    <n v="9"/>
    <n v="7"/>
    <n v="2"/>
    <n v="8"/>
    <x v="0"/>
    <n v="0"/>
    <s v="50+"/>
    <x v="2"/>
    <n v="0"/>
    <s v="Low"/>
  </r>
  <r>
    <n v="43"/>
    <s v="No"/>
    <s v="Travel_Rarely"/>
    <n v="574"/>
    <x v="1"/>
    <n v="11"/>
    <n v="3"/>
    <s v="Life Sciences"/>
    <n v="1971"/>
    <n v="1"/>
    <x v="1"/>
    <n v="30"/>
    <n v="3"/>
    <n v="3"/>
    <x v="4"/>
    <x v="2"/>
    <s v="Married"/>
    <n v="7510"/>
    <n v="16873"/>
    <n v="1"/>
    <x v="1"/>
    <n v="17"/>
    <n v="3"/>
    <n v="2"/>
    <n v="1"/>
    <n v="10"/>
    <n v="1"/>
    <n v="3"/>
    <n v="10"/>
    <n v="9"/>
    <n v="0"/>
    <n v="9"/>
    <x v="0"/>
    <n v="0"/>
    <s v="30–39"/>
    <x v="2"/>
    <n v="0"/>
    <s v="Low"/>
  </r>
  <r>
    <n v="38"/>
    <s v="No"/>
    <s v="Travel_Frequently"/>
    <n v="1444"/>
    <x v="2"/>
    <n v="1"/>
    <n v="4"/>
    <s v="Other"/>
    <n v="1972"/>
    <n v="4"/>
    <x v="1"/>
    <n v="88"/>
    <n v="3"/>
    <n v="1"/>
    <x v="8"/>
    <x v="1"/>
    <s v="Married"/>
    <n v="2991"/>
    <n v="5224"/>
    <n v="0"/>
    <x v="0"/>
    <n v="11"/>
    <n v="3"/>
    <n v="2"/>
    <n v="1"/>
    <n v="7"/>
    <n v="2"/>
    <n v="3"/>
    <n v="6"/>
    <n v="2"/>
    <n v="1"/>
    <n v="2"/>
    <x v="0"/>
    <n v="0"/>
    <s v="40–49"/>
    <x v="1"/>
    <n v="2"/>
    <s v="Medium"/>
  </r>
  <r>
    <n v="55"/>
    <s v="No"/>
    <s v="Travel_Rarely"/>
    <n v="189"/>
    <x v="2"/>
    <n v="26"/>
    <n v="4"/>
    <s v="Human Resources"/>
    <n v="1973"/>
    <n v="3"/>
    <x v="1"/>
    <n v="71"/>
    <n v="4"/>
    <n v="5"/>
    <x v="5"/>
    <x v="1"/>
    <s v="Married"/>
    <n v="19636"/>
    <n v="25811"/>
    <n v="4"/>
    <x v="0"/>
    <n v="18"/>
    <n v="3"/>
    <n v="1"/>
    <n v="1"/>
    <n v="35"/>
    <n v="0"/>
    <n v="3"/>
    <n v="10"/>
    <n v="9"/>
    <n v="1"/>
    <n v="4"/>
    <x v="0"/>
    <n v="0"/>
    <s v="30–39"/>
    <x v="1"/>
    <n v="2"/>
    <s v="Medium"/>
  </r>
  <r>
    <n v="31"/>
    <s v="No"/>
    <s v="Travel_Rarely"/>
    <n v="1276"/>
    <x v="1"/>
    <n v="2"/>
    <n v="1"/>
    <s v="Medical"/>
    <n v="1974"/>
    <n v="4"/>
    <x v="0"/>
    <n v="59"/>
    <n v="1"/>
    <n v="1"/>
    <x v="2"/>
    <x v="0"/>
    <s v="Divorced"/>
    <n v="1129"/>
    <n v="17536"/>
    <n v="1"/>
    <x v="0"/>
    <n v="11"/>
    <n v="3"/>
    <n v="3"/>
    <n v="3"/>
    <n v="1"/>
    <n v="4"/>
    <n v="3"/>
    <n v="1"/>
    <n v="0"/>
    <n v="0"/>
    <n v="0"/>
    <x v="2"/>
    <n v="0"/>
    <s v="50+"/>
    <x v="0"/>
    <n v="2"/>
    <s v="Medium"/>
  </r>
  <r>
    <n v="39"/>
    <s v="No"/>
    <s v="Travel_Rarely"/>
    <n v="119"/>
    <x v="0"/>
    <n v="15"/>
    <n v="4"/>
    <s v="Marketing"/>
    <n v="1975"/>
    <n v="2"/>
    <x v="1"/>
    <n v="77"/>
    <n v="3"/>
    <n v="4"/>
    <x v="0"/>
    <x v="3"/>
    <s v="Single"/>
    <n v="13341"/>
    <n v="25098"/>
    <n v="0"/>
    <x v="1"/>
    <n v="12"/>
    <n v="3"/>
    <n v="1"/>
    <n v="0"/>
    <n v="21"/>
    <n v="3"/>
    <n v="3"/>
    <n v="20"/>
    <n v="8"/>
    <n v="11"/>
    <n v="10"/>
    <x v="0"/>
    <n v="0"/>
    <s v="30–39"/>
    <x v="1"/>
    <n v="1"/>
    <s v="Low"/>
  </r>
  <r>
    <n v="42"/>
    <s v="No"/>
    <s v="Non-Travel"/>
    <n v="335"/>
    <x v="1"/>
    <n v="23"/>
    <n v="2"/>
    <s v="Life Sciences"/>
    <n v="1976"/>
    <n v="4"/>
    <x v="1"/>
    <n v="37"/>
    <n v="2"/>
    <n v="2"/>
    <x v="1"/>
    <x v="2"/>
    <s v="Single"/>
    <n v="4332"/>
    <n v="14811"/>
    <n v="1"/>
    <x v="1"/>
    <n v="12"/>
    <n v="3"/>
    <n v="4"/>
    <n v="0"/>
    <n v="20"/>
    <n v="2"/>
    <n v="3"/>
    <n v="20"/>
    <n v="9"/>
    <n v="3"/>
    <n v="7"/>
    <x v="0"/>
    <n v="0"/>
    <s v="30–39"/>
    <x v="2"/>
    <n v="0"/>
    <s v="Low"/>
  </r>
  <r>
    <n v="31"/>
    <s v="No"/>
    <s v="Non-Travel"/>
    <n v="697"/>
    <x v="1"/>
    <n v="10"/>
    <n v="3"/>
    <s v="Medical"/>
    <n v="1979"/>
    <n v="3"/>
    <x v="0"/>
    <n v="40"/>
    <n v="3"/>
    <n v="3"/>
    <x v="7"/>
    <x v="2"/>
    <s v="Married"/>
    <n v="11031"/>
    <n v="26862"/>
    <n v="4"/>
    <x v="1"/>
    <n v="20"/>
    <n v="4"/>
    <n v="3"/>
    <n v="1"/>
    <n v="13"/>
    <n v="2"/>
    <n v="4"/>
    <n v="11"/>
    <n v="7"/>
    <n v="4"/>
    <n v="8"/>
    <x v="0"/>
    <n v="0"/>
    <s v="40–49"/>
    <x v="2"/>
    <n v="0"/>
    <s v="Low"/>
  </r>
  <r>
    <n v="54"/>
    <s v="No"/>
    <s v="Travel_Rarely"/>
    <n v="157"/>
    <x v="1"/>
    <n v="10"/>
    <n v="3"/>
    <s v="Medical"/>
    <n v="1980"/>
    <n v="3"/>
    <x v="0"/>
    <n v="77"/>
    <n v="3"/>
    <n v="2"/>
    <x v="3"/>
    <x v="3"/>
    <s v="Single"/>
    <n v="4440"/>
    <n v="25198"/>
    <n v="6"/>
    <x v="0"/>
    <n v="19"/>
    <n v="3"/>
    <n v="4"/>
    <n v="0"/>
    <n v="9"/>
    <n v="3"/>
    <n v="3"/>
    <n v="5"/>
    <n v="2"/>
    <n v="1"/>
    <n v="4"/>
    <x v="3"/>
    <n v="0"/>
    <s v="30–39"/>
    <x v="1"/>
    <n v="2"/>
    <s v="Medium"/>
  </r>
  <r>
    <n v="24"/>
    <s v="No"/>
    <s v="Travel_Rarely"/>
    <n v="771"/>
    <x v="1"/>
    <n v="1"/>
    <n v="2"/>
    <s v="Life Sciences"/>
    <n v="1981"/>
    <n v="2"/>
    <x v="1"/>
    <n v="45"/>
    <n v="2"/>
    <n v="2"/>
    <x v="4"/>
    <x v="2"/>
    <s v="Single"/>
    <n v="4617"/>
    <n v="14120"/>
    <n v="1"/>
    <x v="1"/>
    <n v="12"/>
    <n v="3"/>
    <n v="2"/>
    <n v="0"/>
    <n v="4"/>
    <n v="2"/>
    <n v="2"/>
    <n v="4"/>
    <n v="3"/>
    <n v="1"/>
    <n v="2"/>
    <x v="3"/>
    <n v="0"/>
    <s v="50+"/>
    <x v="2"/>
    <n v="0"/>
    <s v="Low"/>
  </r>
  <r>
    <n v="23"/>
    <s v="No"/>
    <s v="Travel_Rarely"/>
    <n v="571"/>
    <x v="1"/>
    <n v="12"/>
    <n v="2"/>
    <s v="Other"/>
    <n v="1982"/>
    <n v="4"/>
    <x v="1"/>
    <n v="78"/>
    <n v="3"/>
    <n v="1"/>
    <x v="2"/>
    <x v="0"/>
    <s v="Single"/>
    <n v="2647"/>
    <n v="13672"/>
    <n v="1"/>
    <x v="1"/>
    <n v="13"/>
    <n v="3"/>
    <n v="3"/>
    <n v="0"/>
    <n v="5"/>
    <n v="6"/>
    <n v="4"/>
    <n v="5"/>
    <n v="2"/>
    <n v="1"/>
    <n v="4"/>
    <x v="3"/>
    <n v="0"/>
    <s v="&lt;30"/>
    <x v="0"/>
    <n v="0"/>
    <s v="Low"/>
  </r>
  <r>
    <n v="40"/>
    <s v="No"/>
    <s v="Travel_Frequently"/>
    <n v="692"/>
    <x v="1"/>
    <n v="11"/>
    <n v="3"/>
    <s v="Technical Degree"/>
    <n v="1985"/>
    <n v="4"/>
    <x v="0"/>
    <n v="73"/>
    <n v="3"/>
    <n v="2"/>
    <x v="2"/>
    <x v="2"/>
    <s v="Married"/>
    <n v="6323"/>
    <n v="26849"/>
    <n v="1"/>
    <x v="1"/>
    <n v="11"/>
    <n v="3"/>
    <n v="1"/>
    <n v="1"/>
    <n v="10"/>
    <n v="2"/>
    <n v="4"/>
    <n v="10"/>
    <n v="9"/>
    <n v="9"/>
    <n v="4"/>
    <x v="0"/>
    <n v="0"/>
    <s v="&lt;30"/>
    <x v="2"/>
    <n v="0"/>
    <s v="Low"/>
  </r>
  <r>
    <n v="40"/>
    <s v="No"/>
    <s v="Travel_Rarely"/>
    <n v="444"/>
    <x v="0"/>
    <n v="2"/>
    <n v="2"/>
    <s v="Marketing"/>
    <n v="1986"/>
    <n v="2"/>
    <x v="0"/>
    <n v="92"/>
    <n v="3"/>
    <n v="2"/>
    <x v="0"/>
    <x v="1"/>
    <s v="Married"/>
    <n v="5677"/>
    <n v="4258"/>
    <n v="3"/>
    <x v="1"/>
    <n v="14"/>
    <n v="3"/>
    <n v="3"/>
    <n v="1"/>
    <n v="15"/>
    <n v="4"/>
    <n v="3"/>
    <n v="11"/>
    <n v="8"/>
    <n v="5"/>
    <n v="10"/>
    <x v="0"/>
    <n v="0"/>
    <s v="40–49"/>
    <x v="1"/>
    <n v="1"/>
    <s v="Low"/>
  </r>
  <r>
    <n v="25"/>
    <s v="No"/>
    <s v="Travel_Rarely"/>
    <n v="309"/>
    <x v="2"/>
    <n v="2"/>
    <n v="3"/>
    <s v="Human Resources"/>
    <n v="1987"/>
    <n v="3"/>
    <x v="0"/>
    <n v="82"/>
    <n v="3"/>
    <n v="1"/>
    <x v="8"/>
    <x v="1"/>
    <s v="Married"/>
    <n v="2187"/>
    <n v="19655"/>
    <n v="4"/>
    <x v="1"/>
    <n v="14"/>
    <n v="3"/>
    <n v="3"/>
    <n v="0"/>
    <n v="6"/>
    <n v="3"/>
    <n v="3"/>
    <n v="2"/>
    <n v="0"/>
    <n v="1"/>
    <n v="2"/>
    <x v="2"/>
    <n v="0"/>
    <s v="40–49"/>
    <x v="1"/>
    <n v="2"/>
    <s v="Medium"/>
  </r>
  <r>
    <n v="30"/>
    <s v="No"/>
    <s v="Travel_Rarely"/>
    <n v="911"/>
    <x v="1"/>
    <n v="1"/>
    <n v="2"/>
    <s v="Medical"/>
    <n v="1989"/>
    <n v="4"/>
    <x v="1"/>
    <n v="76"/>
    <n v="3"/>
    <n v="1"/>
    <x v="2"/>
    <x v="1"/>
    <s v="Married"/>
    <n v="3748"/>
    <n v="4077"/>
    <n v="1"/>
    <x v="1"/>
    <n v="13"/>
    <n v="3"/>
    <n v="3"/>
    <n v="0"/>
    <n v="12"/>
    <n v="6"/>
    <n v="2"/>
    <n v="12"/>
    <n v="8"/>
    <n v="1"/>
    <n v="7"/>
    <x v="0"/>
    <n v="0"/>
    <s v="&lt;30"/>
    <x v="1"/>
    <n v="1"/>
    <s v="Low"/>
  </r>
  <r>
    <n v="25"/>
    <s v="No"/>
    <s v="Travel_Rarely"/>
    <n v="977"/>
    <x v="1"/>
    <n v="2"/>
    <n v="1"/>
    <s v="Other"/>
    <n v="1992"/>
    <n v="4"/>
    <x v="1"/>
    <n v="57"/>
    <n v="3"/>
    <n v="1"/>
    <x v="2"/>
    <x v="2"/>
    <s v="Divorced"/>
    <n v="3977"/>
    <n v="7298"/>
    <n v="6"/>
    <x v="0"/>
    <n v="19"/>
    <n v="3"/>
    <n v="3"/>
    <n v="1"/>
    <n v="7"/>
    <n v="2"/>
    <n v="2"/>
    <n v="2"/>
    <n v="2"/>
    <n v="0"/>
    <n v="2"/>
    <x v="2"/>
    <n v="0"/>
    <s v="30–39"/>
    <x v="2"/>
    <n v="2"/>
    <s v="Medium"/>
  </r>
  <r>
    <n v="47"/>
    <s v="No"/>
    <s v="Travel_Rarely"/>
    <n v="1180"/>
    <x v="1"/>
    <n v="25"/>
    <n v="3"/>
    <s v="Medical"/>
    <n v="1993"/>
    <n v="1"/>
    <x v="1"/>
    <n v="84"/>
    <n v="3"/>
    <n v="3"/>
    <x v="4"/>
    <x v="2"/>
    <s v="Single"/>
    <n v="8633"/>
    <n v="13084"/>
    <n v="2"/>
    <x v="1"/>
    <n v="23"/>
    <n v="4"/>
    <n v="2"/>
    <n v="0"/>
    <n v="25"/>
    <n v="3"/>
    <n v="3"/>
    <n v="17"/>
    <n v="14"/>
    <n v="12"/>
    <n v="11"/>
    <x v="0"/>
    <n v="0"/>
    <s v="&lt;30"/>
    <x v="2"/>
    <n v="0"/>
    <s v="Low"/>
  </r>
  <r>
    <n v="33"/>
    <s v="No"/>
    <s v="Non-Travel"/>
    <n v="1313"/>
    <x v="1"/>
    <n v="1"/>
    <n v="2"/>
    <s v="Medical"/>
    <n v="1994"/>
    <n v="2"/>
    <x v="1"/>
    <n v="59"/>
    <n v="2"/>
    <n v="1"/>
    <x v="2"/>
    <x v="2"/>
    <s v="Divorced"/>
    <n v="2008"/>
    <n v="20439"/>
    <n v="1"/>
    <x v="1"/>
    <n v="12"/>
    <n v="3"/>
    <n v="3"/>
    <n v="3"/>
    <n v="1"/>
    <n v="2"/>
    <n v="2"/>
    <n v="1"/>
    <n v="1"/>
    <n v="0"/>
    <n v="0"/>
    <x v="2"/>
    <n v="0"/>
    <s v="40–49"/>
    <x v="2"/>
    <n v="1"/>
    <s v="Low"/>
  </r>
  <r>
    <n v="38"/>
    <s v="No"/>
    <s v="Travel_Rarely"/>
    <n v="1321"/>
    <x v="0"/>
    <n v="1"/>
    <n v="4"/>
    <s v="Life Sciences"/>
    <n v="1995"/>
    <n v="4"/>
    <x v="1"/>
    <n v="86"/>
    <n v="3"/>
    <n v="2"/>
    <x v="0"/>
    <x v="1"/>
    <s v="Married"/>
    <n v="4440"/>
    <n v="7636"/>
    <n v="0"/>
    <x v="1"/>
    <n v="15"/>
    <n v="3"/>
    <n v="1"/>
    <n v="2"/>
    <n v="16"/>
    <n v="3"/>
    <n v="3"/>
    <n v="15"/>
    <n v="13"/>
    <n v="5"/>
    <n v="8"/>
    <x v="0"/>
    <n v="0"/>
    <s v="30–39"/>
    <x v="1"/>
    <n v="1"/>
    <s v="Low"/>
  </r>
  <r>
    <n v="31"/>
    <s v="No"/>
    <s v="Travel_Rarely"/>
    <n v="1154"/>
    <x v="0"/>
    <n v="2"/>
    <n v="2"/>
    <s v="Life Sciences"/>
    <n v="1996"/>
    <n v="1"/>
    <x v="1"/>
    <n v="54"/>
    <n v="3"/>
    <n v="1"/>
    <x v="6"/>
    <x v="2"/>
    <s v="Married"/>
    <n v="3067"/>
    <n v="6393"/>
    <n v="0"/>
    <x v="1"/>
    <n v="19"/>
    <n v="3"/>
    <n v="3"/>
    <n v="1"/>
    <n v="3"/>
    <n v="1"/>
    <n v="3"/>
    <n v="2"/>
    <n v="2"/>
    <n v="1"/>
    <n v="2"/>
    <x v="2"/>
    <n v="0"/>
    <s v="30–39"/>
    <x v="2"/>
    <n v="1"/>
    <s v="Low"/>
  </r>
  <r>
    <n v="38"/>
    <s v="No"/>
    <s v="Travel_Frequently"/>
    <n v="508"/>
    <x v="1"/>
    <n v="6"/>
    <n v="4"/>
    <s v="Life Sciences"/>
    <n v="1997"/>
    <n v="1"/>
    <x v="1"/>
    <n v="72"/>
    <n v="2"/>
    <n v="2"/>
    <x v="3"/>
    <x v="2"/>
    <s v="Married"/>
    <n v="5321"/>
    <n v="14284"/>
    <n v="2"/>
    <x v="1"/>
    <n v="11"/>
    <n v="3"/>
    <n v="4"/>
    <n v="1"/>
    <n v="10"/>
    <n v="1"/>
    <n v="3"/>
    <n v="8"/>
    <n v="3"/>
    <n v="7"/>
    <n v="7"/>
    <x v="0"/>
    <n v="0"/>
    <s v="30–39"/>
    <x v="2"/>
    <n v="0"/>
    <s v="Low"/>
  </r>
  <r>
    <n v="42"/>
    <s v="No"/>
    <s v="Travel_Rarely"/>
    <n v="557"/>
    <x v="1"/>
    <n v="18"/>
    <n v="4"/>
    <s v="Life Sciences"/>
    <n v="1998"/>
    <n v="4"/>
    <x v="1"/>
    <n v="35"/>
    <n v="3"/>
    <n v="2"/>
    <x v="1"/>
    <x v="3"/>
    <s v="Divorced"/>
    <n v="5410"/>
    <n v="11189"/>
    <n v="6"/>
    <x v="0"/>
    <n v="17"/>
    <n v="3"/>
    <n v="3"/>
    <n v="1"/>
    <n v="9"/>
    <n v="3"/>
    <n v="2"/>
    <n v="4"/>
    <n v="3"/>
    <n v="1"/>
    <n v="2"/>
    <x v="3"/>
    <n v="0"/>
    <s v="30–39"/>
    <x v="1"/>
    <n v="2"/>
    <s v="Medium"/>
  </r>
  <r>
    <n v="41"/>
    <s v="No"/>
    <s v="Travel_Rarely"/>
    <n v="642"/>
    <x v="1"/>
    <n v="1"/>
    <n v="3"/>
    <s v="Life Sciences"/>
    <n v="1999"/>
    <n v="4"/>
    <x v="1"/>
    <n v="76"/>
    <n v="3"/>
    <n v="1"/>
    <x v="1"/>
    <x v="0"/>
    <s v="Married"/>
    <n v="2782"/>
    <n v="21412"/>
    <n v="3"/>
    <x v="1"/>
    <n v="22"/>
    <n v="4"/>
    <n v="1"/>
    <n v="1"/>
    <n v="12"/>
    <n v="3"/>
    <n v="3"/>
    <n v="5"/>
    <n v="3"/>
    <n v="1"/>
    <n v="0"/>
    <x v="3"/>
    <n v="0"/>
    <s v="40–49"/>
    <x v="0"/>
    <n v="0"/>
    <s v="Low"/>
  </r>
  <r>
    <n v="47"/>
    <s v="No"/>
    <s v="Non-Travel"/>
    <n v="1162"/>
    <x v="1"/>
    <n v="1"/>
    <n v="1"/>
    <s v="Medical"/>
    <n v="2000"/>
    <n v="3"/>
    <x v="0"/>
    <n v="98"/>
    <n v="3"/>
    <n v="3"/>
    <x v="7"/>
    <x v="1"/>
    <s v="Married"/>
    <n v="11957"/>
    <n v="17231"/>
    <n v="0"/>
    <x v="1"/>
    <n v="18"/>
    <n v="3"/>
    <n v="1"/>
    <n v="2"/>
    <n v="14"/>
    <n v="3"/>
    <n v="1"/>
    <n v="13"/>
    <n v="8"/>
    <n v="5"/>
    <n v="12"/>
    <x v="0"/>
    <n v="0"/>
    <s v="40–49"/>
    <x v="1"/>
    <n v="1"/>
    <s v="Low"/>
  </r>
  <r>
    <n v="35"/>
    <s v="No"/>
    <s v="Travel_Rarely"/>
    <n v="1490"/>
    <x v="1"/>
    <n v="11"/>
    <n v="4"/>
    <s v="Medical"/>
    <n v="2003"/>
    <n v="4"/>
    <x v="1"/>
    <n v="43"/>
    <n v="3"/>
    <n v="1"/>
    <x v="2"/>
    <x v="2"/>
    <s v="Married"/>
    <n v="2660"/>
    <n v="20232"/>
    <n v="7"/>
    <x v="0"/>
    <n v="11"/>
    <n v="3"/>
    <n v="3"/>
    <n v="1"/>
    <n v="5"/>
    <n v="3"/>
    <n v="3"/>
    <n v="2"/>
    <n v="2"/>
    <n v="2"/>
    <n v="2"/>
    <x v="2"/>
    <n v="0"/>
    <s v="40–49"/>
    <x v="2"/>
    <n v="2"/>
    <s v="Medium"/>
  </r>
  <r>
    <n v="22"/>
    <s v="No"/>
    <s v="Travel_Rarely"/>
    <n v="581"/>
    <x v="1"/>
    <n v="1"/>
    <n v="2"/>
    <s v="Life Sciences"/>
    <n v="2007"/>
    <n v="4"/>
    <x v="1"/>
    <n v="63"/>
    <n v="3"/>
    <n v="1"/>
    <x v="1"/>
    <x v="2"/>
    <s v="Single"/>
    <n v="3375"/>
    <n v="17624"/>
    <n v="0"/>
    <x v="1"/>
    <n v="12"/>
    <n v="3"/>
    <n v="4"/>
    <n v="0"/>
    <n v="4"/>
    <n v="2"/>
    <n v="4"/>
    <n v="3"/>
    <n v="2"/>
    <n v="1"/>
    <n v="2"/>
    <x v="2"/>
    <n v="0"/>
    <s v="30–39"/>
    <x v="2"/>
    <n v="1"/>
    <s v="Low"/>
  </r>
  <r>
    <n v="35"/>
    <s v="No"/>
    <s v="Travel_Rarely"/>
    <n v="1395"/>
    <x v="1"/>
    <n v="9"/>
    <n v="4"/>
    <s v="Medical"/>
    <n v="2008"/>
    <n v="2"/>
    <x v="1"/>
    <n v="48"/>
    <n v="3"/>
    <n v="2"/>
    <x v="1"/>
    <x v="2"/>
    <s v="Single"/>
    <n v="5098"/>
    <n v="18698"/>
    <n v="1"/>
    <x v="1"/>
    <n v="19"/>
    <n v="3"/>
    <n v="2"/>
    <n v="0"/>
    <n v="10"/>
    <n v="5"/>
    <n v="3"/>
    <n v="10"/>
    <n v="7"/>
    <n v="0"/>
    <n v="8"/>
    <x v="0"/>
    <n v="0"/>
    <s v="&lt;30"/>
    <x v="2"/>
    <n v="0"/>
    <s v="Low"/>
  </r>
  <r>
    <n v="33"/>
    <s v="No"/>
    <s v="Travel_Rarely"/>
    <n v="501"/>
    <x v="1"/>
    <n v="15"/>
    <n v="2"/>
    <s v="Medical"/>
    <n v="2009"/>
    <n v="2"/>
    <x v="0"/>
    <n v="95"/>
    <n v="3"/>
    <n v="2"/>
    <x v="4"/>
    <x v="0"/>
    <s v="Married"/>
    <n v="4878"/>
    <n v="21653"/>
    <n v="0"/>
    <x v="0"/>
    <n v="13"/>
    <n v="3"/>
    <n v="1"/>
    <n v="1"/>
    <n v="10"/>
    <n v="6"/>
    <n v="3"/>
    <n v="9"/>
    <n v="7"/>
    <n v="8"/>
    <n v="1"/>
    <x v="0"/>
    <n v="0"/>
    <s v="30–39"/>
    <x v="0"/>
    <n v="1"/>
    <s v="Low"/>
  </r>
  <r>
    <n v="32"/>
    <s v="No"/>
    <s v="Travel_Rarely"/>
    <n v="267"/>
    <x v="1"/>
    <n v="29"/>
    <n v="4"/>
    <s v="Life Sciences"/>
    <n v="2010"/>
    <n v="3"/>
    <x v="0"/>
    <n v="49"/>
    <n v="2"/>
    <n v="1"/>
    <x v="2"/>
    <x v="1"/>
    <s v="Single"/>
    <n v="2837"/>
    <n v="15919"/>
    <n v="1"/>
    <x v="1"/>
    <n v="13"/>
    <n v="3"/>
    <n v="3"/>
    <n v="0"/>
    <n v="6"/>
    <n v="3"/>
    <n v="3"/>
    <n v="6"/>
    <n v="2"/>
    <n v="4"/>
    <n v="1"/>
    <x v="0"/>
    <n v="0"/>
    <s v="30–39"/>
    <x v="1"/>
    <n v="1"/>
    <s v="Low"/>
  </r>
  <r>
    <n v="40"/>
    <s v="No"/>
    <s v="Travel_Rarely"/>
    <n v="543"/>
    <x v="1"/>
    <n v="1"/>
    <n v="4"/>
    <s v="Life Sciences"/>
    <n v="2012"/>
    <n v="1"/>
    <x v="1"/>
    <n v="83"/>
    <n v="3"/>
    <n v="1"/>
    <x v="2"/>
    <x v="0"/>
    <s v="Married"/>
    <n v="2406"/>
    <n v="4060"/>
    <n v="8"/>
    <x v="1"/>
    <n v="19"/>
    <n v="3"/>
    <n v="3"/>
    <n v="2"/>
    <n v="8"/>
    <n v="3"/>
    <n v="2"/>
    <n v="1"/>
    <n v="0"/>
    <n v="0"/>
    <n v="0"/>
    <x v="2"/>
    <n v="0"/>
    <s v="30–39"/>
    <x v="0"/>
    <n v="1"/>
    <s v="Low"/>
  </r>
  <r>
    <n v="32"/>
    <s v="No"/>
    <s v="Travel_Rarely"/>
    <n v="234"/>
    <x v="0"/>
    <n v="1"/>
    <n v="4"/>
    <s v="Medical"/>
    <n v="2013"/>
    <n v="2"/>
    <x v="1"/>
    <n v="68"/>
    <n v="2"/>
    <n v="1"/>
    <x v="6"/>
    <x v="1"/>
    <s v="Married"/>
    <n v="2269"/>
    <n v="18024"/>
    <n v="0"/>
    <x v="1"/>
    <n v="14"/>
    <n v="3"/>
    <n v="2"/>
    <n v="1"/>
    <n v="3"/>
    <n v="2"/>
    <n v="3"/>
    <n v="2"/>
    <n v="2"/>
    <n v="2"/>
    <n v="2"/>
    <x v="2"/>
    <n v="0"/>
    <s v="40–49"/>
    <x v="1"/>
    <n v="2"/>
    <s v="Medium"/>
  </r>
  <r>
    <n v="39"/>
    <s v="No"/>
    <s v="Travel_Rarely"/>
    <n v="116"/>
    <x v="1"/>
    <n v="24"/>
    <n v="1"/>
    <s v="Life Sciences"/>
    <n v="2014"/>
    <n v="1"/>
    <x v="1"/>
    <n v="52"/>
    <n v="3"/>
    <n v="2"/>
    <x v="1"/>
    <x v="0"/>
    <s v="Single"/>
    <n v="4108"/>
    <n v="5340"/>
    <n v="7"/>
    <x v="1"/>
    <n v="13"/>
    <n v="3"/>
    <n v="1"/>
    <n v="0"/>
    <n v="18"/>
    <n v="2"/>
    <n v="3"/>
    <n v="7"/>
    <n v="7"/>
    <n v="1"/>
    <n v="7"/>
    <x v="0"/>
    <n v="0"/>
    <s v="30–39"/>
    <x v="0"/>
    <n v="0"/>
    <s v="Low"/>
  </r>
  <r>
    <n v="38"/>
    <s v="No"/>
    <s v="Travel_Rarely"/>
    <n v="201"/>
    <x v="1"/>
    <n v="10"/>
    <n v="3"/>
    <s v="Medical"/>
    <n v="2015"/>
    <n v="2"/>
    <x v="0"/>
    <n v="99"/>
    <n v="1"/>
    <n v="3"/>
    <x v="7"/>
    <x v="2"/>
    <s v="Married"/>
    <n v="13206"/>
    <n v="3376"/>
    <n v="3"/>
    <x v="1"/>
    <n v="12"/>
    <n v="3"/>
    <n v="1"/>
    <n v="1"/>
    <n v="20"/>
    <n v="3"/>
    <n v="3"/>
    <n v="18"/>
    <n v="16"/>
    <n v="1"/>
    <n v="11"/>
    <x v="0"/>
    <n v="0"/>
    <s v="30–39"/>
    <x v="2"/>
    <n v="0"/>
    <s v="Low"/>
  </r>
  <r>
    <n v="32"/>
    <s v="No"/>
    <s v="Travel_Rarely"/>
    <n v="801"/>
    <x v="0"/>
    <n v="1"/>
    <n v="4"/>
    <s v="Marketing"/>
    <n v="2016"/>
    <n v="3"/>
    <x v="0"/>
    <n v="48"/>
    <n v="3"/>
    <n v="3"/>
    <x v="0"/>
    <x v="0"/>
    <s v="Married"/>
    <n v="10422"/>
    <n v="24032"/>
    <n v="1"/>
    <x v="1"/>
    <n v="19"/>
    <n v="3"/>
    <n v="3"/>
    <n v="2"/>
    <n v="14"/>
    <n v="3"/>
    <n v="3"/>
    <n v="14"/>
    <n v="10"/>
    <n v="5"/>
    <n v="7"/>
    <x v="0"/>
    <n v="0"/>
    <s v="30–39"/>
    <x v="0"/>
    <n v="0"/>
    <s v="Low"/>
  </r>
  <r>
    <n v="37"/>
    <s v="No"/>
    <s v="Travel_Rarely"/>
    <n v="161"/>
    <x v="1"/>
    <n v="10"/>
    <n v="3"/>
    <s v="Life Sciences"/>
    <n v="2017"/>
    <n v="3"/>
    <x v="0"/>
    <n v="42"/>
    <n v="4"/>
    <n v="3"/>
    <x v="7"/>
    <x v="0"/>
    <s v="Married"/>
    <n v="13744"/>
    <n v="15471"/>
    <n v="1"/>
    <x v="0"/>
    <n v="25"/>
    <n v="4"/>
    <n v="1"/>
    <n v="1"/>
    <n v="16"/>
    <n v="2"/>
    <n v="3"/>
    <n v="16"/>
    <n v="11"/>
    <n v="6"/>
    <n v="8"/>
    <x v="0"/>
    <n v="0"/>
    <s v="30–39"/>
    <x v="0"/>
    <n v="1"/>
    <s v="Low"/>
  </r>
  <r>
    <n v="25"/>
    <s v="No"/>
    <s v="Travel_Rarely"/>
    <n v="1382"/>
    <x v="0"/>
    <n v="8"/>
    <n v="2"/>
    <s v="Other"/>
    <n v="2018"/>
    <n v="1"/>
    <x v="0"/>
    <n v="85"/>
    <n v="3"/>
    <n v="2"/>
    <x v="0"/>
    <x v="2"/>
    <s v="Divorced"/>
    <n v="4907"/>
    <n v="13684"/>
    <n v="0"/>
    <x v="0"/>
    <n v="22"/>
    <n v="4"/>
    <n v="2"/>
    <n v="1"/>
    <n v="6"/>
    <n v="3"/>
    <n v="2"/>
    <n v="5"/>
    <n v="3"/>
    <n v="0"/>
    <n v="4"/>
    <x v="3"/>
    <n v="0"/>
    <s v="30–39"/>
    <x v="2"/>
    <n v="1"/>
    <s v="Low"/>
  </r>
  <r>
    <n v="52"/>
    <s v="No"/>
    <s v="Non-Travel"/>
    <n v="585"/>
    <x v="0"/>
    <n v="29"/>
    <n v="4"/>
    <s v="Life Sciences"/>
    <n v="2019"/>
    <n v="1"/>
    <x v="1"/>
    <n v="40"/>
    <n v="3"/>
    <n v="1"/>
    <x v="6"/>
    <x v="0"/>
    <s v="Divorced"/>
    <n v="3482"/>
    <n v="19788"/>
    <n v="2"/>
    <x v="1"/>
    <n v="15"/>
    <n v="3"/>
    <n v="2"/>
    <n v="2"/>
    <n v="16"/>
    <n v="3"/>
    <n v="2"/>
    <n v="9"/>
    <n v="8"/>
    <n v="0"/>
    <n v="0"/>
    <x v="0"/>
    <n v="0"/>
    <s v="&lt;30"/>
    <x v="0"/>
    <n v="0"/>
    <s v="Low"/>
  </r>
  <r>
    <n v="44"/>
    <s v="No"/>
    <s v="Travel_Rarely"/>
    <n v="1037"/>
    <x v="1"/>
    <n v="1"/>
    <n v="3"/>
    <s v="Medical"/>
    <n v="2020"/>
    <n v="2"/>
    <x v="1"/>
    <n v="42"/>
    <n v="3"/>
    <n v="1"/>
    <x v="1"/>
    <x v="0"/>
    <s v="Single"/>
    <n v="2436"/>
    <n v="13422"/>
    <n v="6"/>
    <x v="0"/>
    <n v="12"/>
    <n v="3"/>
    <n v="3"/>
    <n v="0"/>
    <n v="6"/>
    <n v="2"/>
    <n v="3"/>
    <n v="4"/>
    <n v="3"/>
    <n v="1"/>
    <n v="2"/>
    <x v="3"/>
    <n v="0"/>
    <s v="50+"/>
    <x v="0"/>
    <n v="1"/>
    <s v="Low"/>
  </r>
  <r>
    <n v="21"/>
    <s v="No"/>
    <s v="Travel_Rarely"/>
    <n v="501"/>
    <x v="0"/>
    <n v="5"/>
    <n v="1"/>
    <s v="Medical"/>
    <n v="2021"/>
    <n v="3"/>
    <x v="1"/>
    <n v="58"/>
    <n v="3"/>
    <n v="1"/>
    <x v="6"/>
    <x v="3"/>
    <s v="Single"/>
    <n v="2380"/>
    <n v="25479"/>
    <n v="1"/>
    <x v="0"/>
    <n v="11"/>
    <n v="3"/>
    <n v="4"/>
    <n v="0"/>
    <n v="2"/>
    <n v="6"/>
    <n v="3"/>
    <n v="2"/>
    <n v="2"/>
    <n v="1"/>
    <n v="2"/>
    <x v="2"/>
    <n v="0"/>
    <s v="40–49"/>
    <x v="1"/>
    <n v="3"/>
    <s v="High"/>
  </r>
  <r>
    <n v="39"/>
    <s v="No"/>
    <s v="Non-Travel"/>
    <n v="105"/>
    <x v="1"/>
    <n v="9"/>
    <n v="3"/>
    <s v="Life Sciences"/>
    <n v="2022"/>
    <n v="4"/>
    <x v="1"/>
    <n v="87"/>
    <n v="3"/>
    <n v="5"/>
    <x v="5"/>
    <x v="0"/>
    <s v="Single"/>
    <n v="19431"/>
    <n v="15302"/>
    <n v="2"/>
    <x v="1"/>
    <n v="13"/>
    <n v="3"/>
    <n v="3"/>
    <n v="0"/>
    <n v="21"/>
    <n v="3"/>
    <n v="2"/>
    <n v="6"/>
    <n v="0"/>
    <n v="1"/>
    <n v="3"/>
    <x v="0"/>
    <n v="0"/>
    <s v="&lt;30"/>
    <x v="0"/>
    <n v="0"/>
    <s v="Low"/>
  </r>
  <r>
    <n v="23"/>
    <s v="Yes"/>
    <s v="Travel_Frequently"/>
    <n v="638"/>
    <x v="0"/>
    <n v="9"/>
    <n v="3"/>
    <s v="Marketing"/>
    <n v="2023"/>
    <n v="4"/>
    <x v="1"/>
    <n v="33"/>
    <n v="3"/>
    <n v="1"/>
    <x v="6"/>
    <x v="3"/>
    <s v="Married"/>
    <n v="1790"/>
    <n v="26956"/>
    <n v="1"/>
    <x v="1"/>
    <n v="19"/>
    <n v="3"/>
    <n v="1"/>
    <n v="1"/>
    <n v="1"/>
    <n v="3"/>
    <n v="2"/>
    <n v="1"/>
    <n v="0"/>
    <n v="1"/>
    <n v="0"/>
    <x v="2"/>
    <n v="1"/>
    <s v="30–39"/>
    <x v="1"/>
    <n v="2"/>
    <s v="Medium"/>
  </r>
  <r>
    <n v="36"/>
    <s v="No"/>
    <s v="Travel_Rarely"/>
    <n v="557"/>
    <x v="0"/>
    <n v="3"/>
    <n v="3"/>
    <s v="Medical"/>
    <n v="2024"/>
    <n v="1"/>
    <x v="0"/>
    <n v="94"/>
    <n v="2"/>
    <n v="3"/>
    <x v="0"/>
    <x v="0"/>
    <s v="Married"/>
    <n v="7644"/>
    <n v="12695"/>
    <n v="0"/>
    <x v="1"/>
    <n v="19"/>
    <n v="3"/>
    <n v="3"/>
    <n v="2"/>
    <n v="10"/>
    <n v="2"/>
    <n v="3"/>
    <n v="9"/>
    <n v="7"/>
    <n v="3"/>
    <n v="4"/>
    <x v="0"/>
    <n v="0"/>
    <s v="&lt;30"/>
    <x v="0"/>
    <n v="0"/>
    <s v="Low"/>
  </r>
  <r>
    <n v="36"/>
    <s v="No"/>
    <s v="Travel_Frequently"/>
    <n v="688"/>
    <x v="1"/>
    <n v="4"/>
    <n v="2"/>
    <s v="Life Sciences"/>
    <n v="2025"/>
    <n v="4"/>
    <x v="0"/>
    <n v="97"/>
    <n v="3"/>
    <n v="2"/>
    <x v="3"/>
    <x v="1"/>
    <s v="Divorced"/>
    <n v="5131"/>
    <n v="9192"/>
    <n v="7"/>
    <x v="1"/>
    <n v="13"/>
    <n v="3"/>
    <n v="2"/>
    <n v="3"/>
    <n v="18"/>
    <n v="3"/>
    <n v="3"/>
    <n v="4"/>
    <n v="2"/>
    <n v="0"/>
    <n v="2"/>
    <x v="3"/>
    <n v="0"/>
    <s v="30–39"/>
    <x v="1"/>
    <n v="1"/>
    <s v="Low"/>
  </r>
  <r>
    <n v="56"/>
    <s v="No"/>
    <s v="Non-Travel"/>
    <n v="667"/>
    <x v="1"/>
    <n v="1"/>
    <n v="4"/>
    <s v="Life Sciences"/>
    <n v="2026"/>
    <n v="3"/>
    <x v="1"/>
    <n v="57"/>
    <n v="3"/>
    <n v="2"/>
    <x v="4"/>
    <x v="2"/>
    <s v="Divorced"/>
    <n v="6306"/>
    <n v="26236"/>
    <n v="1"/>
    <x v="1"/>
    <n v="21"/>
    <n v="4"/>
    <n v="1"/>
    <n v="1"/>
    <n v="13"/>
    <n v="2"/>
    <n v="2"/>
    <n v="13"/>
    <n v="12"/>
    <n v="1"/>
    <n v="9"/>
    <x v="0"/>
    <n v="0"/>
    <s v="30–39"/>
    <x v="2"/>
    <n v="0"/>
    <s v="Low"/>
  </r>
  <r>
    <n v="29"/>
    <s v="Yes"/>
    <s v="Travel_Rarely"/>
    <n v="1092"/>
    <x v="1"/>
    <n v="1"/>
    <n v="4"/>
    <s v="Medical"/>
    <n v="2027"/>
    <n v="1"/>
    <x v="1"/>
    <n v="36"/>
    <n v="3"/>
    <n v="1"/>
    <x v="1"/>
    <x v="0"/>
    <s v="Married"/>
    <n v="4787"/>
    <n v="26124"/>
    <n v="9"/>
    <x v="0"/>
    <n v="14"/>
    <n v="3"/>
    <n v="2"/>
    <n v="3"/>
    <n v="4"/>
    <n v="3"/>
    <n v="4"/>
    <n v="2"/>
    <n v="2"/>
    <n v="2"/>
    <n v="2"/>
    <x v="2"/>
    <n v="1"/>
    <s v="50+"/>
    <x v="0"/>
    <n v="2"/>
    <s v="Medium"/>
  </r>
  <r>
    <n v="42"/>
    <s v="No"/>
    <s v="Travel_Rarely"/>
    <n v="300"/>
    <x v="1"/>
    <n v="2"/>
    <n v="3"/>
    <s v="Life Sciences"/>
    <n v="2031"/>
    <n v="1"/>
    <x v="1"/>
    <n v="56"/>
    <n v="3"/>
    <n v="5"/>
    <x v="5"/>
    <x v="2"/>
    <s v="Married"/>
    <n v="18880"/>
    <n v="17312"/>
    <n v="5"/>
    <x v="1"/>
    <n v="11"/>
    <n v="3"/>
    <n v="1"/>
    <n v="0"/>
    <n v="24"/>
    <n v="2"/>
    <n v="2"/>
    <n v="22"/>
    <n v="6"/>
    <n v="4"/>
    <n v="14"/>
    <x v="0"/>
    <n v="0"/>
    <s v="&lt;30"/>
    <x v="2"/>
    <n v="0"/>
    <s v="Low"/>
  </r>
  <r>
    <n v="56"/>
    <s v="Yes"/>
    <s v="Travel_Rarely"/>
    <n v="310"/>
    <x v="1"/>
    <n v="7"/>
    <n v="2"/>
    <s v="Technical Degree"/>
    <n v="2032"/>
    <n v="4"/>
    <x v="1"/>
    <n v="72"/>
    <n v="3"/>
    <n v="1"/>
    <x v="2"/>
    <x v="2"/>
    <s v="Married"/>
    <n v="2339"/>
    <n v="3666"/>
    <n v="8"/>
    <x v="1"/>
    <n v="11"/>
    <n v="3"/>
    <n v="4"/>
    <n v="1"/>
    <n v="14"/>
    <n v="4"/>
    <n v="1"/>
    <n v="10"/>
    <n v="9"/>
    <n v="9"/>
    <n v="8"/>
    <x v="0"/>
    <n v="1"/>
    <s v="40–49"/>
    <x v="2"/>
    <n v="0"/>
    <s v="Low"/>
  </r>
  <r>
    <n v="41"/>
    <s v="No"/>
    <s v="Travel_Rarely"/>
    <n v="582"/>
    <x v="1"/>
    <n v="28"/>
    <n v="4"/>
    <s v="Life Sciences"/>
    <n v="2034"/>
    <n v="1"/>
    <x v="0"/>
    <n v="60"/>
    <n v="2"/>
    <n v="4"/>
    <x v="3"/>
    <x v="1"/>
    <s v="Married"/>
    <n v="13570"/>
    <n v="5640"/>
    <n v="0"/>
    <x v="1"/>
    <n v="23"/>
    <n v="4"/>
    <n v="3"/>
    <n v="1"/>
    <n v="21"/>
    <n v="3"/>
    <n v="3"/>
    <n v="20"/>
    <n v="7"/>
    <n v="0"/>
    <n v="10"/>
    <x v="0"/>
    <n v="0"/>
    <s v="50+"/>
    <x v="1"/>
    <n v="1"/>
    <s v="Low"/>
  </r>
  <r>
    <n v="34"/>
    <s v="No"/>
    <s v="Travel_Rarely"/>
    <n v="704"/>
    <x v="0"/>
    <n v="28"/>
    <n v="3"/>
    <s v="Marketing"/>
    <n v="2035"/>
    <n v="4"/>
    <x v="0"/>
    <n v="95"/>
    <n v="2"/>
    <n v="2"/>
    <x v="0"/>
    <x v="2"/>
    <s v="Married"/>
    <n v="6712"/>
    <n v="8978"/>
    <n v="1"/>
    <x v="1"/>
    <n v="21"/>
    <n v="4"/>
    <n v="4"/>
    <n v="2"/>
    <n v="8"/>
    <n v="2"/>
    <n v="3"/>
    <n v="8"/>
    <n v="7"/>
    <n v="1"/>
    <n v="7"/>
    <x v="0"/>
    <n v="0"/>
    <s v="40–49"/>
    <x v="2"/>
    <n v="0"/>
    <s v="Low"/>
  </r>
  <r>
    <n v="36"/>
    <s v="No"/>
    <s v="Non-Travel"/>
    <n v="301"/>
    <x v="0"/>
    <n v="15"/>
    <n v="4"/>
    <s v="Marketing"/>
    <n v="2036"/>
    <n v="4"/>
    <x v="1"/>
    <n v="88"/>
    <n v="1"/>
    <n v="2"/>
    <x v="0"/>
    <x v="0"/>
    <s v="Divorced"/>
    <n v="5406"/>
    <n v="10436"/>
    <n v="1"/>
    <x v="1"/>
    <n v="24"/>
    <n v="4"/>
    <n v="1"/>
    <n v="1"/>
    <n v="15"/>
    <n v="4"/>
    <n v="2"/>
    <n v="15"/>
    <n v="12"/>
    <n v="11"/>
    <n v="11"/>
    <x v="0"/>
    <n v="0"/>
    <s v="30–39"/>
    <x v="0"/>
    <n v="0"/>
    <s v="Low"/>
  </r>
  <r>
    <n v="41"/>
    <s v="No"/>
    <s v="Travel_Rarely"/>
    <n v="930"/>
    <x v="0"/>
    <n v="3"/>
    <n v="3"/>
    <s v="Life Sciences"/>
    <n v="2037"/>
    <n v="3"/>
    <x v="1"/>
    <n v="57"/>
    <n v="2"/>
    <n v="2"/>
    <x v="0"/>
    <x v="1"/>
    <s v="Divorced"/>
    <n v="8938"/>
    <n v="12227"/>
    <n v="2"/>
    <x v="1"/>
    <n v="11"/>
    <n v="3"/>
    <n v="3"/>
    <n v="1"/>
    <n v="14"/>
    <n v="5"/>
    <n v="3"/>
    <n v="5"/>
    <n v="4"/>
    <n v="0"/>
    <n v="4"/>
    <x v="3"/>
    <n v="0"/>
    <s v="30–39"/>
    <x v="1"/>
    <n v="1"/>
    <s v="Low"/>
  </r>
  <r>
    <n v="32"/>
    <s v="No"/>
    <s v="Travel_Rarely"/>
    <n v="529"/>
    <x v="1"/>
    <n v="2"/>
    <n v="3"/>
    <s v="Technical Degree"/>
    <n v="2038"/>
    <n v="4"/>
    <x v="1"/>
    <n v="78"/>
    <n v="3"/>
    <n v="1"/>
    <x v="1"/>
    <x v="3"/>
    <s v="Single"/>
    <n v="2439"/>
    <n v="11288"/>
    <n v="1"/>
    <x v="1"/>
    <n v="14"/>
    <n v="3"/>
    <n v="4"/>
    <n v="0"/>
    <n v="4"/>
    <n v="4"/>
    <n v="3"/>
    <n v="4"/>
    <n v="2"/>
    <n v="1"/>
    <n v="2"/>
    <x v="3"/>
    <n v="0"/>
    <s v="40–49"/>
    <x v="1"/>
    <n v="1"/>
    <s v="Low"/>
  </r>
  <r>
    <n v="35"/>
    <s v="No"/>
    <s v="Travel_Rarely"/>
    <n v="1146"/>
    <x v="2"/>
    <n v="26"/>
    <n v="4"/>
    <s v="Life Sciences"/>
    <n v="2040"/>
    <n v="3"/>
    <x v="0"/>
    <n v="31"/>
    <n v="3"/>
    <n v="3"/>
    <x v="8"/>
    <x v="0"/>
    <s v="Single"/>
    <n v="8837"/>
    <n v="16642"/>
    <n v="1"/>
    <x v="0"/>
    <n v="16"/>
    <n v="3"/>
    <n v="3"/>
    <n v="0"/>
    <n v="9"/>
    <n v="2"/>
    <n v="3"/>
    <n v="9"/>
    <n v="0"/>
    <n v="1"/>
    <n v="7"/>
    <x v="0"/>
    <n v="0"/>
    <s v="30–39"/>
    <x v="0"/>
    <n v="1"/>
    <s v="Low"/>
  </r>
  <r>
    <n v="38"/>
    <s v="No"/>
    <s v="Travel_Rarely"/>
    <n v="345"/>
    <x v="0"/>
    <n v="10"/>
    <n v="2"/>
    <s v="Life Sciences"/>
    <n v="2041"/>
    <n v="1"/>
    <x v="0"/>
    <n v="100"/>
    <n v="3"/>
    <n v="2"/>
    <x v="0"/>
    <x v="0"/>
    <s v="Married"/>
    <n v="5343"/>
    <n v="5982"/>
    <n v="1"/>
    <x v="1"/>
    <n v="11"/>
    <n v="3"/>
    <n v="3"/>
    <n v="1"/>
    <n v="10"/>
    <n v="1"/>
    <n v="3"/>
    <n v="10"/>
    <n v="7"/>
    <n v="1"/>
    <n v="9"/>
    <x v="0"/>
    <n v="0"/>
    <s v="30–39"/>
    <x v="0"/>
    <n v="0"/>
    <s v="Low"/>
  </r>
  <r>
    <n v="50"/>
    <s v="Yes"/>
    <s v="Travel_Frequently"/>
    <n v="878"/>
    <x v="0"/>
    <n v="1"/>
    <n v="4"/>
    <s v="Life Sciences"/>
    <n v="2044"/>
    <n v="2"/>
    <x v="1"/>
    <n v="94"/>
    <n v="3"/>
    <n v="2"/>
    <x v="0"/>
    <x v="2"/>
    <s v="Divorced"/>
    <n v="6728"/>
    <n v="14255"/>
    <n v="7"/>
    <x v="1"/>
    <n v="12"/>
    <n v="3"/>
    <n v="4"/>
    <n v="2"/>
    <n v="12"/>
    <n v="3"/>
    <n v="3"/>
    <n v="6"/>
    <n v="3"/>
    <n v="0"/>
    <n v="1"/>
    <x v="0"/>
    <n v="1"/>
    <s v="30–39"/>
    <x v="2"/>
    <n v="0"/>
    <s v="Low"/>
  </r>
  <r>
    <n v="36"/>
    <s v="No"/>
    <s v="Travel_Rarely"/>
    <n v="1120"/>
    <x v="0"/>
    <n v="11"/>
    <n v="4"/>
    <s v="Marketing"/>
    <n v="2045"/>
    <n v="2"/>
    <x v="0"/>
    <n v="100"/>
    <n v="2"/>
    <n v="2"/>
    <x v="0"/>
    <x v="0"/>
    <s v="Married"/>
    <n v="6652"/>
    <n v="14369"/>
    <n v="4"/>
    <x v="1"/>
    <n v="13"/>
    <n v="3"/>
    <n v="1"/>
    <n v="1"/>
    <n v="8"/>
    <n v="2"/>
    <n v="2"/>
    <n v="6"/>
    <n v="3"/>
    <n v="0"/>
    <n v="0"/>
    <x v="0"/>
    <n v="0"/>
    <s v="50+"/>
    <x v="0"/>
    <n v="0"/>
    <s v="Low"/>
  </r>
  <r>
    <n v="45"/>
    <s v="No"/>
    <s v="Travel_Rarely"/>
    <n v="374"/>
    <x v="0"/>
    <n v="20"/>
    <n v="3"/>
    <s v="Life Sciences"/>
    <n v="2046"/>
    <n v="4"/>
    <x v="0"/>
    <n v="50"/>
    <n v="3"/>
    <n v="2"/>
    <x v="0"/>
    <x v="2"/>
    <s v="Single"/>
    <n v="4850"/>
    <n v="23333"/>
    <n v="8"/>
    <x v="1"/>
    <n v="15"/>
    <n v="3"/>
    <n v="3"/>
    <n v="0"/>
    <n v="8"/>
    <n v="3"/>
    <n v="3"/>
    <n v="5"/>
    <n v="3"/>
    <n v="0"/>
    <n v="1"/>
    <x v="3"/>
    <n v="0"/>
    <s v="30–39"/>
    <x v="2"/>
    <n v="0"/>
    <s v="Low"/>
  </r>
  <r>
    <n v="40"/>
    <s v="No"/>
    <s v="Travel_Rarely"/>
    <n v="1322"/>
    <x v="1"/>
    <n v="2"/>
    <n v="4"/>
    <s v="Life Sciences"/>
    <n v="2048"/>
    <n v="3"/>
    <x v="1"/>
    <n v="52"/>
    <n v="2"/>
    <n v="1"/>
    <x v="1"/>
    <x v="2"/>
    <s v="Single"/>
    <n v="2809"/>
    <n v="2725"/>
    <n v="2"/>
    <x v="1"/>
    <n v="14"/>
    <n v="3"/>
    <n v="4"/>
    <n v="0"/>
    <n v="8"/>
    <n v="2"/>
    <n v="3"/>
    <n v="2"/>
    <n v="2"/>
    <n v="2"/>
    <n v="2"/>
    <x v="2"/>
    <n v="0"/>
    <s v="40–49"/>
    <x v="2"/>
    <n v="1"/>
    <s v="Low"/>
  </r>
  <r>
    <n v="35"/>
    <s v="No"/>
    <s v="Travel_Frequently"/>
    <n v="1199"/>
    <x v="1"/>
    <n v="18"/>
    <n v="4"/>
    <s v="Life Sciences"/>
    <n v="2049"/>
    <n v="3"/>
    <x v="1"/>
    <n v="80"/>
    <n v="3"/>
    <n v="2"/>
    <x v="4"/>
    <x v="2"/>
    <s v="Married"/>
    <n v="5689"/>
    <n v="24594"/>
    <n v="1"/>
    <x v="0"/>
    <n v="14"/>
    <n v="3"/>
    <n v="4"/>
    <n v="2"/>
    <n v="10"/>
    <n v="2"/>
    <n v="4"/>
    <n v="10"/>
    <n v="2"/>
    <n v="0"/>
    <n v="2"/>
    <x v="0"/>
    <n v="0"/>
    <s v="40–49"/>
    <x v="2"/>
    <n v="1"/>
    <s v="Low"/>
  </r>
  <r>
    <n v="40"/>
    <s v="No"/>
    <s v="Travel_Rarely"/>
    <n v="1194"/>
    <x v="1"/>
    <n v="2"/>
    <n v="4"/>
    <s v="Medical"/>
    <n v="2051"/>
    <n v="3"/>
    <x v="0"/>
    <n v="98"/>
    <n v="3"/>
    <n v="1"/>
    <x v="1"/>
    <x v="2"/>
    <s v="Married"/>
    <n v="2001"/>
    <n v="12549"/>
    <n v="2"/>
    <x v="1"/>
    <n v="14"/>
    <n v="3"/>
    <n v="2"/>
    <n v="3"/>
    <n v="20"/>
    <n v="2"/>
    <n v="3"/>
    <n v="5"/>
    <n v="3"/>
    <n v="0"/>
    <n v="2"/>
    <x v="3"/>
    <n v="0"/>
    <s v="30–39"/>
    <x v="2"/>
    <n v="0"/>
    <s v="Low"/>
  </r>
  <r>
    <n v="35"/>
    <s v="No"/>
    <s v="Travel_Rarely"/>
    <n v="287"/>
    <x v="1"/>
    <n v="1"/>
    <n v="4"/>
    <s v="Life Sciences"/>
    <n v="2052"/>
    <n v="3"/>
    <x v="0"/>
    <n v="62"/>
    <n v="1"/>
    <n v="1"/>
    <x v="1"/>
    <x v="0"/>
    <s v="Married"/>
    <n v="2977"/>
    <n v="8952"/>
    <n v="1"/>
    <x v="1"/>
    <n v="12"/>
    <n v="3"/>
    <n v="4"/>
    <n v="1"/>
    <n v="4"/>
    <n v="5"/>
    <n v="3"/>
    <n v="4"/>
    <n v="3"/>
    <n v="1"/>
    <n v="1"/>
    <x v="3"/>
    <n v="0"/>
    <s v="40–49"/>
    <x v="0"/>
    <n v="0"/>
    <s v="Low"/>
  </r>
  <r>
    <n v="29"/>
    <s v="No"/>
    <s v="Travel_Rarely"/>
    <n v="1378"/>
    <x v="1"/>
    <n v="13"/>
    <n v="2"/>
    <s v="Other"/>
    <n v="2053"/>
    <n v="4"/>
    <x v="1"/>
    <n v="46"/>
    <n v="2"/>
    <n v="2"/>
    <x v="2"/>
    <x v="1"/>
    <s v="Married"/>
    <n v="4025"/>
    <n v="23679"/>
    <n v="4"/>
    <x v="0"/>
    <n v="13"/>
    <n v="3"/>
    <n v="1"/>
    <n v="1"/>
    <n v="10"/>
    <n v="2"/>
    <n v="3"/>
    <n v="4"/>
    <n v="3"/>
    <n v="0"/>
    <n v="3"/>
    <x v="3"/>
    <n v="0"/>
    <s v="30–39"/>
    <x v="1"/>
    <n v="2"/>
    <s v="Medium"/>
  </r>
  <r>
    <n v="29"/>
    <s v="No"/>
    <s v="Travel_Rarely"/>
    <n v="468"/>
    <x v="1"/>
    <n v="28"/>
    <n v="4"/>
    <s v="Medical"/>
    <n v="2054"/>
    <n v="4"/>
    <x v="0"/>
    <n v="73"/>
    <n v="2"/>
    <n v="1"/>
    <x v="1"/>
    <x v="3"/>
    <s v="Single"/>
    <n v="3785"/>
    <n v="8489"/>
    <n v="1"/>
    <x v="1"/>
    <n v="14"/>
    <n v="3"/>
    <n v="2"/>
    <n v="0"/>
    <n v="5"/>
    <n v="3"/>
    <n v="1"/>
    <n v="5"/>
    <n v="4"/>
    <n v="0"/>
    <n v="4"/>
    <x v="3"/>
    <n v="0"/>
    <s v="&lt;30"/>
    <x v="1"/>
    <n v="1"/>
    <s v="Low"/>
  </r>
  <r>
    <n v="50"/>
    <s v="Yes"/>
    <s v="Travel_Rarely"/>
    <n v="410"/>
    <x v="0"/>
    <n v="28"/>
    <n v="3"/>
    <s v="Marketing"/>
    <n v="2055"/>
    <n v="4"/>
    <x v="1"/>
    <n v="39"/>
    <n v="2"/>
    <n v="3"/>
    <x v="0"/>
    <x v="3"/>
    <s v="Divorced"/>
    <n v="10854"/>
    <n v="16586"/>
    <n v="4"/>
    <x v="0"/>
    <n v="13"/>
    <n v="3"/>
    <n v="2"/>
    <n v="1"/>
    <n v="20"/>
    <n v="3"/>
    <n v="3"/>
    <n v="3"/>
    <n v="2"/>
    <n v="2"/>
    <n v="0"/>
    <x v="2"/>
    <n v="1"/>
    <s v="&lt;30"/>
    <x v="1"/>
    <n v="3"/>
    <s v="High"/>
  </r>
  <r>
    <n v="39"/>
    <s v="No"/>
    <s v="Travel_Rarely"/>
    <n v="722"/>
    <x v="0"/>
    <n v="24"/>
    <n v="1"/>
    <s v="Marketing"/>
    <n v="2056"/>
    <n v="2"/>
    <x v="0"/>
    <n v="60"/>
    <n v="2"/>
    <n v="4"/>
    <x v="0"/>
    <x v="0"/>
    <s v="Married"/>
    <n v="12031"/>
    <n v="8828"/>
    <n v="0"/>
    <x v="1"/>
    <n v="11"/>
    <n v="3"/>
    <n v="1"/>
    <n v="1"/>
    <n v="21"/>
    <n v="2"/>
    <n v="2"/>
    <n v="20"/>
    <n v="9"/>
    <n v="9"/>
    <n v="6"/>
    <x v="0"/>
    <n v="0"/>
    <s v="50+"/>
    <x v="0"/>
    <n v="0"/>
    <s v="Low"/>
  </r>
  <r>
    <n v="31"/>
    <s v="No"/>
    <s v="Non-Travel"/>
    <n v="325"/>
    <x v="1"/>
    <n v="5"/>
    <n v="3"/>
    <s v="Medical"/>
    <n v="2057"/>
    <n v="2"/>
    <x v="1"/>
    <n v="74"/>
    <n v="3"/>
    <n v="2"/>
    <x v="3"/>
    <x v="3"/>
    <s v="Single"/>
    <n v="9936"/>
    <n v="3787"/>
    <n v="0"/>
    <x v="1"/>
    <n v="19"/>
    <n v="3"/>
    <n v="2"/>
    <n v="0"/>
    <n v="10"/>
    <n v="2"/>
    <n v="3"/>
    <n v="9"/>
    <n v="4"/>
    <n v="1"/>
    <n v="7"/>
    <x v="0"/>
    <n v="0"/>
    <s v="30–39"/>
    <x v="1"/>
    <n v="1"/>
    <s v="Low"/>
  </r>
  <r>
    <n v="26"/>
    <s v="No"/>
    <s v="Travel_Rarely"/>
    <n v="1167"/>
    <x v="0"/>
    <n v="5"/>
    <n v="3"/>
    <s v="Other"/>
    <n v="2060"/>
    <n v="4"/>
    <x v="0"/>
    <n v="30"/>
    <n v="2"/>
    <n v="1"/>
    <x v="6"/>
    <x v="2"/>
    <s v="Single"/>
    <n v="2966"/>
    <n v="21378"/>
    <n v="0"/>
    <x v="1"/>
    <n v="18"/>
    <n v="3"/>
    <n v="4"/>
    <n v="0"/>
    <n v="5"/>
    <n v="2"/>
    <n v="3"/>
    <n v="4"/>
    <n v="2"/>
    <n v="0"/>
    <n v="0"/>
    <x v="3"/>
    <n v="0"/>
    <s v="30–39"/>
    <x v="2"/>
    <n v="0"/>
    <s v="Low"/>
  </r>
  <r>
    <n v="36"/>
    <s v="No"/>
    <s v="Travel_Frequently"/>
    <n v="884"/>
    <x v="1"/>
    <n v="23"/>
    <n v="2"/>
    <s v="Medical"/>
    <n v="2061"/>
    <n v="3"/>
    <x v="1"/>
    <n v="41"/>
    <n v="4"/>
    <n v="2"/>
    <x v="2"/>
    <x v="0"/>
    <s v="Married"/>
    <n v="2571"/>
    <n v="12290"/>
    <n v="4"/>
    <x v="1"/>
    <n v="17"/>
    <n v="3"/>
    <n v="3"/>
    <n v="1"/>
    <n v="17"/>
    <n v="3"/>
    <n v="3"/>
    <n v="5"/>
    <n v="2"/>
    <n v="0"/>
    <n v="3"/>
    <x v="3"/>
    <n v="0"/>
    <s v="&lt;30"/>
    <x v="0"/>
    <n v="0"/>
    <s v="Low"/>
  </r>
  <r>
    <n v="39"/>
    <s v="No"/>
    <s v="Travel_Rarely"/>
    <n v="613"/>
    <x v="1"/>
    <n v="6"/>
    <n v="1"/>
    <s v="Medical"/>
    <n v="2062"/>
    <n v="4"/>
    <x v="1"/>
    <n v="42"/>
    <n v="2"/>
    <n v="3"/>
    <x v="4"/>
    <x v="3"/>
    <s v="Married"/>
    <n v="9991"/>
    <n v="21457"/>
    <n v="4"/>
    <x v="1"/>
    <n v="15"/>
    <n v="3"/>
    <n v="1"/>
    <n v="1"/>
    <n v="9"/>
    <n v="5"/>
    <n v="3"/>
    <n v="7"/>
    <n v="7"/>
    <n v="1"/>
    <n v="7"/>
    <x v="0"/>
    <n v="0"/>
    <s v="30–39"/>
    <x v="1"/>
    <n v="1"/>
    <s v="Low"/>
  </r>
  <r>
    <n v="27"/>
    <s v="No"/>
    <s v="Travel_Rarely"/>
    <n v="155"/>
    <x v="1"/>
    <n v="4"/>
    <n v="3"/>
    <s v="Life Sciences"/>
    <n v="2064"/>
    <n v="2"/>
    <x v="1"/>
    <n v="87"/>
    <n v="4"/>
    <n v="2"/>
    <x v="3"/>
    <x v="1"/>
    <s v="Married"/>
    <n v="6142"/>
    <n v="5174"/>
    <n v="1"/>
    <x v="0"/>
    <n v="20"/>
    <n v="4"/>
    <n v="2"/>
    <n v="1"/>
    <n v="6"/>
    <n v="0"/>
    <n v="3"/>
    <n v="6"/>
    <n v="2"/>
    <n v="0"/>
    <n v="3"/>
    <x v="0"/>
    <n v="0"/>
    <s v="30–39"/>
    <x v="1"/>
    <n v="2"/>
    <s v="Medium"/>
  </r>
  <r>
    <n v="49"/>
    <s v="No"/>
    <s v="Travel_Frequently"/>
    <n v="1023"/>
    <x v="0"/>
    <n v="2"/>
    <n v="3"/>
    <s v="Medical"/>
    <n v="2065"/>
    <n v="4"/>
    <x v="1"/>
    <n v="63"/>
    <n v="2"/>
    <n v="2"/>
    <x v="0"/>
    <x v="1"/>
    <s v="Married"/>
    <n v="5390"/>
    <n v="13243"/>
    <n v="2"/>
    <x v="1"/>
    <n v="14"/>
    <n v="3"/>
    <n v="4"/>
    <n v="0"/>
    <n v="17"/>
    <n v="3"/>
    <n v="2"/>
    <n v="9"/>
    <n v="6"/>
    <n v="0"/>
    <n v="8"/>
    <x v="0"/>
    <n v="0"/>
    <s v="&lt;30"/>
    <x v="1"/>
    <n v="1"/>
    <s v="Low"/>
  </r>
  <r>
    <n v="34"/>
    <s v="No"/>
    <s v="Travel_Rarely"/>
    <n v="628"/>
    <x v="1"/>
    <n v="8"/>
    <n v="3"/>
    <s v="Medical"/>
    <n v="2068"/>
    <n v="2"/>
    <x v="1"/>
    <n v="82"/>
    <n v="4"/>
    <n v="2"/>
    <x v="2"/>
    <x v="2"/>
    <s v="Married"/>
    <n v="4404"/>
    <n v="10228"/>
    <n v="2"/>
    <x v="1"/>
    <n v="12"/>
    <n v="3"/>
    <n v="1"/>
    <n v="0"/>
    <n v="6"/>
    <n v="3"/>
    <n v="4"/>
    <n v="4"/>
    <n v="3"/>
    <n v="1"/>
    <n v="2"/>
    <x v="3"/>
    <n v="0"/>
    <s v="40–49"/>
    <x v="2"/>
    <n v="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EC137-8022-4FD3-91BE-DD00125D877F}" name="PivotTable15"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Satisfication">
  <location ref="A19:B24" firstHeaderRow="1" firstDataRow="1" firstDataCol="1"/>
  <pivotFields count="38">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5"/>
  </rowFields>
  <rowItems count="5">
    <i>
      <x/>
    </i>
    <i>
      <x v="1"/>
    </i>
    <i>
      <x v="2"/>
    </i>
    <i>
      <x v="3"/>
    </i>
    <i t="grand">
      <x/>
    </i>
  </rowItems>
  <colItems count="1">
    <i/>
  </colItems>
  <dataFields count="1">
    <dataField name="Average of Attrition Flag" fld="33" subtotal="average" baseField="15" baseItem="0" numFmtId="9"/>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8921C-3234-4ECE-B2AE-E6EE5242EEF3}" name="PivotTable14"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SatisficationBand">
  <location ref="D13:E17"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pivotFields>
  <rowFields count="1">
    <field x="35"/>
  </rowFields>
  <rowItems count="4">
    <i>
      <x/>
    </i>
    <i>
      <x v="1"/>
    </i>
    <i>
      <x v="2"/>
    </i>
    <i t="grand">
      <x/>
    </i>
  </rowItems>
  <colItems count="1">
    <i/>
  </colItems>
  <dataFields count="1">
    <dataField name="Average of Attrition Flag" fld="33" subtotal="average" baseField="35" baseItem="0" numFmtId="9"/>
  </dataFields>
  <formats count="1">
    <format dxfId="1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DC2A25-11FC-4A02-B786-09403A2FB0A5}" name="PivotTable13"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verTime">
  <location ref="D8:E11"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0"/>
        <item x="1"/>
        <item x="2"/>
        <item t="default"/>
      </items>
    </pivotField>
    <pivotField showAll="0"/>
    <pivotField showAll="0"/>
  </pivotFields>
  <rowFields count="1">
    <field x="20"/>
  </rowFields>
  <rowItems count="3">
    <i>
      <x/>
    </i>
    <i>
      <x v="1"/>
    </i>
    <i t="grand">
      <x/>
    </i>
  </rowItems>
  <colItems count="1">
    <i/>
  </colItems>
  <dataFields count="1">
    <dataField name="Average of Attrition Flag" fld="33" subtotal="average" baseField="20" baseItem="0" numFmtId="9"/>
  </dataFields>
  <formats count="1">
    <format dxfId="16">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480C3-5B4B-4E65-9B45-C65A8CDE71F9}" name="PivotTable12"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nure Band">
  <location ref="D1:E6"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 dataField="1" showAll="0"/>
    <pivotField showAll="0"/>
    <pivotField showAll="0"/>
    <pivotField showAll="0"/>
    <pivotField showAll="0"/>
  </pivotFields>
  <rowFields count="1">
    <field x="32"/>
  </rowFields>
  <rowItems count="5">
    <i>
      <x/>
    </i>
    <i>
      <x v="1"/>
    </i>
    <i>
      <x v="2"/>
    </i>
    <i>
      <x v="3"/>
    </i>
    <i t="grand">
      <x/>
    </i>
  </rowItems>
  <colItems count="1">
    <i/>
  </colItems>
  <dataFields count="1">
    <dataField name="Average of Attrition Flag" fld="33" subtotal="average" baseField="32" baseItem="0" numFmtId="9"/>
  </dataFields>
  <formats count="1">
    <format dxfId="1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48D6D-B3B0-494B-B874-91B265E1DB0D}" name="PivotTable11"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JobRole">
  <location ref="A7:B17" firstHeaderRow="1" firstDataRow="1" firstDataCol="1"/>
  <pivotFields count="38">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Average of Attrition Flag" fld="33" subtotal="average" baseField="14" baseItem="0" numFmtId="9"/>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995F0A-FF48-493B-A1A8-BCCE4ADBEF71}" name="PivotTable10" cacheId="1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epartment">
  <location ref="A1:B5" firstHeaderRow="1" firstDataRow="1" firstDataCol="1"/>
  <pivotFields count="38">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Average of Attrition Flag" fld="33" subtotal="average" baseField="4" baseItem="0" numFmtId="9"/>
  </dataFields>
  <formats count="1">
    <format dxfId="18">
      <pivotArea outline="0" collapsedLevelsAreSubtotals="1" fieldPosition="0">
        <references count="1">
          <reference field="4294967294" count="1" selected="0">
            <x v="0"/>
          </reference>
        </references>
      </pivotArea>
    </format>
  </format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9E2902C-5DF3-4101-A874-29E4BB079A81}"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945F260-326B-41F8-B44E-A2D82D0E06D0}" autoFormatId="16" applyNumberFormats="0" applyBorderFormats="0" applyFontFormats="0" applyPatternFormats="0" applyAlignmentFormats="0" applyWidthHeightFormats="0">
  <queryTableRefresh nextId="47" unboundColumnsRight="6">
    <queryTableFields count="38">
      <queryTableField id="1" name="Age" tableColumnId="1"/>
      <queryTableField id="39" dataBound="0" tableColumnId="39"/>
      <queryTableField id="3" name="BusinessTravel" tableColumnId="3"/>
      <queryTableField id="4" name="DailyRate" tableColumnId="4"/>
      <queryTableField id="36" dataBound="0" tableColumnId="36"/>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38" dataBound="0" tableColumnId="38"/>
      <queryTableField id="13" name="HourlyRate" tableColumnId="13"/>
      <queryTableField id="14" name="JobInvolvement" tableColumnId="14"/>
      <queryTableField id="15" name="JobLevel" tableColumnId="15"/>
      <queryTableField id="37" dataBound="0" tableColumnId="37"/>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40" dataBound="0" tableColumnId="40"/>
      <queryTableField id="41" dataBound="0" tableColumnId="41"/>
      <queryTableField id="43" dataBound="0" tableColumnId="43"/>
      <queryTableField id="44" dataBound="0" tableColumnId="2"/>
      <queryTableField id="45" dataBound="0" tableColumnId="5"/>
      <queryTableField id="46" dataBound="0" tableColumnId="9"/>
    </queryTableFields>
    <queryTableDeletedFields count="7">
      <deletedField name="EmployeeCount"/>
      <deletedField name="Over18"/>
      <deletedField name="StandardHours"/>
      <deletedField name="Attrition"/>
      <deletedField name="Department"/>
      <deletedField name="Gender"/>
      <deletedField name="JobRol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F198914-7A9F-4618-B62E-833605EF6659}" sourceName="Department">
  <pivotTables>
    <pivotTable tabId="9" name="PivotTable12"/>
    <pivotTable tabId="9" name="PivotTable10"/>
    <pivotTable tabId="9" name="PivotTable11"/>
    <pivotTable tabId="9" name="PivotTable13"/>
    <pivotTable tabId="9" name="PivotTable14"/>
  </pivotTables>
  <data>
    <tabular pivotCacheId="204296622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A1D840F-CB9B-450B-AA8A-B93C155631C7}" sourceName="JobRole">
  <pivotTables>
    <pivotTable tabId="9" name="PivotTable11"/>
    <pivotTable tabId="9" name="PivotTable10"/>
    <pivotTable tabId="9" name="PivotTable12"/>
    <pivotTable tabId="9" name="PivotTable13"/>
    <pivotTable tabId="9" name="PivotTable14"/>
    <pivotTable tabId="9" name="PivotTable15"/>
  </pivotTables>
  <data>
    <tabular pivotCacheId="2042966224">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5AEEE7B-DB3D-4F11-A704-88896C2E41FF}" sourceName="Gender">
  <pivotTables>
    <pivotTable tabId="9" name="PivotTable12"/>
    <pivotTable tabId="9" name="PivotTable10"/>
    <pivotTable tabId="9" name="PivotTable11"/>
    <pivotTable tabId="9" name="PivotTable13"/>
    <pivotTable tabId="9" name="PivotTable14"/>
    <pivotTable tabId="9" name="PivotTable15"/>
  </pivotTables>
  <data>
    <tabular pivotCacheId="204296622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BD324091-1C37-4EBA-9E5E-84C2287954CD}" sourceName="OverTime">
  <pivotTables>
    <pivotTable tabId="9" name="PivotTable12"/>
    <pivotTable tabId="9" name="PivotTable10"/>
    <pivotTable tabId="9" name="PivotTable11"/>
    <pivotTable tabId="9" name="PivotTable13"/>
    <pivotTable tabId="9" name="PivotTable14"/>
    <pivotTable tabId="9" name="PivotTable15"/>
  </pivotTables>
  <data>
    <tabular pivotCacheId="20429662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0B2F0F8-3C24-49C2-A1D8-D65098FB5BCB}" cache="Slicer_Department" caption="Department" rowHeight="250698"/>
  <slicer name="JobRole" xr10:uid="{11474FB8-CDB9-4174-BF96-E295050A7429}" cache="Slicer_JobRole" caption="JobRole" startItem="5" rowHeight="250698"/>
  <slicer name="Gender" xr10:uid="{68FB1000-7184-4ECF-8844-17F0DE0A24EC}" cache="Slicer_Gender" caption="Gender" rowHeight="250698"/>
  <slicer name="OverTime" xr10:uid="{72E01982-A0C2-4E0E-A1C4-71AB08D9D221}" cache="Slicer_OverTime" caption="OverTime" rowHeight="25069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2DDEA5-9E8D-4AD8-AE05-F447BD8C95BA}" name="HR_Employee_Attrition__2" displayName="HR_Employee_Attrition__2" ref="A1:AI1471" tableType="queryTable" totalsRowShown="0">
  <autoFilter ref="A1:AI1471" xr:uid="{292DDEA5-9E8D-4AD8-AE05-F447BD8C95BA}"/>
  <tableColumns count="35">
    <tableColumn id="1" xr3:uid="{FE26A7C5-CA85-46E7-939E-8EDF45A2198A}" uniqueName="1" name="Age" queryTableFieldId="1"/>
    <tableColumn id="2" xr3:uid="{23E5B968-02FE-40F4-9941-C05D98A66C7D}" uniqueName="2" name="Attrition" queryTableFieldId="2" dataDxfId="43"/>
    <tableColumn id="3" xr3:uid="{941C6629-CAFA-4451-AF28-07F589C2DB07}" uniqueName="3" name="BusinessTravel" queryTableFieldId="3" dataDxfId="42"/>
    <tableColumn id="4" xr3:uid="{8054748C-95D3-4D1E-A9AE-BE9D7A8A7C62}" uniqueName="4" name="DailyRate" queryTableFieldId="4"/>
    <tableColumn id="5" xr3:uid="{FEC7C164-A7E2-40B1-8C81-B6E8CD0BDAB0}" uniqueName="5" name="Department" queryTableFieldId="5" dataDxfId="41"/>
    <tableColumn id="6" xr3:uid="{A6C51066-9310-4ABF-8424-95A7AEE4A20D}" uniqueName="6" name="DistanceFromHome" queryTableFieldId="6"/>
    <tableColumn id="7" xr3:uid="{093F177F-9C5C-43B8-B415-800215907193}" uniqueName="7" name="Education" queryTableFieldId="7"/>
    <tableColumn id="8" xr3:uid="{67332FB4-D21F-4FEE-9074-D00EBB993A95}" uniqueName="8" name="EducationField" queryTableFieldId="8" dataDxfId="40"/>
    <tableColumn id="9" xr3:uid="{582F854E-F65C-48DE-9418-2F72896E5CD8}" uniqueName="9" name="EmployeeCount" queryTableFieldId="9"/>
    <tableColumn id="10" xr3:uid="{0E6FED82-EE85-482C-827E-C1167353072F}" uniqueName="10" name="EmployeeNumber" queryTableFieldId="10"/>
    <tableColumn id="11" xr3:uid="{029083DA-F95F-4CA5-A047-0B2CC57DCE2E}" uniqueName="11" name="EnvironmentSatisfaction" queryTableFieldId="11"/>
    <tableColumn id="12" xr3:uid="{714B320D-23A4-48C8-A672-430B6ED11AB3}" uniqueName="12" name="Gender" queryTableFieldId="12" dataDxfId="39"/>
    <tableColumn id="13" xr3:uid="{6E8779AB-B8EC-42CA-A0F4-6B6EFE61ACD4}" uniqueName="13" name="HourlyRate" queryTableFieldId="13"/>
    <tableColumn id="14" xr3:uid="{9C5B7288-50A0-4599-AC6A-DB2ACF0EF6C7}" uniqueName="14" name="JobInvolvement" queryTableFieldId="14"/>
    <tableColumn id="15" xr3:uid="{24A7558B-C9B0-4320-B6F7-183E2E330744}" uniqueName="15" name="JobLevel" queryTableFieldId="15"/>
    <tableColumn id="16" xr3:uid="{5A6C5C15-E2AF-4959-AB3B-8FC06327A333}" uniqueName="16" name="JobRole" queryTableFieldId="16" dataDxfId="38"/>
    <tableColumn id="17" xr3:uid="{49E87D17-139D-4B2E-9B6B-A1CF498DAE48}" uniqueName="17" name="JobSatisfaction" queryTableFieldId="17"/>
    <tableColumn id="18" xr3:uid="{BE264843-6A30-4B22-8BE8-C0E1CCA98917}" uniqueName="18" name="MaritalStatus" queryTableFieldId="18" dataDxfId="37"/>
    <tableColumn id="19" xr3:uid="{077A52E8-3D06-443C-A627-B3DF065C0782}" uniqueName="19" name="MonthlyIncome" queryTableFieldId="19"/>
    <tableColumn id="20" xr3:uid="{44492B1B-CC7A-448C-B110-C6858380D299}" uniqueName="20" name="MonthlyRate" queryTableFieldId="20"/>
    <tableColumn id="21" xr3:uid="{0A79CDFF-8DF1-4CCC-8770-6A398349D129}" uniqueName="21" name="NumCompaniesWorked" queryTableFieldId="21"/>
    <tableColumn id="22" xr3:uid="{D18BE077-54A4-4DD5-B461-DF8622E76093}" uniqueName="22" name="Over18" queryTableFieldId="22" dataDxfId="36"/>
    <tableColumn id="23" xr3:uid="{DCDF17AB-29CA-4983-BDEE-E8A3791B0D1B}" uniqueName="23" name="OverTime" queryTableFieldId="23" dataDxfId="35"/>
    <tableColumn id="24" xr3:uid="{601EDA55-6754-40D0-9D9C-CA9EBAA01D69}" uniqueName="24" name="PercentSalaryHike" queryTableFieldId="24"/>
    <tableColumn id="25" xr3:uid="{E23E0883-9E1F-422F-A0F1-7563AB7D176C}" uniqueName="25" name="PerformanceRating" queryTableFieldId="25"/>
    <tableColumn id="26" xr3:uid="{2B91AE8A-D0BA-4860-B81C-5D1857299C2F}" uniqueName="26" name="RelationshipSatisfaction" queryTableFieldId="26"/>
    <tableColumn id="27" xr3:uid="{90195CD7-FE8E-4204-B329-C4BA771F2BAF}" uniqueName="27" name="StandardHours" queryTableFieldId="27"/>
    <tableColumn id="28" xr3:uid="{310BFEEF-446B-4E93-87BF-FC66319118E5}" uniqueName="28" name="StockOptionLevel" queryTableFieldId="28"/>
    <tableColumn id="29" xr3:uid="{32F78870-28F1-4FF1-ABDF-E825A355F530}" uniqueName="29" name="TotalWorkingYears" queryTableFieldId="29"/>
    <tableColumn id="30" xr3:uid="{EA42B301-432F-4276-A447-919CAB08F8EF}" uniqueName="30" name="TrainingTimesLastYear" queryTableFieldId="30"/>
    <tableColumn id="31" xr3:uid="{7657CB78-0B3D-4B8D-B790-2392B4A78F39}" uniqueName="31" name="WorkLifeBalance" queryTableFieldId="31"/>
    <tableColumn id="32" xr3:uid="{A938EB8F-38EB-4D1B-A36C-8A9B646022BE}" uniqueName="32" name="YearsAtCompany" queryTableFieldId="32"/>
    <tableColumn id="33" xr3:uid="{50BF1787-81F2-422E-8D37-2EB3341E651D}" uniqueName="33" name="YearsInCurrentRole" queryTableFieldId="33"/>
    <tableColumn id="34" xr3:uid="{78C24A3E-5955-4F4D-87F1-6E96B3BA5FC8}" uniqueName="34" name="YearsSinceLastPromotion" queryTableFieldId="34"/>
    <tableColumn id="35" xr3:uid="{0C505F91-9B0F-4C90-B995-37CE595A58FC}" uniqueName="35" name="YearsWithCurrManager" queryTableFieldId="3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59EB4F-FADD-484E-A93D-D2AE32A3310C}" name="DataTable" displayName="DataTable" ref="A1:AL1471" tableType="queryTable" totalsRowShown="0">
  <autoFilter ref="A1:AL1471" xr:uid="{0459EB4F-FADD-484E-A93D-D2AE32A3310C}"/>
  <tableColumns count="38">
    <tableColumn id="1" xr3:uid="{BBA51D46-24FC-4DD7-8A94-1B6704C38B1C}" uniqueName="1" name="Age" queryTableFieldId="1"/>
    <tableColumn id="39" xr3:uid="{BC232E35-46F8-4E82-8DAA-891A614921CD}" uniqueName="39" name="Attrition" queryTableFieldId="39" dataDxfId="34"/>
    <tableColumn id="3" xr3:uid="{55C572A0-CDF0-41FA-9EDF-4D2E49340F14}" uniqueName="3" name="BusinessTravel" queryTableFieldId="3" dataDxfId="33"/>
    <tableColumn id="4" xr3:uid="{BE69529D-45A5-4AD0-A5A4-06ADE30671B7}" uniqueName="4" name="DailyRate" queryTableFieldId="4"/>
    <tableColumn id="36" xr3:uid="{814266E8-F966-400B-BD62-D36E65F57091}" uniqueName="36" name="Department" queryTableFieldId="36" dataDxfId="32"/>
    <tableColumn id="6" xr3:uid="{DFF61AC3-F1C4-4277-9B7F-F9138DEA24B1}" uniqueName="6" name="DistanceFromHome" queryTableFieldId="6"/>
    <tableColumn id="7" xr3:uid="{FAE1CEC7-E80A-41C6-865C-378728656C75}" uniqueName="7" name="Education" queryTableFieldId="7"/>
    <tableColumn id="8" xr3:uid="{C51B7655-FC7A-4D64-8FF4-49760DB57ED2}" uniqueName="8" name="EducationField" queryTableFieldId="8" dataDxfId="31"/>
    <tableColumn id="10" xr3:uid="{B7FC5111-83DC-4BD3-B403-62DCA44CE123}" uniqueName="10" name="EmployeeNumber" queryTableFieldId="10"/>
    <tableColumn id="11" xr3:uid="{3CEB70D9-A25B-44ED-A998-66B905A3F2C5}" uniqueName="11" name="EnvironmentSatisfaction" queryTableFieldId="11"/>
    <tableColumn id="38" xr3:uid="{E549AD02-D9BB-4CE2-A70B-C1B33773C50E}" uniqueName="38" name="Gender" queryTableFieldId="38" dataDxfId="30"/>
    <tableColumn id="13" xr3:uid="{A9343F58-3317-4464-B294-3AA58F965919}" uniqueName="13" name="HourlyRate" queryTableFieldId="13"/>
    <tableColumn id="14" xr3:uid="{9E4205F8-7FC0-45CA-B18A-D6A4B17506BC}" uniqueName="14" name="JobInvolvement" queryTableFieldId="14"/>
    <tableColumn id="15" xr3:uid="{B8B65B8D-79F4-4CE7-A2F5-CD3346035585}" uniqueName="15" name="JobLevel" queryTableFieldId="15"/>
    <tableColumn id="37" xr3:uid="{F98319E6-7F2E-4071-A94B-B84551F27540}" uniqueName="37" name="JobRole" queryTableFieldId="37" dataDxfId="29"/>
    <tableColumn id="17" xr3:uid="{6E17BFF2-0CD9-4334-89DC-1255F7802643}" uniqueName="17" name="JobSatisfaction" queryTableFieldId="17"/>
    <tableColumn id="18" xr3:uid="{13545CF5-1E8E-4CF6-A62A-A93E4049E965}" uniqueName="18" name="MaritalStatus" queryTableFieldId="18" dataDxfId="28"/>
    <tableColumn id="19" xr3:uid="{05C6B435-A5B3-4F96-BCD6-9869A2C0C795}" uniqueName="19" name="MonthlyIncome" queryTableFieldId="19"/>
    <tableColumn id="20" xr3:uid="{04D711AC-100F-4DFB-AAA5-6C7D04802A58}" uniqueName="20" name="MonthlyRate" queryTableFieldId="20"/>
    <tableColumn id="21" xr3:uid="{A7FFB539-2FBC-45BB-9CF5-481D1E66B69D}" uniqueName="21" name="NumCompaniesWorked" queryTableFieldId="21"/>
    <tableColumn id="23" xr3:uid="{E1E9358D-79C0-4D4F-B37A-F9ADDF574BE0}" uniqueName="23" name="OverTime" queryTableFieldId="23" dataDxfId="27"/>
    <tableColumn id="24" xr3:uid="{FBC5B889-9C26-45A8-8F67-61C7FF821E6D}" uniqueName="24" name="PercentSalaryHike" queryTableFieldId="24"/>
    <tableColumn id="25" xr3:uid="{5B0AECA4-AD18-4E01-8D9B-97C0ADFC073D}" uniqueName="25" name="PerformanceRating" queryTableFieldId="25"/>
    <tableColumn id="26" xr3:uid="{509E41D3-5BE9-47C9-BD97-F9BEE51D063E}" uniqueName="26" name="RelationshipSatisfaction" queryTableFieldId="26"/>
    <tableColumn id="28" xr3:uid="{D3B7652B-926F-4387-B266-27C97546C8A2}" uniqueName="28" name="StockOptionLevel" queryTableFieldId="28"/>
    <tableColumn id="29" xr3:uid="{C89EBA51-AA5E-42BD-8934-02994CE62123}" uniqueName="29" name="TotalWorkingYears" queryTableFieldId="29"/>
    <tableColumn id="30" xr3:uid="{080C37B6-511E-4E8F-9CB7-766853C044DC}" uniqueName="30" name="TrainingTimesLastYear" queryTableFieldId="30"/>
    <tableColumn id="31" xr3:uid="{3BDE6D2D-75D3-4025-ADF2-AECF8D1D23BA}" uniqueName="31" name="WorkLifeBalance" queryTableFieldId="31"/>
    <tableColumn id="32" xr3:uid="{8AC03BE8-8DFA-4A38-A437-0F264BF54BB5}" uniqueName="32" name="YearsAtCompany" queryTableFieldId="32"/>
    <tableColumn id="33" xr3:uid="{5BDB7D70-8E7B-4080-AD03-74E4F1B36254}" uniqueName="33" name="YearsInCurrentRole" queryTableFieldId="33"/>
    <tableColumn id="34" xr3:uid="{D91411EF-B2AE-4A0A-A2EA-48BF89D37FF1}" uniqueName="34" name="YearsSinceLastPromotion" queryTableFieldId="34"/>
    <tableColumn id="35" xr3:uid="{67FC4CA2-6649-4E4D-9B6E-059BB98461FF}" uniqueName="35" name="YearsWithCurrManager" queryTableFieldId="35"/>
    <tableColumn id="40" xr3:uid="{83989EB5-9661-4A76-8FB9-12012E5294BA}" uniqueName="40" name="TenureBand" queryTableFieldId="40" dataDxfId="26"/>
    <tableColumn id="41" xr3:uid="{54FBD11A-8B81-419A-8833-4F6A1D325D21}" uniqueName="41" name="Attrition Flag" queryTableFieldId="41" dataDxfId="25"/>
    <tableColumn id="43" xr3:uid="{53A29B14-FC00-4F60-BCE0-1AEBB80132EF}" uniqueName="43" name="Age Band" queryTableFieldId="43" dataDxfId="24"/>
    <tableColumn id="2" xr3:uid="{97FFAA95-E3C9-490F-A071-2C1DFF85EB1C}" uniqueName="2" name="Job Satisfication Band" queryTableFieldId="44" dataDxfId="23"/>
    <tableColumn id="5" xr3:uid="{1FDFDF85-3541-477A-84F5-2B4D934796EA}" uniqueName="5" name="High Risk Score" queryTableFieldId="45" dataDxfId="22"/>
    <tableColumn id="9" xr3:uid="{E34E079B-9354-4284-9D90-7101869D9CA1}" uniqueName="9" name="Risk Level" queryTableFieldId="46" dataDxfId="21"/>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E928A-C05D-47BF-AB5A-B11AB04AB440}">
  <dimension ref="A1:AI1471"/>
  <sheetViews>
    <sheetView workbookViewId="0">
      <selection activeCell="E9" sqref="E9"/>
    </sheetView>
  </sheetViews>
  <sheetFormatPr defaultRowHeight="14.4" x14ac:dyDescent="0.3"/>
  <cols>
    <col min="1" max="1" width="6" bestFit="1" customWidth="1"/>
    <col min="2" max="2" width="9.5" bestFit="1" customWidth="1"/>
    <col min="3" max="3" width="15.09765625" bestFit="1" customWidth="1"/>
    <col min="4" max="4" width="10.5" bestFit="1" customWidth="1"/>
    <col min="5" max="5" width="20.3984375" bestFit="1" customWidth="1"/>
    <col min="6" max="6" width="18.796875" bestFit="1" customWidth="1"/>
    <col min="7" max="7" width="10.8984375" bestFit="1" customWidth="1"/>
    <col min="8" max="8" width="15" bestFit="1" customWidth="1"/>
    <col min="9" max="9" width="15.69921875" bestFit="1" customWidth="1"/>
    <col min="10" max="10" width="17.19921875" bestFit="1" customWidth="1"/>
    <col min="11" max="11" width="22.59765625" bestFit="1" customWidth="1"/>
    <col min="13" max="13" width="11.69921875" bestFit="1" customWidth="1"/>
    <col min="14" max="14" width="15.3984375" bestFit="1" customWidth="1"/>
    <col min="15" max="15" width="9.796875" bestFit="1" customWidth="1"/>
    <col min="16" max="16" width="21.3984375" bestFit="1" customWidth="1"/>
    <col min="17" max="17" width="15.09765625" bestFit="1" customWidth="1"/>
    <col min="18" max="18" width="13.3984375" bestFit="1" customWidth="1"/>
    <col min="19" max="19" width="15.296875" bestFit="1" customWidth="1"/>
    <col min="20" max="20" width="12.8984375" bestFit="1" customWidth="1"/>
    <col min="21" max="21" width="22" bestFit="1" customWidth="1"/>
    <col min="22" max="22" width="8.69921875" bestFit="1" customWidth="1"/>
    <col min="23" max="23" width="10.59765625" bestFit="1" customWidth="1"/>
    <col min="24" max="24" width="17.5" bestFit="1" customWidth="1"/>
    <col min="25" max="25" width="18.19921875" bestFit="1" customWidth="1"/>
    <col min="26" max="26" width="22.59765625" bestFit="1" customWidth="1"/>
    <col min="27" max="27" width="14.69921875" bestFit="1" customWidth="1"/>
    <col min="28" max="28" width="17.09765625" bestFit="1" customWidth="1"/>
    <col min="29" max="29" width="17.8984375" bestFit="1" customWidth="1"/>
    <col min="30" max="30" width="21.09765625" bestFit="1" customWidth="1"/>
    <col min="31" max="31" width="16.5" bestFit="1" customWidth="1"/>
    <col min="32" max="32" width="16.59765625" bestFit="1" customWidth="1"/>
    <col min="33" max="33" width="18.59765625" bestFit="1" customWidth="1"/>
    <col min="34" max="34" width="23.59765625" bestFit="1" customWidth="1"/>
    <col min="35" max="35" width="21.398437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9E56B-7B3A-4067-9B32-654AFD9A2CD6}">
  <dimension ref="A1:AL1471"/>
  <sheetViews>
    <sheetView topLeftCell="A2" workbookViewId="0">
      <selection activeCell="A2" sqref="A2:AL1471"/>
    </sheetView>
  </sheetViews>
  <sheetFormatPr defaultRowHeight="14.4" x14ac:dyDescent="0.3"/>
  <cols>
    <col min="1" max="1" width="6" bestFit="1" customWidth="1"/>
    <col min="2" max="2" width="9.5" customWidth="1"/>
    <col min="3" max="3" width="15.09765625" bestFit="1" customWidth="1"/>
    <col min="4" max="4" width="10.5" bestFit="1" customWidth="1"/>
    <col min="5" max="5" width="20.3984375" customWidth="1"/>
    <col min="6" max="6" width="18.796875" bestFit="1" customWidth="1"/>
    <col min="7" max="7" width="10.8984375" bestFit="1" customWidth="1"/>
    <col min="8" max="8" width="15" bestFit="1" customWidth="1"/>
    <col min="9" max="9" width="17.19921875" bestFit="1" customWidth="1"/>
    <col min="10" max="10" width="22.59765625" bestFit="1" customWidth="1"/>
    <col min="12" max="12" width="11.69921875" bestFit="1" customWidth="1"/>
    <col min="13" max="13" width="15.3984375" bestFit="1" customWidth="1"/>
    <col min="14" max="14" width="9.796875" bestFit="1" customWidth="1"/>
    <col min="15" max="15" width="21.3984375" customWidth="1"/>
    <col min="16" max="16" width="15.09765625" bestFit="1" customWidth="1"/>
    <col min="17" max="17" width="13.3984375" bestFit="1" customWidth="1"/>
    <col min="18" max="18" width="15.296875" bestFit="1" customWidth="1"/>
    <col min="19" max="19" width="12.8984375" bestFit="1" customWidth="1"/>
    <col min="20" max="20" width="22" bestFit="1" customWidth="1"/>
    <col min="21" max="21" width="10.59765625" bestFit="1" customWidth="1"/>
    <col min="22" max="22" width="17.5" bestFit="1" customWidth="1"/>
    <col min="23" max="23" width="18.19921875" bestFit="1" customWidth="1"/>
    <col min="24" max="24" width="22.59765625" bestFit="1" customWidth="1"/>
    <col min="25" max="25" width="17.09765625" bestFit="1" customWidth="1"/>
    <col min="26" max="26" width="17.8984375" bestFit="1" customWidth="1"/>
    <col min="27" max="27" width="21.09765625" bestFit="1" customWidth="1"/>
    <col min="28" max="28" width="16.5" bestFit="1" customWidth="1"/>
    <col min="29" max="29" width="16.59765625" bestFit="1" customWidth="1"/>
    <col min="30" max="30" width="18.59765625" bestFit="1" customWidth="1"/>
    <col min="31" max="31" width="23.59765625" bestFit="1" customWidth="1"/>
    <col min="32" max="32" width="21.3984375" bestFit="1" customWidth="1"/>
    <col min="33" max="34" width="11.296875" customWidth="1"/>
    <col min="37" max="37" width="14.19921875" customWidth="1"/>
  </cols>
  <sheetData>
    <row r="1" spans="1:38" x14ac:dyDescent="0.3">
      <c r="A1" t="s">
        <v>0</v>
      </c>
      <c r="B1" t="s">
        <v>1</v>
      </c>
      <c r="C1" t="s">
        <v>2</v>
      </c>
      <c r="D1" t="s">
        <v>3</v>
      </c>
      <c r="E1" t="s">
        <v>4</v>
      </c>
      <c r="F1" t="s">
        <v>5</v>
      </c>
      <c r="G1" t="s">
        <v>6</v>
      </c>
      <c r="H1" t="s">
        <v>7</v>
      </c>
      <c r="I1" t="s">
        <v>9</v>
      </c>
      <c r="J1" t="s">
        <v>10</v>
      </c>
      <c r="K1" t="s">
        <v>11</v>
      </c>
      <c r="L1" t="s">
        <v>12</v>
      </c>
      <c r="M1" t="s">
        <v>13</v>
      </c>
      <c r="N1" t="s">
        <v>14</v>
      </c>
      <c r="O1" t="s">
        <v>15</v>
      </c>
      <c r="P1" t="s">
        <v>16</v>
      </c>
      <c r="Q1" t="s">
        <v>17</v>
      </c>
      <c r="R1" t="s">
        <v>18</v>
      </c>
      <c r="S1" t="s">
        <v>19</v>
      </c>
      <c r="T1" t="s">
        <v>20</v>
      </c>
      <c r="U1" t="s">
        <v>22</v>
      </c>
      <c r="V1" t="s">
        <v>23</v>
      </c>
      <c r="W1" t="s">
        <v>24</v>
      </c>
      <c r="X1" t="s">
        <v>25</v>
      </c>
      <c r="Y1" t="s">
        <v>27</v>
      </c>
      <c r="Z1" t="s">
        <v>28</v>
      </c>
      <c r="AA1" t="s">
        <v>29</v>
      </c>
      <c r="AB1" t="s">
        <v>30</v>
      </c>
      <c r="AC1" t="s">
        <v>31</v>
      </c>
      <c r="AD1" t="s">
        <v>32</v>
      </c>
      <c r="AE1" t="s">
        <v>33</v>
      </c>
      <c r="AF1" t="s">
        <v>34</v>
      </c>
      <c r="AG1" t="s">
        <v>62</v>
      </c>
      <c r="AH1" t="s">
        <v>64</v>
      </c>
      <c r="AI1" t="s">
        <v>63</v>
      </c>
      <c r="AJ1" t="s">
        <v>81</v>
      </c>
      <c r="AK1" t="s">
        <v>89</v>
      </c>
      <c r="AL1" t="s">
        <v>90</v>
      </c>
    </row>
    <row r="2" spans="1:38" x14ac:dyDescent="0.3">
      <c r="A2">
        <v>41</v>
      </c>
      <c r="B2" t="s">
        <v>35</v>
      </c>
      <c r="C2" t="s">
        <v>36</v>
      </c>
      <c r="D2">
        <v>1102</v>
      </c>
      <c r="E2" t="s">
        <v>37</v>
      </c>
      <c r="F2">
        <v>1</v>
      </c>
      <c r="G2">
        <v>2</v>
      </c>
      <c r="H2" t="s">
        <v>38</v>
      </c>
      <c r="I2">
        <v>1</v>
      </c>
      <c r="J2">
        <v>2</v>
      </c>
      <c r="K2" t="s">
        <v>39</v>
      </c>
      <c r="L2">
        <v>94</v>
      </c>
      <c r="M2">
        <v>3</v>
      </c>
      <c r="N2">
        <v>2</v>
      </c>
      <c r="O2" t="s">
        <v>40</v>
      </c>
      <c r="P2">
        <v>4</v>
      </c>
      <c r="Q2" t="s">
        <v>41</v>
      </c>
      <c r="R2">
        <v>5993</v>
      </c>
      <c r="S2">
        <v>19479</v>
      </c>
      <c r="T2">
        <v>8</v>
      </c>
      <c r="U2" t="s">
        <v>35</v>
      </c>
      <c r="V2">
        <v>11</v>
      </c>
      <c r="W2">
        <v>3</v>
      </c>
      <c r="X2">
        <v>1</v>
      </c>
      <c r="Y2">
        <v>0</v>
      </c>
      <c r="Z2">
        <v>8</v>
      </c>
      <c r="AA2">
        <v>0</v>
      </c>
      <c r="AB2">
        <v>1</v>
      </c>
      <c r="AC2">
        <v>6</v>
      </c>
      <c r="AD2">
        <v>4</v>
      </c>
      <c r="AE2">
        <v>0</v>
      </c>
      <c r="AF2">
        <v>5</v>
      </c>
      <c r="AG2" t="s">
        <v>65</v>
      </c>
      <c r="AH2">
        <v>1</v>
      </c>
      <c r="AI2" t="s">
        <v>69</v>
      </c>
      <c r="AJ2" s="3" t="s">
        <v>82</v>
      </c>
      <c r="AK2" s="3">
        <v>1</v>
      </c>
      <c r="AL2" s="3" t="s">
        <v>83</v>
      </c>
    </row>
    <row r="3" spans="1:38" x14ac:dyDescent="0.3">
      <c r="A3">
        <v>49</v>
      </c>
      <c r="B3" t="s">
        <v>43</v>
      </c>
      <c r="C3" t="s">
        <v>44</v>
      </c>
      <c r="D3">
        <v>279</v>
      </c>
      <c r="E3" t="s">
        <v>45</v>
      </c>
      <c r="F3">
        <v>8</v>
      </c>
      <c r="G3">
        <v>1</v>
      </c>
      <c r="H3" t="s">
        <v>38</v>
      </c>
      <c r="I3">
        <v>2</v>
      </c>
      <c r="J3">
        <v>3</v>
      </c>
      <c r="K3" t="s">
        <v>46</v>
      </c>
      <c r="L3">
        <v>61</v>
      </c>
      <c r="M3">
        <v>2</v>
      </c>
      <c r="N3">
        <v>2</v>
      </c>
      <c r="O3" t="s">
        <v>47</v>
      </c>
      <c r="P3">
        <v>2</v>
      </c>
      <c r="Q3" t="s">
        <v>48</v>
      </c>
      <c r="R3">
        <v>5130</v>
      </c>
      <c r="S3">
        <v>24907</v>
      </c>
      <c r="T3">
        <v>1</v>
      </c>
      <c r="U3" t="s">
        <v>43</v>
      </c>
      <c r="V3">
        <v>23</v>
      </c>
      <c r="W3">
        <v>4</v>
      </c>
      <c r="X3">
        <v>4</v>
      </c>
      <c r="Y3">
        <v>1</v>
      </c>
      <c r="Z3">
        <v>10</v>
      </c>
      <c r="AA3">
        <v>3</v>
      </c>
      <c r="AB3">
        <v>3</v>
      </c>
      <c r="AC3">
        <v>10</v>
      </c>
      <c r="AD3">
        <v>7</v>
      </c>
      <c r="AE3">
        <v>1</v>
      </c>
      <c r="AF3">
        <v>7</v>
      </c>
      <c r="AG3" t="s">
        <v>65</v>
      </c>
      <c r="AH3">
        <v>0</v>
      </c>
      <c r="AI3" t="s">
        <v>70</v>
      </c>
      <c r="AJ3" s="3" t="s">
        <v>83</v>
      </c>
      <c r="AK3" s="3">
        <v>1</v>
      </c>
      <c r="AL3" s="3" t="s">
        <v>83</v>
      </c>
    </row>
    <row r="4" spans="1:38" x14ac:dyDescent="0.3">
      <c r="A4">
        <v>37</v>
      </c>
      <c r="B4" t="s">
        <v>35</v>
      </c>
      <c r="C4" t="s">
        <v>36</v>
      </c>
      <c r="D4">
        <v>1373</v>
      </c>
      <c r="E4" t="s">
        <v>45</v>
      </c>
      <c r="F4">
        <v>2</v>
      </c>
      <c r="G4">
        <v>2</v>
      </c>
      <c r="H4" t="s">
        <v>49</v>
      </c>
      <c r="I4">
        <v>4</v>
      </c>
      <c r="J4">
        <v>4</v>
      </c>
      <c r="K4" t="s">
        <v>46</v>
      </c>
      <c r="L4">
        <v>92</v>
      </c>
      <c r="M4">
        <v>2</v>
      </c>
      <c r="N4">
        <v>1</v>
      </c>
      <c r="O4" t="s">
        <v>50</v>
      </c>
      <c r="P4">
        <v>3</v>
      </c>
      <c r="Q4" t="s">
        <v>41</v>
      </c>
      <c r="R4">
        <v>2090</v>
      </c>
      <c r="S4">
        <v>2396</v>
      </c>
      <c r="T4">
        <v>6</v>
      </c>
      <c r="U4" t="s">
        <v>35</v>
      </c>
      <c r="V4">
        <v>15</v>
      </c>
      <c r="W4">
        <v>3</v>
      </c>
      <c r="X4">
        <v>2</v>
      </c>
      <c r="Y4">
        <v>0</v>
      </c>
      <c r="Z4">
        <v>7</v>
      </c>
      <c r="AA4">
        <v>3</v>
      </c>
      <c r="AB4">
        <v>3</v>
      </c>
      <c r="AC4">
        <v>0</v>
      </c>
      <c r="AD4">
        <v>0</v>
      </c>
      <c r="AE4">
        <v>0</v>
      </c>
      <c r="AF4">
        <v>0</v>
      </c>
      <c r="AG4" t="s">
        <v>66</v>
      </c>
      <c r="AH4">
        <v>1</v>
      </c>
      <c r="AI4" t="s">
        <v>70</v>
      </c>
      <c r="AJ4" s="3" t="s">
        <v>84</v>
      </c>
      <c r="AK4" s="3">
        <v>2</v>
      </c>
      <c r="AL4" s="3" t="s">
        <v>84</v>
      </c>
    </row>
    <row r="5" spans="1:38" x14ac:dyDescent="0.3">
      <c r="A5">
        <v>33</v>
      </c>
      <c r="B5" t="s">
        <v>43</v>
      </c>
      <c r="C5" t="s">
        <v>44</v>
      </c>
      <c r="D5">
        <v>1392</v>
      </c>
      <c r="E5" t="s">
        <v>45</v>
      </c>
      <c r="F5">
        <v>3</v>
      </c>
      <c r="G5">
        <v>4</v>
      </c>
      <c r="H5" t="s">
        <v>38</v>
      </c>
      <c r="I5">
        <v>5</v>
      </c>
      <c r="J5">
        <v>4</v>
      </c>
      <c r="K5" t="s">
        <v>39</v>
      </c>
      <c r="L5">
        <v>56</v>
      </c>
      <c r="M5">
        <v>3</v>
      </c>
      <c r="N5">
        <v>1</v>
      </c>
      <c r="O5" t="s">
        <v>47</v>
      </c>
      <c r="P5">
        <v>3</v>
      </c>
      <c r="Q5" t="s">
        <v>48</v>
      </c>
      <c r="R5">
        <v>2909</v>
      </c>
      <c r="S5">
        <v>23159</v>
      </c>
      <c r="T5">
        <v>1</v>
      </c>
      <c r="U5" t="s">
        <v>35</v>
      </c>
      <c r="V5">
        <v>11</v>
      </c>
      <c r="W5">
        <v>3</v>
      </c>
      <c r="X5">
        <v>3</v>
      </c>
      <c r="Y5">
        <v>0</v>
      </c>
      <c r="Z5">
        <v>8</v>
      </c>
      <c r="AA5">
        <v>3</v>
      </c>
      <c r="AB5">
        <v>3</v>
      </c>
      <c r="AC5">
        <v>8</v>
      </c>
      <c r="AD5">
        <v>7</v>
      </c>
      <c r="AE5">
        <v>3</v>
      </c>
      <c r="AF5">
        <v>0</v>
      </c>
      <c r="AG5" t="s">
        <v>65</v>
      </c>
      <c r="AH5">
        <v>0</v>
      </c>
      <c r="AI5" t="s">
        <v>71</v>
      </c>
      <c r="AJ5" s="3" t="s">
        <v>84</v>
      </c>
      <c r="AK5" s="3">
        <v>1</v>
      </c>
      <c r="AL5" s="3" t="s">
        <v>83</v>
      </c>
    </row>
    <row r="6" spans="1:38" x14ac:dyDescent="0.3">
      <c r="A6">
        <v>27</v>
      </c>
      <c r="B6" t="s">
        <v>43</v>
      </c>
      <c r="C6" t="s">
        <v>36</v>
      </c>
      <c r="D6">
        <v>591</v>
      </c>
      <c r="E6" t="s">
        <v>45</v>
      </c>
      <c r="F6">
        <v>2</v>
      </c>
      <c r="G6">
        <v>1</v>
      </c>
      <c r="H6" t="s">
        <v>51</v>
      </c>
      <c r="I6">
        <v>7</v>
      </c>
      <c r="J6">
        <v>1</v>
      </c>
      <c r="K6" t="s">
        <v>46</v>
      </c>
      <c r="L6">
        <v>40</v>
      </c>
      <c r="M6">
        <v>3</v>
      </c>
      <c r="N6">
        <v>1</v>
      </c>
      <c r="O6" t="s">
        <v>50</v>
      </c>
      <c r="P6">
        <v>2</v>
      </c>
      <c r="Q6" t="s">
        <v>48</v>
      </c>
      <c r="R6">
        <v>3468</v>
      </c>
      <c r="S6">
        <v>16632</v>
      </c>
      <c r="T6">
        <v>9</v>
      </c>
      <c r="U6" t="s">
        <v>43</v>
      </c>
      <c r="V6">
        <v>12</v>
      </c>
      <c r="W6">
        <v>3</v>
      </c>
      <c r="X6">
        <v>4</v>
      </c>
      <c r="Y6">
        <v>1</v>
      </c>
      <c r="Z6">
        <v>6</v>
      </c>
      <c r="AA6">
        <v>3</v>
      </c>
      <c r="AB6">
        <v>3</v>
      </c>
      <c r="AC6">
        <v>2</v>
      </c>
      <c r="AD6">
        <v>2</v>
      </c>
      <c r="AE6">
        <v>2</v>
      </c>
      <c r="AF6">
        <v>2</v>
      </c>
      <c r="AG6" t="s">
        <v>67</v>
      </c>
      <c r="AH6">
        <v>0</v>
      </c>
      <c r="AI6" t="s">
        <v>71</v>
      </c>
      <c r="AJ6" s="3" t="s">
        <v>83</v>
      </c>
      <c r="AK6" s="3">
        <v>2</v>
      </c>
      <c r="AL6" s="3" t="s">
        <v>84</v>
      </c>
    </row>
    <row r="7" spans="1:38" x14ac:dyDescent="0.3">
      <c r="A7">
        <v>32</v>
      </c>
      <c r="B7" t="s">
        <v>43</v>
      </c>
      <c r="C7" t="s">
        <v>44</v>
      </c>
      <c r="D7">
        <v>1005</v>
      </c>
      <c r="E7" t="s">
        <v>45</v>
      </c>
      <c r="F7">
        <v>2</v>
      </c>
      <c r="G7">
        <v>2</v>
      </c>
      <c r="H7" t="s">
        <v>38</v>
      </c>
      <c r="I7">
        <v>8</v>
      </c>
      <c r="J7">
        <v>4</v>
      </c>
      <c r="K7" t="s">
        <v>46</v>
      </c>
      <c r="L7">
        <v>79</v>
      </c>
      <c r="M7">
        <v>3</v>
      </c>
      <c r="N7">
        <v>1</v>
      </c>
      <c r="O7" t="s">
        <v>50</v>
      </c>
      <c r="P7">
        <v>4</v>
      </c>
      <c r="Q7" t="s">
        <v>41</v>
      </c>
      <c r="R7">
        <v>3068</v>
      </c>
      <c r="S7">
        <v>11864</v>
      </c>
      <c r="T7">
        <v>0</v>
      </c>
      <c r="U7" t="s">
        <v>43</v>
      </c>
      <c r="V7">
        <v>13</v>
      </c>
      <c r="W7">
        <v>3</v>
      </c>
      <c r="X7">
        <v>3</v>
      </c>
      <c r="Y7">
        <v>0</v>
      </c>
      <c r="Z7">
        <v>8</v>
      </c>
      <c r="AA7">
        <v>2</v>
      </c>
      <c r="AB7">
        <v>2</v>
      </c>
      <c r="AC7">
        <v>7</v>
      </c>
      <c r="AD7">
        <v>7</v>
      </c>
      <c r="AE7">
        <v>3</v>
      </c>
      <c r="AF7">
        <v>6</v>
      </c>
      <c r="AG7" t="s">
        <v>65</v>
      </c>
      <c r="AH7">
        <v>0</v>
      </c>
      <c r="AI7" t="s">
        <v>72</v>
      </c>
      <c r="AJ7" s="3" t="s">
        <v>82</v>
      </c>
      <c r="AK7" s="3">
        <v>0</v>
      </c>
      <c r="AL7" s="3" t="s">
        <v>83</v>
      </c>
    </row>
    <row r="8" spans="1:38" x14ac:dyDescent="0.3">
      <c r="A8">
        <v>59</v>
      </c>
      <c r="B8" t="s">
        <v>43</v>
      </c>
      <c r="C8" t="s">
        <v>36</v>
      </c>
      <c r="D8">
        <v>1324</v>
      </c>
      <c r="E8" t="s">
        <v>45</v>
      </c>
      <c r="F8">
        <v>3</v>
      </c>
      <c r="G8">
        <v>3</v>
      </c>
      <c r="H8" t="s">
        <v>51</v>
      </c>
      <c r="I8">
        <v>10</v>
      </c>
      <c r="J8">
        <v>3</v>
      </c>
      <c r="K8" t="s">
        <v>39</v>
      </c>
      <c r="L8">
        <v>81</v>
      </c>
      <c r="M8">
        <v>4</v>
      </c>
      <c r="N8">
        <v>1</v>
      </c>
      <c r="O8" t="s">
        <v>50</v>
      </c>
      <c r="P8">
        <v>1</v>
      </c>
      <c r="Q8" t="s">
        <v>48</v>
      </c>
      <c r="R8">
        <v>2670</v>
      </c>
      <c r="S8">
        <v>9964</v>
      </c>
      <c r="T8">
        <v>4</v>
      </c>
      <c r="U8" t="s">
        <v>35</v>
      </c>
      <c r="V8">
        <v>20</v>
      </c>
      <c r="W8">
        <v>4</v>
      </c>
      <c r="X8">
        <v>1</v>
      </c>
      <c r="Y8">
        <v>3</v>
      </c>
      <c r="Z8">
        <v>12</v>
      </c>
      <c r="AA8">
        <v>3</v>
      </c>
      <c r="AB8">
        <v>2</v>
      </c>
      <c r="AC8">
        <v>1</v>
      </c>
      <c r="AD8">
        <v>0</v>
      </c>
      <c r="AE8">
        <v>0</v>
      </c>
      <c r="AF8">
        <v>0</v>
      </c>
      <c r="AG8" t="s">
        <v>67</v>
      </c>
      <c r="AH8">
        <v>0</v>
      </c>
      <c r="AI8" t="s">
        <v>71</v>
      </c>
      <c r="AJ8" s="3" t="s">
        <v>83</v>
      </c>
      <c r="AK8" s="3">
        <v>3</v>
      </c>
      <c r="AL8" s="3" t="s">
        <v>82</v>
      </c>
    </row>
    <row r="9" spans="1:38" x14ac:dyDescent="0.3">
      <c r="A9">
        <v>30</v>
      </c>
      <c r="B9" t="s">
        <v>43</v>
      </c>
      <c r="C9" t="s">
        <v>36</v>
      </c>
      <c r="D9">
        <v>1358</v>
      </c>
      <c r="E9" t="s">
        <v>45</v>
      </c>
      <c r="F9">
        <v>24</v>
      </c>
      <c r="G9">
        <v>1</v>
      </c>
      <c r="H9" t="s">
        <v>38</v>
      </c>
      <c r="I9">
        <v>11</v>
      </c>
      <c r="J9">
        <v>4</v>
      </c>
      <c r="K9" t="s">
        <v>46</v>
      </c>
      <c r="L9">
        <v>67</v>
      </c>
      <c r="M9">
        <v>3</v>
      </c>
      <c r="N9">
        <v>1</v>
      </c>
      <c r="O9" t="s">
        <v>50</v>
      </c>
      <c r="P9">
        <v>3</v>
      </c>
      <c r="Q9" t="s">
        <v>52</v>
      </c>
      <c r="R9">
        <v>2693</v>
      </c>
      <c r="S9">
        <v>13335</v>
      </c>
      <c r="T9">
        <v>1</v>
      </c>
      <c r="U9" t="s">
        <v>43</v>
      </c>
      <c r="V9">
        <v>22</v>
      </c>
      <c r="W9">
        <v>4</v>
      </c>
      <c r="X9">
        <v>2</v>
      </c>
      <c r="Y9">
        <v>1</v>
      </c>
      <c r="Z9">
        <v>1</v>
      </c>
      <c r="AA9">
        <v>2</v>
      </c>
      <c r="AB9">
        <v>3</v>
      </c>
      <c r="AC9">
        <v>1</v>
      </c>
      <c r="AD9">
        <v>0</v>
      </c>
      <c r="AE9">
        <v>0</v>
      </c>
      <c r="AF9">
        <v>0</v>
      </c>
      <c r="AG9" t="s">
        <v>67</v>
      </c>
      <c r="AH9">
        <v>0</v>
      </c>
      <c r="AI9" t="s">
        <v>69</v>
      </c>
      <c r="AJ9" s="3" t="s">
        <v>84</v>
      </c>
      <c r="AK9" s="3">
        <v>1</v>
      </c>
      <c r="AL9" s="3" t="s">
        <v>83</v>
      </c>
    </row>
    <row r="10" spans="1:38" x14ac:dyDescent="0.3">
      <c r="A10">
        <v>38</v>
      </c>
      <c r="B10" t="s">
        <v>43</v>
      </c>
      <c r="C10" t="s">
        <v>44</v>
      </c>
      <c r="D10">
        <v>216</v>
      </c>
      <c r="E10" t="s">
        <v>45</v>
      </c>
      <c r="F10">
        <v>23</v>
      </c>
      <c r="G10">
        <v>3</v>
      </c>
      <c r="H10" t="s">
        <v>38</v>
      </c>
      <c r="I10">
        <v>12</v>
      </c>
      <c r="J10">
        <v>4</v>
      </c>
      <c r="K10" t="s">
        <v>46</v>
      </c>
      <c r="L10">
        <v>44</v>
      </c>
      <c r="M10">
        <v>2</v>
      </c>
      <c r="N10">
        <v>3</v>
      </c>
      <c r="O10" t="s">
        <v>53</v>
      </c>
      <c r="P10">
        <v>3</v>
      </c>
      <c r="Q10" t="s">
        <v>41</v>
      </c>
      <c r="R10">
        <v>9526</v>
      </c>
      <c r="S10">
        <v>8787</v>
      </c>
      <c r="T10">
        <v>0</v>
      </c>
      <c r="U10" t="s">
        <v>43</v>
      </c>
      <c r="V10">
        <v>21</v>
      </c>
      <c r="W10">
        <v>4</v>
      </c>
      <c r="X10">
        <v>2</v>
      </c>
      <c r="Y10">
        <v>0</v>
      </c>
      <c r="Z10">
        <v>10</v>
      </c>
      <c r="AA10">
        <v>2</v>
      </c>
      <c r="AB10">
        <v>3</v>
      </c>
      <c r="AC10">
        <v>9</v>
      </c>
      <c r="AD10">
        <v>7</v>
      </c>
      <c r="AE10">
        <v>1</v>
      </c>
      <c r="AF10">
        <v>8</v>
      </c>
      <c r="AG10" t="s">
        <v>65</v>
      </c>
      <c r="AH10">
        <v>0</v>
      </c>
      <c r="AI10" t="s">
        <v>71</v>
      </c>
      <c r="AJ10" s="3" t="s">
        <v>84</v>
      </c>
      <c r="AK10" s="3">
        <v>0</v>
      </c>
      <c r="AL10" s="3" t="s">
        <v>83</v>
      </c>
    </row>
    <row r="11" spans="1:38" x14ac:dyDescent="0.3">
      <c r="A11">
        <v>36</v>
      </c>
      <c r="B11" t="s">
        <v>43</v>
      </c>
      <c r="C11" t="s">
        <v>36</v>
      </c>
      <c r="D11">
        <v>1299</v>
      </c>
      <c r="E11" t="s">
        <v>45</v>
      </c>
      <c r="F11">
        <v>27</v>
      </c>
      <c r="G11">
        <v>3</v>
      </c>
      <c r="H11" t="s">
        <v>51</v>
      </c>
      <c r="I11">
        <v>13</v>
      </c>
      <c r="J11">
        <v>3</v>
      </c>
      <c r="K11" t="s">
        <v>46</v>
      </c>
      <c r="L11">
        <v>94</v>
      </c>
      <c r="M11">
        <v>3</v>
      </c>
      <c r="N11">
        <v>2</v>
      </c>
      <c r="O11" t="s">
        <v>54</v>
      </c>
      <c r="P11">
        <v>3</v>
      </c>
      <c r="Q11" t="s">
        <v>48</v>
      </c>
      <c r="R11">
        <v>5237</v>
      </c>
      <c r="S11">
        <v>16577</v>
      </c>
      <c r="T11">
        <v>6</v>
      </c>
      <c r="U11" t="s">
        <v>43</v>
      </c>
      <c r="V11">
        <v>13</v>
      </c>
      <c r="W11">
        <v>3</v>
      </c>
      <c r="X11">
        <v>2</v>
      </c>
      <c r="Y11">
        <v>2</v>
      </c>
      <c r="Z11">
        <v>17</v>
      </c>
      <c r="AA11">
        <v>3</v>
      </c>
      <c r="AB11">
        <v>2</v>
      </c>
      <c r="AC11">
        <v>7</v>
      </c>
      <c r="AD11">
        <v>7</v>
      </c>
      <c r="AE11">
        <v>7</v>
      </c>
      <c r="AF11">
        <v>7</v>
      </c>
      <c r="AG11" t="s">
        <v>65</v>
      </c>
      <c r="AH11">
        <v>0</v>
      </c>
      <c r="AI11" t="s">
        <v>71</v>
      </c>
      <c r="AJ11" s="3" t="s">
        <v>84</v>
      </c>
      <c r="AK11" s="3">
        <v>0</v>
      </c>
      <c r="AL11" s="3" t="s">
        <v>83</v>
      </c>
    </row>
    <row r="12" spans="1:38" x14ac:dyDescent="0.3">
      <c r="A12">
        <v>35</v>
      </c>
      <c r="B12" t="s">
        <v>43</v>
      </c>
      <c r="C12" t="s">
        <v>36</v>
      </c>
      <c r="D12">
        <v>809</v>
      </c>
      <c r="E12" t="s">
        <v>45</v>
      </c>
      <c r="F12">
        <v>16</v>
      </c>
      <c r="G12">
        <v>3</v>
      </c>
      <c r="H12" t="s">
        <v>51</v>
      </c>
      <c r="I12">
        <v>14</v>
      </c>
      <c r="J12">
        <v>1</v>
      </c>
      <c r="K12" t="s">
        <v>46</v>
      </c>
      <c r="L12">
        <v>84</v>
      </c>
      <c r="M12">
        <v>4</v>
      </c>
      <c r="N12">
        <v>1</v>
      </c>
      <c r="O12" t="s">
        <v>50</v>
      </c>
      <c r="P12">
        <v>2</v>
      </c>
      <c r="Q12" t="s">
        <v>48</v>
      </c>
      <c r="R12">
        <v>2426</v>
      </c>
      <c r="S12">
        <v>16479</v>
      </c>
      <c r="T12">
        <v>0</v>
      </c>
      <c r="U12" t="s">
        <v>43</v>
      </c>
      <c r="V12">
        <v>13</v>
      </c>
      <c r="W12">
        <v>3</v>
      </c>
      <c r="X12">
        <v>3</v>
      </c>
      <c r="Y12">
        <v>1</v>
      </c>
      <c r="Z12">
        <v>6</v>
      </c>
      <c r="AA12">
        <v>5</v>
      </c>
      <c r="AB12">
        <v>3</v>
      </c>
      <c r="AC12">
        <v>5</v>
      </c>
      <c r="AD12">
        <v>4</v>
      </c>
      <c r="AE12">
        <v>0</v>
      </c>
      <c r="AF12">
        <v>3</v>
      </c>
      <c r="AG12" t="s">
        <v>68</v>
      </c>
      <c r="AH12">
        <v>0</v>
      </c>
      <c r="AI12" t="s">
        <v>71</v>
      </c>
      <c r="AJ12" s="3" t="s">
        <v>83</v>
      </c>
      <c r="AK12" s="3">
        <v>1</v>
      </c>
      <c r="AL12" s="3" t="s">
        <v>83</v>
      </c>
    </row>
    <row r="13" spans="1:38" x14ac:dyDescent="0.3">
      <c r="A13">
        <v>29</v>
      </c>
      <c r="B13" t="s">
        <v>43</v>
      </c>
      <c r="C13" t="s">
        <v>36</v>
      </c>
      <c r="D13">
        <v>153</v>
      </c>
      <c r="E13" t="s">
        <v>45</v>
      </c>
      <c r="F13">
        <v>15</v>
      </c>
      <c r="G13">
        <v>2</v>
      </c>
      <c r="H13" t="s">
        <v>38</v>
      </c>
      <c r="I13">
        <v>15</v>
      </c>
      <c r="J13">
        <v>4</v>
      </c>
      <c r="K13" t="s">
        <v>39</v>
      </c>
      <c r="L13">
        <v>49</v>
      </c>
      <c r="M13">
        <v>2</v>
      </c>
      <c r="N13">
        <v>2</v>
      </c>
      <c r="O13" t="s">
        <v>50</v>
      </c>
      <c r="P13">
        <v>3</v>
      </c>
      <c r="Q13" t="s">
        <v>41</v>
      </c>
      <c r="R13">
        <v>4193</v>
      </c>
      <c r="S13">
        <v>12682</v>
      </c>
      <c r="T13">
        <v>0</v>
      </c>
      <c r="U13" t="s">
        <v>35</v>
      </c>
      <c r="V13">
        <v>12</v>
      </c>
      <c r="W13">
        <v>3</v>
      </c>
      <c r="X13">
        <v>4</v>
      </c>
      <c r="Y13">
        <v>0</v>
      </c>
      <c r="Z13">
        <v>10</v>
      </c>
      <c r="AA13">
        <v>3</v>
      </c>
      <c r="AB13">
        <v>3</v>
      </c>
      <c r="AC13">
        <v>9</v>
      </c>
      <c r="AD13">
        <v>5</v>
      </c>
      <c r="AE13">
        <v>0</v>
      </c>
      <c r="AF13">
        <v>8</v>
      </c>
      <c r="AG13" t="s">
        <v>65</v>
      </c>
      <c r="AH13">
        <v>0</v>
      </c>
      <c r="AI13" t="s">
        <v>71</v>
      </c>
      <c r="AJ13" s="3" t="s">
        <v>84</v>
      </c>
      <c r="AK13" s="3">
        <v>1</v>
      </c>
      <c r="AL13" s="3" t="s">
        <v>83</v>
      </c>
    </row>
    <row r="14" spans="1:38" x14ac:dyDescent="0.3">
      <c r="A14">
        <v>31</v>
      </c>
      <c r="B14" t="s">
        <v>43</v>
      </c>
      <c r="C14" t="s">
        <v>36</v>
      </c>
      <c r="D14">
        <v>670</v>
      </c>
      <c r="E14" t="s">
        <v>45</v>
      </c>
      <c r="F14">
        <v>26</v>
      </c>
      <c r="G14">
        <v>1</v>
      </c>
      <c r="H14" t="s">
        <v>38</v>
      </c>
      <c r="I14">
        <v>16</v>
      </c>
      <c r="J14">
        <v>1</v>
      </c>
      <c r="K14" t="s">
        <v>46</v>
      </c>
      <c r="L14">
        <v>31</v>
      </c>
      <c r="M14">
        <v>3</v>
      </c>
      <c r="N14">
        <v>1</v>
      </c>
      <c r="O14" t="s">
        <v>47</v>
      </c>
      <c r="P14">
        <v>3</v>
      </c>
      <c r="Q14" t="s">
        <v>52</v>
      </c>
      <c r="R14">
        <v>2911</v>
      </c>
      <c r="S14">
        <v>15170</v>
      </c>
      <c r="T14">
        <v>1</v>
      </c>
      <c r="U14" t="s">
        <v>43</v>
      </c>
      <c r="V14">
        <v>17</v>
      </c>
      <c r="W14">
        <v>3</v>
      </c>
      <c r="X14">
        <v>4</v>
      </c>
      <c r="Y14">
        <v>1</v>
      </c>
      <c r="Z14">
        <v>5</v>
      </c>
      <c r="AA14">
        <v>1</v>
      </c>
      <c r="AB14">
        <v>2</v>
      </c>
      <c r="AC14">
        <v>5</v>
      </c>
      <c r="AD14">
        <v>2</v>
      </c>
      <c r="AE14">
        <v>4</v>
      </c>
      <c r="AF14">
        <v>3</v>
      </c>
      <c r="AG14" t="s">
        <v>68</v>
      </c>
      <c r="AH14">
        <v>0</v>
      </c>
      <c r="AI14" t="s">
        <v>72</v>
      </c>
      <c r="AJ14" s="3" t="s">
        <v>84</v>
      </c>
      <c r="AK14" s="3">
        <v>0</v>
      </c>
      <c r="AL14" s="3" t="s">
        <v>83</v>
      </c>
    </row>
    <row r="15" spans="1:38" x14ac:dyDescent="0.3">
      <c r="A15">
        <v>34</v>
      </c>
      <c r="B15" t="s">
        <v>43</v>
      </c>
      <c r="C15" t="s">
        <v>36</v>
      </c>
      <c r="D15">
        <v>1346</v>
      </c>
      <c r="E15" t="s">
        <v>45</v>
      </c>
      <c r="F15">
        <v>19</v>
      </c>
      <c r="G15">
        <v>2</v>
      </c>
      <c r="H15" t="s">
        <v>51</v>
      </c>
      <c r="I15">
        <v>18</v>
      </c>
      <c r="J15">
        <v>2</v>
      </c>
      <c r="K15" t="s">
        <v>46</v>
      </c>
      <c r="L15">
        <v>93</v>
      </c>
      <c r="M15">
        <v>3</v>
      </c>
      <c r="N15">
        <v>1</v>
      </c>
      <c r="O15" t="s">
        <v>50</v>
      </c>
      <c r="P15">
        <v>4</v>
      </c>
      <c r="Q15" t="s">
        <v>52</v>
      </c>
      <c r="R15">
        <v>2661</v>
      </c>
      <c r="S15">
        <v>8758</v>
      </c>
      <c r="T15">
        <v>0</v>
      </c>
      <c r="U15" t="s">
        <v>43</v>
      </c>
      <c r="V15">
        <v>11</v>
      </c>
      <c r="W15">
        <v>3</v>
      </c>
      <c r="X15">
        <v>3</v>
      </c>
      <c r="Y15">
        <v>1</v>
      </c>
      <c r="Z15">
        <v>3</v>
      </c>
      <c r="AA15">
        <v>2</v>
      </c>
      <c r="AB15">
        <v>3</v>
      </c>
      <c r="AC15">
        <v>2</v>
      </c>
      <c r="AD15">
        <v>2</v>
      </c>
      <c r="AE15">
        <v>1</v>
      </c>
      <c r="AF15">
        <v>2</v>
      </c>
      <c r="AG15" t="s">
        <v>67</v>
      </c>
      <c r="AH15">
        <v>0</v>
      </c>
      <c r="AI15" t="s">
        <v>71</v>
      </c>
      <c r="AJ15" s="3" t="s">
        <v>82</v>
      </c>
      <c r="AK15" s="3">
        <v>1</v>
      </c>
      <c r="AL15" s="3" t="s">
        <v>83</v>
      </c>
    </row>
    <row r="16" spans="1:38" x14ac:dyDescent="0.3">
      <c r="A16">
        <v>28</v>
      </c>
      <c r="B16" t="s">
        <v>35</v>
      </c>
      <c r="C16" t="s">
        <v>36</v>
      </c>
      <c r="D16">
        <v>103</v>
      </c>
      <c r="E16" t="s">
        <v>45</v>
      </c>
      <c r="F16">
        <v>24</v>
      </c>
      <c r="G16">
        <v>3</v>
      </c>
      <c r="H16" t="s">
        <v>38</v>
      </c>
      <c r="I16">
        <v>19</v>
      </c>
      <c r="J16">
        <v>3</v>
      </c>
      <c r="K16" t="s">
        <v>46</v>
      </c>
      <c r="L16">
        <v>50</v>
      </c>
      <c r="M16">
        <v>2</v>
      </c>
      <c r="N16">
        <v>1</v>
      </c>
      <c r="O16" t="s">
        <v>50</v>
      </c>
      <c r="P16">
        <v>3</v>
      </c>
      <c r="Q16" t="s">
        <v>41</v>
      </c>
      <c r="R16">
        <v>2028</v>
      </c>
      <c r="S16">
        <v>12947</v>
      </c>
      <c r="T16">
        <v>5</v>
      </c>
      <c r="U16" t="s">
        <v>35</v>
      </c>
      <c r="V16">
        <v>14</v>
      </c>
      <c r="W16">
        <v>3</v>
      </c>
      <c r="X16">
        <v>2</v>
      </c>
      <c r="Y16">
        <v>0</v>
      </c>
      <c r="Z16">
        <v>6</v>
      </c>
      <c r="AA16">
        <v>4</v>
      </c>
      <c r="AB16">
        <v>3</v>
      </c>
      <c r="AC16">
        <v>4</v>
      </c>
      <c r="AD16">
        <v>2</v>
      </c>
      <c r="AE16">
        <v>0</v>
      </c>
      <c r="AF16">
        <v>3</v>
      </c>
      <c r="AG16" t="s">
        <v>68</v>
      </c>
      <c r="AH16">
        <v>1</v>
      </c>
      <c r="AI16" t="s">
        <v>71</v>
      </c>
      <c r="AJ16" s="3" t="s">
        <v>84</v>
      </c>
      <c r="AK16" s="3">
        <v>1</v>
      </c>
      <c r="AL16" s="3" t="s">
        <v>83</v>
      </c>
    </row>
    <row r="17" spans="1:38" x14ac:dyDescent="0.3">
      <c r="A17">
        <v>29</v>
      </c>
      <c r="B17" t="s">
        <v>43</v>
      </c>
      <c r="C17" t="s">
        <v>36</v>
      </c>
      <c r="D17">
        <v>1389</v>
      </c>
      <c r="E17" t="s">
        <v>45</v>
      </c>
      <c r="F17">
        <v>21</v>
      </c>
      <c r="G17">
        <v>4</v>
      </c>
      <c r="H17" t="s">
        <v>38</v>
      </c>
      <c r="I17">
        <v>20</v>
      </c>
      <c r="J17">
        <v>2</v>
      </c>
      <c r="K17" t="s">
        <v>39</v>
      </c>
      <c r="L17">
        <v>51</v>
      </c>
      <c r="M17">
        <v>4</v>
      </c>
      <c r="N17">
        <v>3</v>
      </c>
      <c r="O17" t="s">
        <v>53</v>
      </c>
      <c r="P17">
        <v>1</v>
      </c>
      <c r="Q17" t="s">
        <v>52</v>
      </c>
      <c r="R17">
        <v>9980</v>
      </c>
      <c r="S17">
        <v>10195</v>
      </c>
      <c r="T17">
        <v>1</v>
      </c>
      <c r="U17" t="s">
        <v>43</v>
      </c>
      <c r="V17">
        <v>11</v>
      </c>
      <c r="W17">
        <v>3</v>
      </c>
      <c r="X17">
        <v>3</v>
      </c>
      <c r="Y17">
        <v>1</v>
      </c>
      <c r="Z17">
        <v>10</v>
      </c>
      <c r="AA17">
        <v>1</v>
      </c>
      <c r="AB17">
        <v>3</v>
      </c>
      <c r="AC17">
        <v>10</v>
      </c>
      <c r="AD17">
        <v>9</v>
      </c>
      <c r="AE17">
        <v>8</v>
      </c>
      <c r="AF17">
        <v>8</v>
      </c>
      <c r="AG17" t="s">
        <v>65</v>
      </c>
      <c r="AH17">
        <v>0</v>
      </c>
      <c r="AI17" t="s">
        <v>72</v>
      </c>
      <c r="AJ17" s="3" t="s">
        <v>83</v>
      </c>
      <c r="AK17" s="3">
        <v>1</v>
      </c>
      <c r="AL17" s="3" t="s">
        <v>83</v>
      </c>
    </row>
    <row r="18" spans="1:38" x14ac:dyDescent="0.3">
      <c r="A18">
        <v>32</v>
      </c>
      <c r="B18" t="s">
        <v>43</v>
      </c>
      <c r="C18" t="s">
        <v>36</v>
      </c>
      <c r="D18">
        <v>334</v>
      </c>
      <c r="E18" t="s">
        <v>45</v>
      </c>
      <c r="F18">
        <v>5</v>
      </c>
      <c r="G18">
        <v>2</v>
      </c>
      <c r="H18" t="s">
        <v>38</v>
      </c>
      <c r="I18">
        <v>21</v>
      </c>
      <c r="J18">
        <v>1</v>
      </c>
      <c r="K18" t="s">
        <v>46</v>
      </c>
      <c r="L18">
        <v>80</v>
      </c>
      <c r="M18">
        <v>4</v>
      </c>
      <c r="N18">
        <v>1</v>
      </c>
      <c r="O18" t="s">
        <v>47</v>
      </c>
      <c r="P18">
        <v>2</v>
      </c>
      <c r="Q18" t="s">
        <v>52</v>
      </c>
      <c r="R18">
        <v>3298</v>
      </c>
      <c r="S18">
        <v>15053</v>
      </c>
      <c r="T18">
        <v>0</v>
      </c>
      <c r="U18" t="s">
        <v>35</v>
      </c>
      <c r="V18">
        <v>12</v>
      </c>
      <c r="W18">
        <v>3</v>
      </c>
      <c r="X18">
        <v>4</v>
      </c>
      <c r="Y18">
        <v>2</v>
      </c>
      <c r="Z18">
        <v>7</v>
      </c>
      <c r="AA18">
        <v>5</v>
      </c>
      <c r="AB18">
        <v>2</v>
      </c>
      <c r="AC18">
        <v>6</v>
      </c>
      <c r="AD18">
        <v>2</v>
      </c>
      <c r="AE18">
        <v>0</v>
      </c>
      <c r="AF18">
        <v>5</v>
      </c>
      <c r="AG18" t="s">
        <v>65</v>
      </c>
      <c r="AH18">
        <v>0</v>
      </c>
      <c r="AI18" t="s">
        <v>72</v>
      </c>
      <c r="AJ18" s="3" t="s">
        <v>83</v>
      </c>
      <c r="AK18" s="3">
        <v>2</v>
      </c>
      <c r="AL18" s="3" t="s">
        <v>84</v>
      </c>
    </row>
    <row r="19" spans="1:38" x14ac:dyDescent="0.3">
      <c r="A19">
        <v>22</v>
      </c>
      <c r="B19" t="s">
        <v>43</v>
      </c>
      <c r="C19" t="s">
        <v>55</v>
      </c>
      <c r="D19">
        <v>1123</v>
      </c>
      <c r="E19" t="s">
        <v>45</v>
      </c>
      <c r="F19">
        <v>16</v>
      </c>
      <c r="G19">
        <v>2</v>
      </c>
      <c r="H19" t="s">
        <v>51</v>
      </c>
      <c r="I19">
        <v>22</v>
      </c>
      <c r="J19">
        <v>4</v>
      </c>
      <c r="K19" t="s">
        <v>46</v>
      </c>
      <c r="L19">
        <v>96</v>
      </c>
      <c r="M19">
        <v>4</v>
      </c>
      <c r="N19">
        <v>1</v>
      </c>
      <c r="O19" t="s">
        <v>50</v>
      </c>
      <c r="P19">
        <v>4</v>
      </c>
      <c r="Q19" t="s">
        <v>52</v>
      </c>
      <c r="R19">
        <v>2935</v>
      </c>
      <c r="S19">
        <v>7324</v>
      </c>
      <c r="T19">
        <v>1</v>
      </c>
      <c r="U19" t="s">
        <v>35</v>
      </c>
      <c r="V19">
        <v>13</v>
      </c>
      <c r="W19">
        <v>3</v>
      </c>
      <c r="X19">
        <v>2</v>
      </c>
      <c r="Y19">
        <v>2</v>
      </c>
      <c r="Z19">
        <v>1</v>
      </c>
      <c r="AA19">
        <v>2</v>
      </c>
      <c r="AB19">
        <v>2</v>
      </c>
      <c r="AC19">
        <v>1</v>
      </c>
      <c r="AD19">
        <v>0</v>
      </c>
      <c r="AE19">
        <v>0</v>
      </c>
      <c r="AF19">
        <v>0</v>
      </c>
      <c r="AG19" t="s">
        <v>67</v>
      </c>
      <c r="AH19">
        <v>0</v>
      </c>
      <c r="AI19" t="s">
        <v>71</v>
      </c>
      <c r="AJ19" s="3" t="s">
        <v>82</v>
      </c>
      <c r="AK19" s="3">
        <v>2</v>
      </c>
      <c r="AL19" s="3" t="s">
        <v>84</v>
      </c>
    </row>
    <row r="20" spans="1:38" x14ac:dyDescent="0.3">
      <c r="A20">
        <v>53</v>
      </c>
      <c r="B20" t="s">
        <v>43</v>
      </c>
      <c r="C20" t="s">
        <v>36</v>
      </c>
      <c r="D20">
        <v>1219</v>
      </c>
      <c r="E20" t="s">
        <v>37</v>
      </c>
      <c r="F20">
        <v>2</v>
      </c>
      <c r="G20">
        <v>4</v>
      </c>
      <c r="H20" t="s">
        <v>38</v>
      </c>
      <c r="I20">
        <v>23</v>
      </c>
      <c r="J20">
        <v>1</v>
      </c>
      <c r="K20" t="s">
        <v>39</v>
      </c>
      <c r="L20">
        <v>78</v>
      </c>
      <c r="M20">
        <v>2</v>
      </c>
      <c r="N20">
        <v>4</v>
      </c>
      <c r="O20" t="s">
        <v>56</v>
      </c>
      <c r="P20">
        <v>4</v>
      </c>
      <c r="Q20" t="s">
        <v>48</v>
      </c>
      <c r="R20">
        <v>15427</v>
      </c>
      <c r="S20">
        <v>22021</v>
      </c>
      <c r="T20">
        <v>2</v>
      </c>
      <c r="U20" t="s">
        <v>43</v>
      </c>
      <c r="V20">
        <v>16</v>
      </c>
      <c r="W20">
        <v>3</v>
      </c>
      <c r="X20">
        <v>3</v>
      </c>
      <c r="Y20">
        <v>0</v>
      </c>
      <c r="Z20">
        <v>31</v>
      </c>
      <c r="AA20">
        <v>3</v>
      </c>
      <c r="AB20">
        <v>3</v>
      </c>
      <c r="AC20">
        <v>25</v>
      </c>
      <c r="AD20">
        <v>8</v>
      </c>
      <c r="AE20">
        <v>3</v>
      </c>
      <c r="AF20">
        <v>7</v>
      </c>
      <c r="AG20" t="s">
        <v>65</v>
      </c>
      <c r="AH20">
        <v>0</v>
      </c>
      <c r="AI20" t="s">
        <v>72</v>
      </c>
      <c r="AJ20" s="3" t="s">
        <v>82</v>
      </c>
      <c r="AK20" s="3">
        <v>0</v>
      </c>
      <c r="AL20" s="3" t="s">
        <v>83</v>
      </c>
    </row>
    <row r="21" spans="1:38" x14ac:dyDescent="0.3">
      <c r="A21">
        <v>38</v>
      </c>
      <c r="B21" t="s">
        <v>43</v>
      </c>
      <c r="C21" t="s">
        <v>36</v>
      </c>
      <c r="D21">
        <v>371</v>
      </c>
      <c r="E21" t="s">
        <v>45</v>
      </c>
      <c r="F21">
        <v>2</v>
      </c>
      <c r="G21">
        <v>3</v>
      </c>
      <c r="H21" t="s">
        <v>38</v>
      </c>
      <c r="I21">
        <v>24</v>
      </c>
      <c r="J21">
        <v>4</v>
      </c>
      <c r="K21" t="s">
        <v>46</v>
      </c>
      <c r="L21">
        <v>45</v>
      </c>
      <c r="M21">
        <v>3</v>
      </c>
      <c r="N21">
        <v>1</v>
      </c>
      <c r="O21" t="s">
        <v>47</v>
      </c>
      <c r="P21">
        <v>4</v>
      </c>
      <c r="Q21" t="s">
        <v>41</v>
      </c>
      <c r="R21">
        <v>3944</v>
      </c>
      <c r="S21">
        <v>4306</v>
      </c>
      <c r="T21">
        <v>5</v>
      </c>
      <c r="U21" t="s">
        <v>35</v>
      </c>
      <c r="V21">
        <v>11</v>
      </c>
      <c r="W21">
        <v>3</v>
      </c>
      <c r="X21">
        <v>3</v>
      </c>
      <c r="Y21">
        <v>0</v>
      </c>
      <c r="Z21">
        <v>6</v>
      </c>
      <c r="AA21">
        <v>3</v>
      </c>
      <c r="AB21">
        <v>3</v>
      </c>
      <c r="AC21">
        <v>3</v>
      </c>
      <c r="AD21">
        <v>2</v>
      </c>
      <c r="AE21">
        <v>1</v>
      </c>
      <c r="AF21">
        <v>2</v>
      </c>
      <c r="AG21" t="s">
        <v>67</v>
      </c>
      <c r="AH21">
        <v>0</v>
      </c>
      <c r="AI21" t="s">
        <v>69</v>
      </c>
      <c r="AJ21" s="3" t="s">
        <v>82</v>
      </c>
      <c r="AK21" s="3">
        <v>2</v>
      </c>
      <c r="AL21" s="3" t="s">
        <v>84</v>
      </c>
    </row>
    <row r="22" spans="1:38" x14ac:dyDescent="0.3">
      <c r="A22">
        <v>24</v>
      </c>
      <c r="B22" t="s">
        <v>43</v>
      </c>
      <c r="C22" t="s">
        <v>55</v>
      </c>
      <c r="D22">
        <v>673</v>
      </c>
      <c r="E22" t="s">
        <v>45</v>
      </c>
      <c r="F22">
        <v>11</v>
      </c>
      <c r="G22">
        <v>2</v>
      </c>
      <c r="H22" t="s">
        <v>49</v>
      </c>
      <c r="I22">
        <v>26</v>
      </c>
      <c r="J22">
        <v>1</v>
      </c>
      <c r="K22" t="s">
        <v>39</v>
      </c>
      <c r="L22">
        <v>96</v>
      </c>
      <c r="M22">
        <v>4</v>
      </c>
      <c r="N22">
        <v>2</v>
      </c>
      <c r="O22" t="s">
        <v>53</v>
      </c>
      <c r="P22">
        <v>3</v>
      </c>
      <c r="Q22" t="s">
        <v>52</v>
      </c>
      <c r="R22">
        <v>4011</v>
      </c>
      <c r="S22">
        <v>8232</v>
      </c>
      <c r="T22">
        <v>0</v>
      </c>
      <c r="U22" t="s">
        <v>43</v>
      </c>
      <c r="V22">
        <v>18</v>
      </c>
      <c r="W22">
        <v>3</v>
      </c>
      <c r="X22">
        <v>4</v>
      </c>
      <c r="Y22">
        <v>1</v>
      </c>
      <c r="Z22">
        <v>5</v>
      </c>
      <c r="AA22">
        <v>5</v>
      </c>
      <c r="AB22">
        <v>2</v>
      </c>
      <c r="AC22">
        <v>4</v>
      </c>
      <c r="AD22">
        <v>2</v>
      </c>
      <c r="AE22">
        <v>1</v>
      </c>
      <c r="AF22">
        <v>3</v>
      </c>
      <c r="AG22" t="s">
        <v>68</v>
      </c>
      <c r="AH22">
        <v>0</v>
      </c>
      <c r="AI22" t="s">
        <v>71</v>
      </c>
      <c r="AJ22" s="3" t="s">
        <v>84</v>
      </c>
      <c r="AK22" s="3">
        <v>0</v>
      </c>
      <c r="AL22" s="3" t="s">
        <v>83</v>
      </c>
    </row>
    <row r="23" spans="1:38" x14ac:dyDescent="0.3">
      <c r="A23">
        <v>36</v>
      </c>
      <c r="B23" t="s">
        <v>35</v>
      </c>
      <c r="C23" t="s">
        <v>36</v>
      </c>
      <c r="D23">
        <v>1218</v>
      </c>
      <c r="E23" t="s">
        <v>37</v>
      </c>
      <c r="F23">
        <v>9</v>
      </c>
      <c r="G23">
        <v>4</v>
      </c>
      <c r="H23" t="s">
        <v>38</v>
      </c>
      <c r="I23">
        <v>27</v>
      </c>
      <c r="J23">
        <v>3</v>
      </c>
      <c r="K23" t="s">
        <v>46</v>
      </c>
      <c r="L23">
        <v>82</v>
      </c>
      <c r="M23">
        <v>2</v>
      </c>
      <c r="N23">
        <v>1</v>
      </c>
      <c r="O23" t="s">
        <v>57</v>
      </c>
      <c r="P23">
        <v>1</v>
      </c>
      <c r="Q23" t="s">
        <v>41</v>
      </c>
      <c r="R23">
        <v>3407</v>
      </c>
      <c r="S23">
        <v>6986</v>
      </c>
      <c r="T23">
        <v>7</v>
      </c>
      <c r="U23" t="s">
        <v>43</v>
      </c>
      <c r="V23">
        <v>23</v>
      </c>
      <c r="W23">
        <v>4</v>
      </c>
      <c r="X23">
        <v>2</v>
      </c>
      <c r="Y23">
        <v>0</v>
      </c>
      <c r="Z23">
        <v>10</v>
      </c>
      <c r="AA23">
        <v>4</v>
      </c>
      <c r="AB23">
        <v>3</v>
      </c>
      <c r="AC23">
        <v>5</v>
      </c>
      <c r="AD23">
        <v>3</v>
      </c>
      <c r="AE23">
        <v>0</v>
      </c>
      <c r="AF23">
        <v>3</v>
      </c>
      <c r="AG23" t="s">
        <v>68</v>
      </c>
      <c r="AH23">
        <v>1</v>
      </c>
      <c r="AI23" t="s">
        <v>72</v>
      </c>
      <c r="AJ23" s="3" t="s">
        <v>83</v>
      </c>
      <c r="AK23" s="3">
        <v>1</v>
      </c>
      <c r="AL23" s="3" t="s">
        <v>83</v>
      </c>
    </row>
    <row r="24" spans="1:38" x14ac:dyDescent="0.3">
      <c r="A24">
        <v>34</v>
      </c>
      <c r="B24" t="s">
        <v>43</v>
      </c>
      <c r="C24" t="s">
        <v>36</v>
      </c>
      <c r="D24">
        <v>419</v>
      </c>
      <c r="E24" t="s">
        <v>45</v>
      </c>
      <c r="F24">
        <v>7</v>
      </c>
      <c r="G24">
        <v>4</v>
      </c>
      <c r="H24" t="s">
        <v>38</v>
      </c>
      <c r="I24">
        <v>28</v>
      </c>
      <c r="J24">
        <v>1</v>
      </c>
      <c r="K24" t="s">
        <v>39</v>
      </c>
      <c r="L24">
        <v>53</v>
      </c>
      <c r="M24">
        <v>3</v>
      </c>
      <c r="N24">
        <v>3</v>
      </c>
      <c r="O24" t="s">
        <v>58</v>
      </c>
      <c r="P24">
        <v>2</v>
      </c>
      <c r="Q24" t="s">
        <v>41</v>
      </c>
      <c r="R24">
        <v>11994</v>
      </c>
      <c r="S24">
        <v>21293</v>
      </c>
      <c r="T24">
        <v>0</v>
      </c>
      <c r="U24" t="s">
        <v>43</v>
      </c>
      <c r="V24">
        <v>11</v>
      </c>
      <c r="W24">
        <v>3</v>
      </c>
      <c r="X24">
        <v>3</v>
      </c>
      <c r="Y24">
        <v>0</v>
      </c>
      <c r="Z24">
        <v>13</v>
      </c>
      <c r="AA24">
        <v>4</v>
      </c>
      <c r="AB24">
        <v>3</v>
      </c>
      <c r="AC24">
        <v>12</v>
      </c>
      <c r="AD24">
        <v>6</v>
      </c>
      <c r="AE24">
        <v>2</v>
      </c>
      <c r="AF24">
        <v>11</v>
      </c>
      <c r="AG24" t="s">
        <v>65</v>
      </c>
      <c r="AH24">
        <v>0</v>
      </c>
      <c r="AI24" t="s">
        <v>71</v>
      </c>
      <c r="AJ24" s="3" t="s">
        <v>83</v>
      </c>
      <c r="AK24" s="3">
        <v>1</v>
      </c>
      <c r="AL24" s="3" t="s">
        <v>83</v>
      </c>
    </row>
    <row r="25" spans="1:38" x14ac:dyDescent="0.3">
      <c r="A25">
        <v>21</v>
      </c>
      <c r="B25" t="s">
        <v>43</v>
      </c>
      <c r="C25" t="s">
        <v>36</v>
      </c>
      <c r="D25">
        <v>391</v>
      </c>
      <c r="E25" t="s">
        <v>45</v>
      </c>
      <c r="F25">
        <v>15</v>
      </c>
      <c r="G25">
        <v>2</v>
      </c>
      <c r="H25" t="s">
        <v>38</v>
      </c>
      <c r="I25">
        <v>30</v>
      </c>
      <c r="J25">
        <v>3</v>
      </c>
      <c r="K25" t="s">
        <v>46</v>
      </c>
      <c r="L25">
        <v>96</v>
      </c>
      <c r="M25">
        <v>3</v>
      </c>
      <c r="N25">
        <v>1</v>
      </c>
      <c r="O25" t="s">
        <v>47</v>
      </c>
      <c r="P25">
        <v>4</v>
      </c>
      <c r="Q25" t="s">
        <v>41</v>
      </c>
      <c r="R25">
        <v>1232</v>
      </c>
      <c r="S25">
        <v>19281</v>
      </c>
      <c r="T25">
        <v>1</v>
      </c>
      <c r="U25" t="s">
        <v>43</v>
      </c>
      <c r="V25">
        <v>14</v>
      </c>
      <c r="W25">
        <v>3</v>
      </c>
      <c r="X25">
        <v>4</v>
      </c>
      <c r="Y25">
        <v>0</v>
      </c>
      <c r="Z25">
        <v>0</v>
      </c>
      <c r="AA25">
        <v>6</v>
      </c>
      <c r="AB25">
        <v>3</v>
      </c>
      <c r="AC25">
        <v>0</v>
      </c>
      <c r="AD25">
        <v>0</v>
      </c>
      <c r="AE25">
        <v>0</v>
      </c>
      <c r="AF25">
        <v>0</v>
      </c>
      <c r="AG25" t="s">
        <v>66</v>
      </c>
      <c r="AH25">
        <v>0</v>
      </c>
      <c r="AI25" t="s">
        <v>71</v>
      </c>
      <c r="AJ25" s="3" t="s">
        <v>82</v>
      </c>
      <c r="AK25" s="3">
        <v>1</v>
      </c>
      <c r="AL25" s="3" t="s">
        <v>83</v>
      </c>
    </row>
    <row r="26" spans="1:38" x14ac:dyDescent="0.3">
      <c r="A26">
        <v>34</v>
      </c>
      <c r="B26" t="s">
        <v>35</v>
      </c>
      <c r="C26" t="s">
        <v>36</v>
      </c>
      <c r="D26">
        <v>699</v>
      </c>
      <c r="E26" t="s">
        <v>45</v>
      </c>
      <c r="F26">
        <v>6</v>
      </c>
      <c r="G26">
        <v>1</v>
      </c>
      <c r="H26" t="s">
        <v>51</v>
      </c>
      <c r="I26">
        <v>31</v>
      </c>
      <c r="J26">
        <v>2</v>
      </c>
      <c r="K26" t="s">
        <v>46</v>
      </c>
      <c r="L26">
        <v>83</v>
      </c>
      <c r="M26">
        <v>3</v>
      </c>
      <c r="N26">
        <v>1</v>
      </c>
      <c r="O26" t="s">
        <v>47</v>
      </c>
      <c r="P26">
        <v>1</v>
      </c>
      <c r="Q26" t="s">
        <v>41</v>
      </c>
      <c r="R26">
        <v>2960</v>
      </c>
      <c r="S26">
        <v>17102</v>
      </c>
      <c r="T26">
        <v>2</v>
      </c>
      <c r="U26" t="s">
        <v>43</v>
      </c>
      <c r="V26">
        <v>11</v>
      </c>
      <c r="W26">
        <v>3</v>
      </c>
      <c r="X26">
        <v>3</v>
      </c>
      <c r="Y26">
        <v>0</v>
      </c>
      <c r="Z26">
        <v>8</v>
      </c>
      <c r="AA26">
        <v>2</v>
      </c>
      <c r="AB26">
        <v>3</v>
      </c>
      <c r="AC26">
        <v>4</v>
      </c>
      <c r="AD26">
        <v>2</v>
      </c>
      <c r="AE26">
        <v>1</v>
      </c>
      <c r="AF26">
        <v>3</v>
      </c>
      <c r="AG26" t="s">
        <v>68</v>
      </c>
      <c r="AH26">
        <v>1</v>
      </c>
      <c r="AI26" t="s">
        <v>72</v>
      </c>
      <c r="AJ26" s="3" t="s">
        <v>83</v>
      </c>
      <c r="AK26" s="3">
        <v>1</v>
      </c>
      <c r="AL26" s="3" t="s">
        <v>83</v>
      </c>
    </row>
    <row r="27" spans="1:38" x14ac:dyDescent="0.3">
      <c r="A27">
        <v>53</v>
      </c>
      <c r="B27" t="s">
        <v>43</v>
      </c>
      <c r="C27" t="s">
        <v>36</v>
      </c>
      <c r="D27">
        <v>1282</v>
      </c>
      <c r="E27" t="s">
        <v>45</v>
      </c>
      <c r="F27">
        <v>5</v>
      </c>
      <c r="G27">
        <v>3</v>
      </c>
      <c r="H27" t="s">
        <v>49</v>
      </c>
      <c r="I27">
        <v>32</v>
      </c>
      <c r="J27">
        <v>3</v>
      </c>
      <c r="K27" t="s">
        <v>39</v>
      </c>
      <c r="L27">
        <v>58</v>
      </c>
      <c r="M27">
        <v>3</v>
      </c>
      <c r="N27">
        <v>5</v>
      </c>
      <c r="O27" t="s">
        <v>56</v>
      </c>
      <c r="P27">
        <v>3</v>
      </c>
      <c r="Q27" t="s">
        <v>52</v>
      </c>
      <c r="R27">
        <v>19094</v>
      </c>
      <c r="S27">
        <v>10735</v>
      </c>
      <c r="T27">
        <v>4</v>
      </c>
      <c r="U27" t="s">
        <v>43</v>
      </c>
      <c r="V27">
        <v>11</v>
      </c>
      <c r="W27">
        <v>3</v>
      </c>
      <c r="X27">
        <v>4</v>
      </c>
      <c r="Y27">
        <v>1</v>
      </c>
      <c r="Z27">
        <v>26</v>
      </c>
      <c r="AA27">
        <v>3</v>
      </c>
      <c r="AB27">
        <v>2</v>
      </c>
      <c r="AC27">
        <v>14</v>
      </c>
      <c r="AD27">
        <v>13</v>
      </c>
      <c r="AE27">
        <v>4</v>
      </c>
      <c r="AF27">
        <v>8</v>
      </c>
      <c r="AG27" t="s">
        <v>65</v>
      </c>
      <c r="AH27">
        <v>0</v>
      </c>
      <c r="AI27" t="s">
        <v>71</v>
      </c>
      <c r="AJ27" s="3" t="s">
        <v>84</v>
      </c>
      <c r="AK27" s="3">
        <v>0</v>
      </c>
      <c r="AL27" s="3" t="s">
        <v>83</v>
      </c>
    </row>
    <row r="28" spans="1:38" x14ac:dyDescent="0.3">
      <c r="A28">
        <v>32</v>
      </c>
      <c r="B28" t="s">
        <v>35</v>
      </c>
      <c r="C28" t="s">
        <v>44</v>
      </c>
      <c r="D28">
        <v>1125</v>
      </c>
      <c r="E28" t="s">
        <v>45</v>
      </c>
      <c r="F28">
        <v>16</v>
      </c>
      <c r="G28">
        <v>1</v>
      </c>
      <c r="H28" t="s">
        <v>38</v>
      </c>
      <c r="I28">
        <v>33</v>
      </c>
      <c r="J28">
        <v>2</v>
      </c>
      <c r="K28" t="s">
        <v>39</v>
      </c>
      <c r="L28">
        <v>72</v>
      </c>
      <c r="M28">
        <v>1</v>
      </c>
      <c r="N28">
        <v>1</v>
      </c>
      <c r="O28" t="s">
        <v>47</v>
      </c>
      <c r="P28">
        <v>1</v>
      </c>
      <c r="Q28" t="s">
        <v>41</v>
      </c>
      <c r="R28">
        <v>3919</v>
      </c>
      <c r="S28">
        <v>4681</v>
      </c>
      <c r="T28">
        <v>1</v>
      </c>
      <c r="U28" t="s">
        <v>35</v>
      </c>
      <c r="V28">
        <v>22</v>
      </c>
      <c r="W28">
        <v>4</v>
      </c>
      <c r="X28">
        <v>2</v>
      </c>
      <c r="Y28">
        <v>0</v>
      </c>
      <c r="Z28">
        <v>10</v>
      </c>
      <c r="AA28">
        <v>5</v>
      </c>
      <c r="AB28">
        <v>3</v>
      </c>
      <c r="AC28">
        <v>10</v>
      </c>
      <c r="AD28">
        <v>2</v>
      </c>
      <c r="AE28">
        <v>6</v>
      </c>
      <c r="AF28">
        <v>7</v>
      </c>
      <c r="AG28" t="s">
        <v>65</v>
      </c>
      <c r="AH28">
        <v>1</v>
      </c>
      <c r="AI28" t="s">
        <v>69</v>
      </c>
      <c r="AJ28" s="3" t="s">
        <v>83</v>
      </c>
      <c r="AK28" s="3">
        <v>2</v>
      </c>
      <c r="AL28" s="3" t="s">
        <v>84</v>
      </c>
    </row>
    <row r="29" spans="1:38" x14ac:dyDescent="0.3">
      <c r="A29">
        <v>42</v>
      </c>
      <c r="B29" t="s">
        <v>43</v>
      </c>
      <c r="C29" t="s">
        <v>36</v>
      </c>
      <c r="D29">
        <v>691</v>
      </c>
      <c r="E29" t="s">
        <v>37</v>
      </c>
      <c r="F29">
        <v>8</v>
      </c>
      <c r="G29">
        <v>4</v>
      </c>
      <c r="H29" t="s">
        <v>59</v>
      </c>
      <c r="I29">
        <v>35</v>
      </c>
      <c r="J29">
        <v>3</v>
      </c>
      <c r="K29" t="s">
        <v>46</v>
      </c>
      <c r="L29">
        <v>48</v>
      </c>
      <c r="M29">
        <v>3</v>
      </c>
      <c r="N29">
        <v>2</v>
      </c>
      <c r="O29" t="s">
        <v>40</v>
      </c>
      <c r="P29">
        <v>2</v>
      </c>
      <c r="Q29" t="s">
        <v>48</v>
      </c>
      <c r="R29">
        <v>6825</v>
      </c>
      <c r="S29">
        <v>21173</v>
      </c>
      <c r="T29">
        <v>0</v>
      </c>
      <c r="U29" t="s">
        <v>43</v>
      </c>
      <c r="V29">
        <v>11</v>
      </c>
      <c r="W29">
        <v>3</v>
      </c>
      <c r="X29">
        <v>4</v>
      </c>
      <c r="Y29">
        <v>1</v>
      </c>
      <c r="Z29">
        <v>10</v>
      </c>
      <c r="AA29">
        <v>2</v>
      </c>
      <c r="AB29">
        <v>3</v>
      </c>
      <c r="AC29">
        <v>9</v>
      </c>
      <c r="AD29">
        <v>7</v>
      </c>
      <c r="AE29">
        <v>4</v>
      </c>
      <c r="AF29">
        <v>2</v>
      </c>
      <c r="AG29" t="s">
        <v>65</v>
      </c>
      <c r="AH29">
        <v>0</v>
      </c>
      <c r="AI29" t="s">
        <v>71</v>
      </c>
      <c r="AJ29" s="3" t="s">
        <v>83</v>
      </c>
      <c r="AK29" s="3">
        <v>1</v>
      </c>
      <c r="AL29" s="3" t="s">
        <v>83</v>
      </c>
    </row>
    <row r="30" spans="1:38" x14ac:dyDescent="0.3">
      <c r="A30">
        <v>44</v>
      </c>
      <c r="B30" t="s">
        <v>43</v>
      </c>
      <c r="C30" t="s">
        <v>36</v>
      </c>
      <c r="D30">
        <v>477</v>
      </c>
      <c r="E30" t="s">
        <v>45</v>
      </c>
      <c r="F30">
        <v>7</v>
      </c>
      <c r="G30">
        <v>4</v>
      </c>
      <c r="H30" t="s">
        <v>51</v>
      </c>
      <c r="I30">
        <v>36</v>
      </c>
      <c r="J30">
        <v>1</v>
      </c>
      <c r="K30" t="s">
        <v>39</v>
      </c>
      <c r="L30">
        <v>42</v>
      </c>
      <c r="M30">
        <v>2</v>
      </c>
      <c r="N30">
        <v>3</v>
      </c>
      <c r="O30" t="s">
        <v>54</v>
      </c>
      <c r="P30">
        <v>4</v>
      </c>
      <c r="Q30" t="s">
        <v>48</v>
      </c>
      <c r="R30">
        <v>10248</v>
      </c>
      <c r="S30">
        <v>2094</v>
      </c>
      <c r="T30">
        <v>3</v>
      </c>
      <c r="U30" t="s">
        <v>43</v>
      </c>
      <c r="V30">
        <v>14</v>
      </c>
      <c r="W30">
        <v>3</v>
      </c>
      <c r="X30">
        <v>4</v>
      </c>
      <c r="Y30">
        <v>1</v>
      </c>
      <c r="Z30">
        <v>24</v>
      </c>
      <c r="AA30">
        <v>4</v>
      </c>
      <c r="AB30">
        <v>3</v>
      </c>
      <c r="AC30">
        <v>22</v>
      </c>
      <c r="AD30">
        <v>6</v>
      </c>
      <c r="AE30">
        <v>5</v>
      </c>
      <c r="AF30">
        <v>17</v>
      </c>
      <c r="AG30" t="s">
        <v>65</v>
      </c>
      <c r="AH30">
        <v>0</v>
      </c>
      <c r="AI30" t="s">
        <v>70</v>
      </c>
      <c r="AJ30" s="3" t="s">
        <v>82</v>
      </c>
      <c r="AK30" s="3">
        <v>0</v>
      </c>
      <c r="AL30" s="3" t="s">
        <v>83</v>
      </c>
    </row>
    <row r="31" spans="1:38" x14ac:dyDescent="0.3">
      <c r="A31">
        <v>46</v>
      </c>
      <c r="B31" t="s">
        <v>43</v>
      </c>
      <c r="C31" t="s">
        <v>36</v>
      </c>
      <c r="D31">
        <v>705</v>
      </c>
      <c r="E31" t="s">
        <v>37</v>
      </c>
      <c r="F31">
        <v>2</v>
      </c>
      <c r="G31">
        <v>4</v>
      </c>
      <c r="H31" t="s">
        <v>59</v>
      </c>
      <c r="I31">
        <v>38</v>
      </c>
      <c r="J31">
        <v>2</v>
      </c>
      <c r="K31" t="s">
        <v>39</v>
      </c>
      <c r="L31">
        <v>83</v>
      </c>
      <c r="M31">
        <v>3</v>
      </c>
      <c r="N31">
        <v>5</v>
      </c>
      <c r="O31" t="s">
        <v>56</v>
      </c>
      <c r="P31">
        <v>1</v>
      </c>
      <c r="Q31" t="s">
        <v>41</v>
      </c>
      <c r="R31">
        <v>18947</v>
      </c>
      <c r="S31">
        <v>22822</v>
      </c>
      <c r="T31">
        <v>3</v>
      </c>
      <c r="U31" t="s">
        <v>43</v>
      </c>
      <c r="V31">
        <v>12</v>
      </c>
      <c r="W31">
        <v>3</v>
      </c>
      <c r="X31">
        <v>4</v>
      </c>
      <c r="Y31">
        <v>0</v>
      </c>
      <c r="Z31">
        <v>22</v>
      </c>
      <c r="AA31">
        <v>2</v>
      </c>
      <c r="AB31">
        <v>2</v>
      </c>
      <c r="AC31">
        <v>2</v>
      </c>
      <c r="AD31">
        <v>2</v>
      </c>
      <c r="AE31">
        <v>2</v>
      </c>
      <c r="AF31">
        <v>1</v>
      </c>
      <c r="AG31" t="s">
        <v>67</v>
      </c>
      <c r="AH31">
        <v>0</v>
      </c>
      <c r="AI31" t="s">
        <v>70</v>
      </c>
      <c r="AJ31" s="3" t="s">
        <v>83</v>
      </c>
      <c r="AK31" s="3">
        <v>2</v>
      </c>
      <c r="AL31" s="3" t="s">
        <v>84</v>
      </c>
    </row>
    <row r="32" spans="1:38" x14ac:dyDescent="0.3">
      <c r="A32">
        <v>33</v>
      </c>
      <c r="B32" t="s">
        <v>43</v>
      </c>
      <c r="C32" t="s">
        <v>36</v>
      </c>
      <c r="D32">
        <v>924</v>
      </c>
      <c r="E32" t="s">
        <v>45</v>
      </c>
      <c r="F32">
        <v>2</v>
      </c>
      <c r="G32">
        <v>3</v>
      </c>
      <c r="H32" t="s">
        <v>51</v>
      </c>
      <c r="I32">
        <v>39</v>
      </c>
      <c r="J32">
        <v>3</v>
      </c>
      <c r="K32" t="s">
        <v>46</v>
      </c>
      <c r="L32">
        <v>78</v>
      </c>
      <c r="M32">
        <v>3</v>
      </c>
      <c r="N32">
        <v>1</v>
      </c>
      <c r="O32" t="s">
        <v>50</v>
      </c>
      <c r="P32">
        <v>4</v>
      </c>
      <c r="Q32" t="s">
        <v>41</v>
      </c>
      <c r="R32">
        <v>2496</v>
      </c>
      <c r="S32">
        <v>6670</v>
      </c>
      <c r="T32">
        <v>4</v>
      </c>
      <c r="U32" t="s">
        <v>43</v>
      </c>
      <c r="V32">
        <v>11</v>
      </c>
      <c r="W32">
        <v>3</v>
      </c>
      <c r="X32">
        <v>4</v>
      </c>
      <c r="Y32">
        <v>0</v>
      </c>
      <c r="Z32">
        <v>7</v>
      </c>
      <c r="AA32">
        <v>3</v>
      </c>
      <c r="AB32">
        <v>3</v>
      </c>
      <c r="AC32">
        <v>1</v>
      </c>
      <c r="AD32">
        <v>1</v>
      </c>
      <c r="AE32">
        <v>0</v>
      </c>
      <c r="AF32">
        <v>0</v>
      </c>
      <c r="AG32" t="s">
        <v>67</v>
      </c>
      <c r="AH32">
        <v>0</v>
      </c>
      <c r="AI32" t="s">
        <v>70</v>
      </c>
      <c r="AJ32" s="3" t="s">
        <v>82</v>
      </c>
      <c r="AK32" s="3">
        <v>1</v>
      </c>
      <c r="AL32" s="3" t="s">
        <v>83</v>
      </c>
    </row>
    <row r="33" spans="1:38" x14ac:dyDescent="0.3">
      <c r="A33">
        <v>44</v>
      </c>
      <c r="B33" t="s">
        <v>43</v>
      </c>
      <c r="C33" t="s">
        <v>36</v>
      </c>
      <c r="D33">
        <v>1459</v>
      </c>
      <c r="E33" t="s">
        <v>45</v>
      </c>
      <c r="F33">
        <v>10</v>
      </c>
      <c r="G33">
        <v>4</v>
      </c>
      <c r="H33" t="s">
        <v>49</v>
      </c>
      <c r="I33">
        <v>40</v>
      </c>
      <c r="J33">
        <v>4</v>
      </c>
      <c r="K33" t="s">
        <v>46</v>
      </c>
      <c r="L33">
        <v>41</v>
      </c>
      <c r="M33">
        <v>3</v>
      </c>
      <c r="N33">
        <v>2</v>
      </c>
      <c r="O33" t="s">
        <v>54</v>
      </c>
      <c r="P33">
        <v>4</v>
      </c>
      <c r="Q33" t="s">
        <v>48</v>
      </c>
      <c r="R33">
        <v>6465</v>
      </c>
      <c r="S33">
        <v>19121</v>
      </c>
      <c r="T33">
        <v>2</v>
      </c>
      <c r="U33" t="s">
        <v>35</v>
      </c>
      <c r="V33">
        <v>13</v>
      </c>
      <c r="W33">
        <v>3</v>
      </c>
      <c r="X33">
        <v>4</v>
      </c>
      <c r="Y33">
        <v>0</v>
      </c>
      <c r="Z33">
        <v>9</v>
      </c>
      <c r="AA33">
        <v>5</v>
      </c>
      <c r="AB33">
        <v>4</v>
      </c>
      <c r="AC33">
        <v>4</v>
      </c>
      <c r="AD33">
        <v>2</v>
      </c>
      <c r="AE33">
        <v>1</v>
      </c>
      <c r="AF33">
        <v>3</v>
      </c>
      <c r="AG33" t="s">
        <v>68</v>
      </c>
      <c r="AH33">
        <v>0</v>
      </c>
      <c r="AI33" t="s">
        <v>71</v>
      </c>
      <c r="AJ33" s="3" t="s">
        <v>82</v>
      </c>
      <c r="AK33" s="3">
        <v>1</v>
      </c>
      <c r="AL33" s="3" t="s">
        <v>83</v>
      </c>
    </row>
    <row r="34" spans="1:38" x14ac:dyDescent="0.3">
      <c r="A34">
        <v>30</v>
      </c>
      <c r="B34" t="s">
        <v>43</v>
      </c>
      <c r="C34" t="s">
        <v>36</v>
      </c>
      <c r="D34">
        <v>125</v>
      </c>
      <c r="E34" t="s">
        <v>45</v>
      </c>
      <c r="F34">
        <v>9</v>
      </c>
      <c r="G34">
        <v>2</v>
      </c>
      <c r="H34" t="s">
        <v>51</v>
      </c>
      <c r="I34">
        <v>41</v>
      </c>
      <c r="J34">
        <v>4</v>
      </c>
      <c r="K34" t="s">
        <v>46</v>
      </c>
      <c r="L34">
        <v>83</v>
      </c>
      <c r="M34">
        <v>2</v>
      </c>
      <c r="N34">
        <v>1</v>
      </c>
      <c r="O34" t="s">
        <v>50</v>
      </c>
      <c r="P34">
        <v>3</v>
      </c>
      <c r="Q34" t="s">
        <v>41</v>
      </c>
      <c r="R34">
        <v>2206</v>
      </c>
      <c r="S34">
        <v>16117</v>
      </c>
      <c r="T34">
        <v>1</v>
      </c>
      <c r="U34" t="s">
        <v>43</v>
      </c>
      <c r="V34">
        <v>13</v>
      </c>
      <c r="W34">
        <v>3</v>
      </c>
      <c r="X34">
        <v>1</v>
      </c>
      <c r="Y34">
        <v>0</v>
      </c>
      <c r="Z34">
        <v>10</v>
      </c>
      <c r="AA34">
        <v>5</v>
      </c>
      <c r="AB34">
        <v>3</v>
      </c>
      <c r="AC34">
        <v>10</v>
      </c>
      <c r="AD34">
        <v>0</v>
      </c>
      <c r="AE34">
        <v>1</v>
      </c>
      <c r="AF34">
        <v>8</v>
      </c>
      <c r="AG34" t="s">
        <v>65</v>
      </c>
      <c r="AH34">
        <v>0</v>
      </c>
      <c r="AI34" t="s">
        <v>70</v>
      </c>
      <c r="AJ34" s="3" t="s">
        <v>84</v>
      </c>
      <c r="AK34" s="3">
        <v>0</v>
      </c>
      <c r="AL34" s="3" t="s">
        <v>83</v>
      </c>
    </row>
    <row r="35" spans="1:38" x14ac:dyDescent="0.3">
      <c r="A35">
        <v>39</v>
      </c>
      <c r="B35" t="s">
        <v>35</v>
      </c>
      <c r="C35" t="s">
        <v>36</v>
      </c>
      <c r="D35">
        <v>895</v>
      </c>
      <c r="E35" t="s">
        <v>37</v>
      </c>
      <c r="F35">
        <v>5</v>
      </c>
      <c r="G35">
        <v>3</v>
      </c>
      <c r="H35" t="s">
        <v>60</v>
      </c>
      <c r="I35">
        <v>42</v>
      </c>
      <c r="J35">
        <v>4</v>
      </c>
      <c r="K35" t="s">
        <v>46</v>
      </c>
      <c r="L35">
        <v>56</v>
      </c>
      <c r="M35">
        <v>3</v>
      </c>
      <c r="N35">
        <v>2</v>
      </c>
      <c r="O35" t="s">
        <v>57</v>
      </c>
      <c r="P35">
        <v>4</v>
      </c>
      <c r="Q35" t="s">
        <v>48</v>
      </c>
      <c r="R35">
        <v>2086</v>
      </c>
      <c r="S35">
        <v>3335</v>
      </c>
      <c r="T35">
        <v>3</v>
      </c>
      <c r="U35" t="s">
        <v>43</v>
      </c>
      <c r="V35">
        <v>14</v>
      </c>
      <c r="W35">
        <v>3</v>
      </c>
      <c r="X35">
        <v>3</v>
      </c>
      <c r="Y35">
        <v>1</v>
      </c>
      <c r="Z35">
        <v>19</v>
      </c>
      <c r="AA35">
        <v>6</v>
      </c>
      <c r="AB35">
        <v>4</v>
      </c>
      <c r="AC35">
        <v>1</v>
      </c>
      <c r="AD35">
        <v>0</v>
      </c>
      <c r="AE35">
        <v>0</v>
      </c>
      <c r="AF35">
        <v>0</v>
      </c>
      <c r="AG35" t="s">
        <v>67</v>
      </c>
      <c r="AH35">
        <v>1</v>
      </c>
      <c r="AI35" t="s">
        <v>71</v>
      </c>
      <c r="AJ35" s="3" t="s">
        <v>82</v>
      </c>
      <c r="AK35" s="3">
        <v>1</v>
      </c>
      <c r="AL35" s="3" t="s">
        <v>83</v>
      </c>
    </row>
    <row r="36" spans="1:38" x14ac:dyDescent="0.3">
      <c r="A36">
        <v>24</v>
      </c>
      <c r="B36" t="s">
        <v>35</v>
      </c>
      <c r="C36" t="s">
        <v>36</v>
      </c>
      <c r="D36">
        <v>813</v>
      </c>
      <c r="E36" t="s">
        <v>45</v>
      </c>
      <c r="F36">
        <v>1</v>
      </c>
      <c r="G36">
        <v>3</v>
      </c>
      <c r="H36" t="s">
        <v>51</v>
      </c>
      <c r="I36">
        <v>45</v>
      </c>
      <c r="J36">
        <v>2</v>
      </c>
      <c r="K36" t="s">
        <v>46</v>
      </c>
      <c r="L36">
        <v>61</v>
      </c>
      <c r="M36">
        <v>3</v>
      </c>
      <c r="N36">
        <v>1</v>
      </c>
      <c r="O36" t="s">
        <v>47</v>
      </c>
      <c r="P36">
        <v>4</v>
      </c>
      <c r="Q36" t="s">
        <v>48</v>
      </c>
      <c r="R36">
        <v>2293</v>
      </c>
      <c r="S36">
        <v>3020</v>
      </c>
      <c r="T36">
        <v>2</v>
      </c>
      <c r="U36" t="s">
        <v>35</v>
      </c>
      <c r="V36">
        <v>16</v>
      </c>
      <c r="W36">
        <v>3</v>
      </c>
      <c r="X36">
        <v>1</v>
      </c>
      <c r="Y36">
        <v>1</v>
      </c>
      <c r="Z36">
        <v>6</v>
      </c>
      <c r="AA36">
        <v>2</v>
      </c>
      <c r="AB36">
        <v>2</v>
      </c>
      <c r="AC36">
        <v>2</v>
      </c>
      <c r="AD36">
        <v>0</v>
      </c>
      <c r="AE36">
        <v>2</v>
      </c>
      <c r="AF36">
        <v>0</v>
      </c>
      <c r="AG36" t="s">
        <v>67</v>
      </c>
      <c r="AH36">
        <v>1</v>
      </c>
      <c r="AI36" t="s">
        <v>71</v>
      </c>
      <c r="AJ36" s="3" t="s">
        <v>82</v>
      </c>
      <c r="AK36" s="3">
        <v>2</v>
      </c>
      <c r="AL36" s="3" t="s">
        <v>84</v>
      </c>
    </row>
    <row r="37" spans="1:38" x14ac:dyDescent="0.3">
      <c r="A37">
        <v>43</v>
      </c>
      <c r="B37" t="s">
        <v>43</v>
      </c>
      <c r="C37" t="s">
        <v>36</v>
      </c>
      <c r="D37">
        <v>1273</v>
      </c>
      <c r="E37" t="s">
        <v>45</v>
      </c>
      <c r="F37">
        <v>2</v>
      </c>
      <c r="G37">
        <v>2</v>
      </c>
      <c r="H37" t="s">
        <v>51</v>
      </c>
      <c r="I37">
        <v>46</v>
      </c>
      <c r="J37">
        <v>4</v>
      </c>
      <c r="K37" t="s">
        <v>39</v>
      </c>
      <c r="L37">
        <v>72</v>
      </c>
      <c r="M37">
        <v>4</v>
      </c>
      <c r="N37">
        <v>1</v>
      </c>
      <c r="O37" t="s">
        <v>47</v>
      </c>
      <c r="P37">
        <v>3</v>
      </c>
      <c r="Q37" t="s">
        <v>52</v>
      </c>
      <c r="R37">
        <v>2645</v>
      </c>
      <c r="S37">
        <v>21923</v>
      </c>
      <c r="T37">
        <v>1</v>
      </c>
      <c r="U37" t="s">
        <v>43</v>
      </c>
      <c r="V37">
        <v>12</v>
      </c>
      <c r="W37">
        <v>3</v>
      </c>
      <c r="X37">
        <v>4</v>
      </c>
      <c r="Y37">
        <v>2</v>
      </c>
      <c r="Z37">
        <v>6</v>
      </c>
      <c r="AA37">
        <v>3</v>
      </c>
      <c r="AB37">
        <v>2</v>
      </c>
      <c r="AC37">
        <v>5</v>
      </c>
      <c r="AD37">
        <v>3</v>
      </c>
      <c r="AE37">
        <v>1</v>
      </c>
      <c r="AF37">
        <v>4</v>
      </c>
      <c r="AG37" t="s">
        <v>68</v>
      </c>
      <c r="AH37">
        <v>0</v>
      </c>
      <c r="AI37" t="s">
        <v>72</v>
      </c>
      <c r="AJ37" s="3" t="s">
        <v>84</v>
      </c>
      <c r="AK37" s="3">
        <v>0</v>
      </c>
      <c r="AL37" s="3" t="s">
        <v>83</v>
      </c>
    </row>
    <row r="38" spans="1:38" x14ac:dyDescent="0.3">
      <c r="A38">
        <v>50</v>
      </c>
      <c r="B38" t="s">
        <v>35</v>
      </c>
      <c r="C38" t="s">
        <v>36</v>
      </c>
      <c r="D38">
        <v>869</v>
      </c>
      <c r="E38" t="s">
        <v>37</v>
      </c>
      <c r="F38">
        <v>3</v>
      </c>
      <c r="G38">
        <v>2</v>
      </c>
      <c r="H38" t="s">
        <v>59</v>
      </c>
      <c r="I38">
        <v>47</v>
      </c>
      <c r="J38">
        <v>1</v>
      </c>
      <c r="K38" t="s">
        <v>46</v>
      </c>
      <c r="L38">
        <v>86</v>
      </c>
      <c r="M38">
        <v>2</v>
      </c>
      <c r="N38">
        <v>1</v>
      </c>
      <c r="O38" t="s">
        <v>57</v>
      </c>
      <c r="P38">
        <v>3</v>
      </c>
      <c r="Q38" t="s">
        <v>48</v>
      </c>
      <c r="R38">
        <v>2683</v>
      </c>
      <c r="S38">
        <v>3810</v>
      </c>
      <c r="T38">
        <v>1</v>
      </c>
      <c r="U38" t="s">
        <v>35</v>
      </c>
      <c r="V38">
        <v>14</v>
      </c>
      <c r="W38">
        <v>3</v>
      </c>
      <c r="X38">
        <v>3</v>
      </c>
      <c r="Y38">
        <v>0</v>
      </c>
      <c r="Z38">
        <v>3</v>
      </c>
      <c r="AA38">
        <v>2</v>
      </c>
      <c r="AB38">
        <v>3</v>
      </c>
      <c r="AC38">
        <v>3</v>
      </c>
      <c r="AD38">
        <v>2</v>
      </c>
      <c r="AE38">
        <v>0</v>
      </c>
      <c r="AF38">
        <v>2</v>
      </c>
      <c r="AG38" t="s">
        <v>67</v>
      </c>
      <c r="AH38">
        <v>1</v>
      </c>
      <c r="AI38" t="s">
        <v>70</v>
      </c>
      <c r="AJ38" s="3" t="s">
        <v>84</v>
      </c>
      <c r="AK38" s="3">
        <v>2</v>
      </c>
      <c r="AL38" s="3" t="s">
        <v>84</v>
      </c>
    </row>
    <row r="39" spans="1:38" x14ac:dyDescent="0.3">
      <c r="A39">
        <v>35</v>
      </c>
      <c r="B39" t="s">
        <v>43</v>
      </c>
      <c r="C39" t="s">
        <v>36</v>
      </c>
      <c r="D39">
        <v>890</v>
      </c>
      <c r="E39" t="s">
        <v>37</v>
      </c>
      <c r="F39">
        <v>2</v>
      </c>
      <c r="G39">
        <v>3</v>
      </c>
      <c r="H39" t="s">
        <v>59</v>
      </c>
      <c r="I39">
        <v>49</v>
      </c>
      <c r="J39">
        <v>4</v>
      </c>
      <c r="K39" t="s">
        <v>39</v>
      </c>
      <c r="L39">
        <v>97</v>
      </c>
      <c r="M39">
        <v>3</v>
      </c>
      <c r="N39">
        <v>1</v>
      </c>
      <c r="O39" t="s">
        <v>57</v>
      </c>
      <c r="P39">
        <v>4</v>
      </c>
      <c r="Q39" t="s">
        <v>48</v>
      </c>
      <c r="R39">
        <v>2014</v>
      </c>
      <c r="S39">
        <v>9687</v>
      </c>
      <c r="T39">
        <v>1</v>
      </c>
      <c r="U39" t="s">
        <v>43</v>
      </c>
      <c r="V39">
        <v>13</v>
      </c>
      <c r="W39">
        <v>3</v>
      </c>
      <c r="X39">
        <v>1</v>
      </c>
      <c r="Y39">
        <v>0</v>
      </c>
      <c r="Z39">
        <v>2</v>
      </c>
      <c r="AA39">
        <v>3</v>
      </c>
      <c r="AB39">
        <v>3</v>
      </c>
      <c r="AC39">
        <v>2</v>
      </c>
      <c r="AD39">
        <v>2</v>
      </c>
      <c r="AE39">
        <v>2</v>
      </c>
      <c r="AF39">
        <v>2</v>
      </c>
      <c r="AG39" t="s">
        <v>67</v>
      </c>
      <c r="AH39">
        <v>0</v>
      </c>
      <c r="AI39" t="s">
        <v>69</v>
      </c>
      <c r="AJ39" s="3" t="s">
        <v>82</v>
      </c>
      <c r="AK39" s="3">
        <v>1</v>
      </c>
      <c r="AL39" s="3" t="s">
        <v>83</v>
      </c>
    </row>
    <row r="40" spans="1:38" x14ac:dyDescent="0.3">
      <c r="A40">
        <v>36</v>
      </c>
      <c r="B40" t="s">
        <v>43</v>
      </c>
      <c r="C40" t="s">
        <v>36</v>
      </c>
      <c r="D40">
        <v>852</v>
      </c>
      <c r="E40" t="s">
        <v>45</v>
      </c>
      <c r="F40">
        <v>5</v>
      </c>
      <c r="G40">
        <v>4</v>
      </c>
      <c r="H40" t="s">
        <v>38</v>
      </c>
      <c r="I40">
        <v>51</v>
      </c>
      <c r="J40">
        <v>2</v>
      </c>
      <c r="K40" t="s">
        <v>39</v>
      </c>
      <c r="L40">
        <v>82</v>
      </c>
      <c r="M40">
        <v>2</v>
      </c>
      <c r="N40">
        <v>1</v>
      </c>
      <c r="O40" t="s">
        <v>47</v>
      </c>
      <c r="P40">
        <v>1</v>
      </c>
      <c r="Q40" t="s">
        <v>48</v>
      </c>
      <c r="R40">
        <v>3419</v>
      </c>
      <c r="S40">
        <v>13072</v>
      </c>
      <c r="T40">
        <v>9</v>
      </c>
      <c r="U40" t="s">
        <v>35</v>
      </c>
      <c r="V40">
        <v>14</v>
      </c>
      <c r="W40">
        <v>3</v>
      </c>
      <c r="X40">
        <v>4</v>
      </c>
      <c r="Y40">
        <v>1</v>
      </c>
      <c r="Z40">
        <v>6</v>
      </c>
      <c r="AA40">
        <v>3</v>
      </c>
      <c r="AB40">
        <v>4</v>
      </c>
      <c r="AC40">
        <v>1</v>
      </c>
      <c r="AD40">
        <v>1</v>
      </c>
      <c r="AE40">
        <v>0</v>
      </c>
      <c r="AF40">
        <v>0</v>
      </c>
      <c r="AG40" t="s">
        <v>67</v>
      </c>
      <c r="AH40">
        <v>0</v>
      </c>
      <c r="AI40" t="s">
        <v>71</v>
      </c>
      <c r="AJ40" s="3" t="s">
        <v>83</v>
      </c>
      <c r="AK40" s="3">
        <v>3</v>
      </c>
      <c r="AL40" s="3" t="s">
        <v>82</v>
      </c>
    </row>
    <row r="41" spans="1:38" x14ac:dyDescent="0.3">
      <c r="A41">
        <v>33</v>
      </c>
      <c r="B41" t="s">
        <v>43</v>
      </c>
      <c r="C41" t="s">
        <v>44</v>
      </c>
      <c r="D41">
        <v>1141</v>
      </c>
      <c r="E41" t="s">
        <v>37</v>
      </c>
      <c r="F41">
        <v>1</v>
      </c>
      <c r="G41">
        <v>3</v>
      </c>
      <c r="H41" t="s">
        <v>38</v>
      </c>
      <c r="I41">
        <v>52</v>
      </c>
      <c r="J41">
        <v>3</v>
      </c>
      <c r="K41" t="s">
        <v>39</v>
      </c>
      <c r="L41">
        <v>42</v>
      </c>
      <c r="M41">
        <v>4</v>
      </c>
      <c r="N41">
        <v>2</v>
      </c>
      <c r="O41" t="s">
        <v>40</v>
      </c>
      <c r="P41">
        <v>1</v>
      </c>
      <c r="Q41" t="s">
        <v>48</v>
      </c>
      <c r="R41">
        <v>5376</v>
      </c>
      <c r="S41">
        <v>3193</v>
      </c>
      <c r="T41">
        <v>2</v>
      </c>
      <c r="U41" t="s">
        <v>43</v>
      </c>
      <c r="V41">
        <v>19</v>
      </c>
      <c r="W41">
        <v>3</v>
      </c>
      <c r="X41">
        <v>1</v>
      </c>
      <c r="Y41">
        <v>2</v>
      </c>
      <c r="Z41">
        <v>10</v>
      </c>
      <c r="AA41">
        <v>3</v>
      </c>
      <c r="AB41">
        <v>3</v>
      </c>
      <c r="AC41">
        <v>5</v>
      </c>
      <c r="AD41">
        <v>3</v>
      </c>
      <c r="AE41">
        <v>1</v>
      </c>
      <c r="AF41">
        <v>3</v>
      </c>
      <c r="AG41" t="s">
        <v>68</v>
      </c>
      <c r="AH41">
        <v>0</v>
      </c>
      <c r="AI41" t="s">
        <v>71</v>
      </c>
      <c r="AJ41" s="3" t="s">
        <v>83</v>
      </c>
      <c r="AK41" s="3">
        <v>1</v>
      </c>
      <c r="AL41" s="3" t="s">
        <v>83</v>
      </c>
    </row>
    <row r="42" spans="1:38" x14ac:dyDescent="0.3">
      <c r="A42">
        <v>35</v>
      </c>
      <c r="B42" t="s">
        <v>43</v>
      </c>
      <c r="C42" t="s">
        <v>36</v>
      </c>
      <c r="D42">
        <v>464</v>
      </c>
      <c r="E42" t="s">
        <v>45</v>
      </c>
      <c r="F42">
        <v>4</v>
      </c>
      <c r="G42">
        <v>2</v>
      </c>
      <c r="H42" t="s">
        <v>49</v>
      </c>
      <c r="I42">
        <v>53</v>
      </c>
      <c r="J42">
        <v>3</v>
      </c>
      <c r="K42" t="s">
        <v>46</v>
      </c>
      <c r="L42">
        <v>75</v>
      </c>
      <c r="M42">
        <v>3</v>
      </c>
      <c r="N42">
        <v>1</v>
      </c>
      <c r="O42" t="s">
        <v>50</v>
      </c>
      <c r="P42">
        <v>4</v>
      </c>
      <c r="Q42" t="s">
        <v>52</v>
      </c>
      <c r="R42">
        <v>1951</v>
      </c>
      <c r="S42">
        <v>10910</v>
      </c>
      <c r="T42">
        <v>1</v>
      </c>
      <c r="U42" t="s">
        <v>43</v>
      </c>
      <c r="V42">
        <v>12</v>
      </c>
      <c r="W42">
        <v>3</v>
      </c>
      <c r="X42">
        <v>3</v>
      </c>
      <c r="Y42">
        <v>1</v>
      </c>
      <c r="Z42">
        <v>1</v>
      </c>
      <c r="AA42">
        <v>3</v>
      </c>
      <c r="AB42">
        <v>3</v>
      </c>
      <c r="AC42">
        <v>1</v>
      </c>
      <c r="AD42">
        <v>0</v>
      </c>
      <c r="AE42">
        <v>0</v>
      </c>
      <c r="AF42">
        <v>0</v>
      </c>
      <c r="AG42" t="s">
        <v>67</v>
      </c>
      <c r="AH42">
        <v>0</v>
      </c>
      <c r="AI42" t="s">
        <v>71</v>
      </c>
      <c r="AJ42" s="3" t="s">
        <v>82</v>
      </c>
      <c r="AK42" s="3">
        <v>1</v>
      </c>
      <c r="AL42" s="3" t="s">
        <v>83</v>
      </c>
    </row>
    <row r="43" spans="1:38" x14ac:dyDescent="0.3">
      <c r="A43">
        <v>27</v>
      </c>
      <c r="B43" t="s">
        <v>43</v>
      </c>
      <c r="C43" t="s">
        <v>36</v>
      </c>
      <c r="D43">
        <v>1240</v>
      </c>
      <c r="E43" t="s">
        <v>45</v>
      </c>
      <c r="F43">
        <v>2</v>
      </c>
      <c r="G43">
        <v>4</v>
      </c>
      <c r="H43" t="s">
        <v>38</v>
      </c>
      <c r="I43">
        <v>54</v>
      </c>
      <c r="J43">
        <v>4</v>
      </c>
      <c r="K43" t="s">
        <v>39</v>
      </c>
      <c r="L43">
        <v>33</v>
      </c>
      <c r="M43">
        <v>3</v>
      </c>
      <c r="N43">
        <v>1</v>
      </c>
      <c r="O43" t="s">
        <v>50</v>
      </c>
      <c r="P43">
        <v>1</v>
      </c>
      <c r="Q43" t="s">
        <v>52</v>
      </c>
      <c r="R43">
        <v>2341</v>
      </c>
      <c r="S43">
        <v>19715</v>
      </c>
      <c r="T43">
        <v>1</v>
      </c>
      <c r="U43" t="s">
        <v>43</v>
      </c>
      <c r="V43">
        <v>13</v>
      </c>
      <c r="W43">
        <v>3</v>
      </c>
      <c r="X43">
        <v>4</v>
      </c>
      <c r="Y43">
        <v>1</v>
      </c>
      <c r="Z43">
        <v>1</v>
      </c>
      <c r="AA43">
        <v>6</v>
      </c>
      <c r="AB43">
        <v>3</v>
      </c>
      <c r="AC43">
        <v>1</v>
      </c>
      <c r="AD43">
        <v>0</v>
      </c>
      <c r="AE43">
        <v>0</v>
      </c>
      <c r="AF43">
        <v>0</v>
      </c>
      <c r="AG43" t="s">
        <v>67</v>
      </c>
      <c r="AH43">
        <v>0</v>
      </c>
      <c r="AI43" t="s">
        <v>71</v>
      </c>
      <c r="AJ43" s="3" t="s">
        <v>83</v>
      </c>
      <c r="AK43" s="3">
        <v>2</v>
      </c>
      <c r="AL43" s="3" t="s">
        <v>84</v>
      </c>
    </row>
    <row r="44" spans="1:38" x14ac:dyDescent="0.3">
      <c r="A44">
        <v>26</v>
      </c>
      <c r="B44" t="s">
        <v>35</v>
      </c>
      <c r="C44" t="s">
        <v>36</v>
      </c>
      <c r="D44">
        <v>1357</v>
      </c>
      <c r="E44" t="s">
        <v>45</v>
      </c>
      <c r="F44">
        <v>25</v>
      </c>
      <c r="G44">
        <v>3</v>
      </c>
      <c r="H44" t="s">
        <v>38</v>
      </c>
      <c r="I44">
        <v>55</v>
      </c>
      <c r="J44">
        <v>1</v>
      </c>
      <c r="K44" t="s">
        <v>46</v>
      </c>
      <c r="L44">
        <v>48</v>
      </c>
      <c r="M44">
        <v>1</v>
      </c>
      <c r="N44">
        <v>1</v>
      </c>
      <c r="O44" t="s">
        <v>50</v>
      </c>
      <c r="P44">
        <v>3</v>
      </c>
      <c r="Q44" t="s">
        <v>41</v>
      </c>
      <c r="R44">
        <v>2293</v>
      </c>
      <c r="S44">
        <v>10558</v>
      </c>
      <c r="T44">
        <v>1</v>
      </c>
      <c r="U44" t="s">
        <v>43</v>
      </c>
      <c r="V44">
        <v>12</v>
      </c>
      <c r="W44">
        <v>3</v>
      </c>
      <c r="X44">
        <v>3</v>
      </c>
      <c r="Y44">
        <v>0</v>
      </c>
      <c r="Z44">
        <v>1</v>
      </c>
      <c r="AA44">
        <v>2</v>
      </c>
      <c r="AB44">
        <v>2</v>
      </c>
      <c r="AC44">
        <v>1</v>
      </c>
      <c r="AD44">
        <v>0</v>
      </c>
      <c r="AE44">
        <v>0</v>
      </c>
      <c r="AF44">
        <v>1</v>
      </c>
      <c r="AG44" t="s">
        <v>67</v>
      </c>
      <c r="AH44">
        <v>1</v>
      </c>
      <c r="AI44" t="s">
        <v>72</v>
      </c>
      <c r="AJ44" s="3" t="s">
        <v>84</v>
      </c>
      <c r="AK44" s="3">
        <v>1</v>
      </c>
      <c r="AL44" s="3" t="s">
        <v>83</v>
      </c>
    </row>
    <row r="45" spans="1:38" x14ac:dyDescent="0.3">
      <c r="A45">
        <v>27</v>
      </c>
      <c r="B45" t="s">
        <v>43</v>
      </c>
      <c r="C45" t="s">
        <v>44</v>
      </c>
      <c r="D45">
        <v>994</v>
      </c>
      <c r="E45" t="s">
        <v>37</v>
      </c>
      <c r="F45">
        <v>8</v>
      </c>
      <c r="G45">
        <v>3</v>
      </c>
      <c r="H45" t="s">
        <v>38</v>
      </c>
      <c r="I45">
        <v>56</v>
      </c>
      <c r="J45">
        <v>4</v>
      </c>
      <c r="K45" t="s">
        <v>46</v>
      </c>
      <c r="L45">
        <v>37</v>
      </c>
      <c r="M45">
        <v>3</v>
      </c>
      <c r="N45">
        <v>3</v>
      </c>
      <c r="O45" t="s">
        <v>40</v>
      </c>
      <c r="P45">
        <v>3</v>
      </c>
      <c r="Q45" t="s">
        <v>41</v>
      </c>
      <c r="R45">
        <v>8726</v>
      </c>
      <c r="S45">
        <v>2975</v>
      </c>
      <c r="T45">
        <v>1</v>
      </c>
      <c r="U45" t="s">
        <v>43</v>
      </c>
      <c r="V45">
        <v>15</v>
      </c>
      <c r="W45">
        <v>3</v>
      </c>
      <c r="X45">
        <v>4</v>
      </c>
      <c r="Y45">
        <v>0</v>
      </c>
      <c r="Z45">
        <v>9</v>
      </c>
      <c r="AA45">
        <v>0</v>
      </c>
      <c r="AB45">
        <v>3</v>
      </c>
      <c r="AC45">
        <v>9</v>
      </c>
      <c r="AD45">
        <v>8</v>
      </c>
      <c r="AE45">
        <v>1</v>
      </c>
      <c r="AF45">
        <v>7</v>
      </c>
      <c r="AG45" t="s">
        <v>65</v>
      </c>
      <c r="AH45">
        <v>0</v>
      </c>
      <c r="AI45" t="s">
        <v>72</v>
      </c>
      <c r="AJ45" s="3" t="s">
        <v>84</v>
      </c>
      <c r="AK45" s="3">
        <v>0</v>
      </c>
      <c r="AL45" s="3" t="s">
        <v>83</v>
      </c>
    </row>
    <row r="46" spans="1:38" x14ac:dyDescent="0.3">
      <c r="A46">
        <v>30</v>
      </c>
      <c r="B46" t="s">
        <v>43</v>
      </c>
      <c r="C46" t="s">
        <v>44</v>
      </c>
      <c r="D46">
        <v>721</v>
      </c>
      <c r="E46" t="s">
        <v>45</v>
      </c>
      <c r="F46">
        <v>1</v>
      </c>
      <c r="G46">
        <v>2</v>
      </c>
      <c r="H46" t="s">
        <v>51</v>
      </c>
      <c r="I46">
        <v>57</v>
      </c>
      <c r="J46">
        <v>3</v>
      </c>
      <c r="K46" t="s">
        <v>39</v>
      </c>
      <c r="L46">
        <v>58</v>
      </c>
      <c r="M46">
        <v>3</v>
      </c>
      <c r="N46">
        <v>2</v>
      </c>
      <c r="O46" t="s">
        <v>50</v>
      </c>
      <c r="P46">
        <v>4</v>
      </c>
      <c r="Q46" t="s">
        <v>41</v>
      </c>
      <c r="R46">
        <v>4011</v>
      </c>
      <c r="S46">
        <v>10781</v>
      </c>
      <c r="T46">
        <v>1</v>
      </c>
      <c r="U46" t="s">
        <v>43</v>
      </c>
      <c r="V46">
        <v>23</v>
      </c>
      <c r="W46">
        <v>4</v>
      </c>
      <c r="X46">
        <v>4</v>
      </c>
      <c r="Y46">
        <v>0</v>
      </c>
      <c r="Z46">
        <v>12</v>
      </c>
      <c r="AA46">
        <v>2</v>
      </c>
      <c r="AB46">
        <v>3</v>
      </c>
      <c r="AC46">
        <v>12</v>
      </c>
      <c r="AD46">
        <v>8</v>
      </c>
      <c r="AE46">
        <v>3</v>
      </c>
      <c r="AF46">
        <v>7</v>
      </c>
      <c r="AG46" t="s">
        <v>65</v>
      </c>
      <c r="AH46">
        <v>0</v>
      </c>
      <c r="AI46" t="s">
        <v>72</v>
      </c>
      <c r="AJ46" s="3" t="s">
        <v>82</v>
      </c>
      <c r="AK46" s="3">
        <v>0</v>
      </c>
      <c r="AL46" s="3" t="s">
        <v>83</v>
      </c>
    </row>
    <row r="47" spans="1:38" x14ac:dyDescent="0.3">
      <c r="A47">
        <v>41</v>
      </c>
      <c r="B47" t="s">
        <v>35</v>
      </c>
      <c r="C47" t="s">
        <v>36</v>
      </c>
      <c r="D47">
        <v>1360</v>
      </c>
      <c r="E47" t="s">
        <v>45</v>
      </c>
      <c r="F47">
        <v>12</v>
      </c>
      <c r="G47">
        <v>3</v>
      </c>
      <c r="H47" t="s">
        <v>60</v>
      </c>
      <c r="I47">
        <v>58</v>
      </c>
      <c r="J47">
        <v>2</v>
      </c>
      <c r="K47" t="s">
        <v>39</v>
      </c>
      <c r="L47">
        <v>49</v>
      </c>
      <c r="M47">
        <v>3</v>
      </c>
      <c r="N47">
        <v>5</v>
      </c>
      <c r="O47" t="s">
        <v>58</v>
      </c>
      <c r="P47">
        <v>3</v>
      </c>
      <c r="Q47" t="s">
        <v>48</v>
      </c>
      <c r="R47">
        <v>19545</v>
      </c>
      <c r="S47">
        <v>16280</v>
      </c>
      <c r="T47">
        <v>1</v>
      </c>
      <c r="U47" t="s">
        <v>43</v>
      </c>
      <c r="V47">
        <v>12</v>
      </c>
      <c r="W47">
        <v>3</v>
      </c>
      <c r="X47">
        <v>4</v>
      </c>
      <c r="Y47">
        <v>0</v>
      </c>
      <c r="Z47">
        <v>23</v>
      </c>
      <c r="AA47">
        <v>0</v>
      </c>
      <c r="AB47">
        <v>3</v>
      </c>
      <c r="AC47">
        <v>22</v>
      </c>
      <c r="AD47">
        <v>15</v>
      </c>
      <c r="AE47">
        <v>15</v>
      </c>
      <c r="AF47">
        <v>8</v>
      </c>
      <c r="AG47" t="s">
        <v>65</v>
      </c>
      <c r="AH47">
        <v>1</v>
      </c>
      <c r="AI47" t="s">
        <v>71</v>
      </c>
      <c r="AJ47" s="3" t="s">
        <v>84</v>
      </c>
      <c r="AK47" s="3">
        <v>0</v>
      </c>
      <c r="AL47" s="3" t="s">
        <v>83</v>
      </c>
    </row>
    <row r="48" spans="1:38" x14ac:dyDescent="0.3">
      <c r="A48">
        <v>34</v>
      </c>
      <c r="B48" t="s">
        <v>43</v>
      </c>
      <c r="C48" t="s">
        <v>55</v>
      </c>
      <c r="D48">
        <v>1065</v>
      </c>
      <c r="E48" t="s">
        <v>37</v>
      </c>
      <c r="F48">
        <v>23</v>
      </c>
      <c r="G48">
        <v>4</v>
      </c>
      <c r="H48" t="s">
        <v>59</v>
      </c>
      <c r="I48">
        <v>60</v>
      </c>
      <c r="J48">
        <v>2</v>
      </c>
      <c r="K48" t="s">
        <v>46</v>
      </c>
      <c r="L48">
        <v>72</v>
      </c>
      <c r="M48">
        <v>3</v>
      </c>
      <c r="N48">
        <v>2</v>
      </c>
      <c r="O48" t="s">
        <v>40</v>
      </c>
      <c r="P48">
        <v>3</v>
      </c>
      <c r="Q48" t="s">
        <v>41</v>
      </c>
      <c r="R48">
        <v>4568</v>
      </c>
      <c r="S48">
        <v>10034</v>
      </c>
      <c r="T48">
        <v>0</v>
      </c>
      <c r="U48" t="s">
        <v>43</v>
      </c>
      <c r="V48">
        <v>20</v>
      </c>
      <c r="W48">
        <v>4</v>
      </c>
      <c r="X48">
        <v>3</v>
      </c>
      <c r="Y48">
        <v>0</v>
      </c>
      <c r="Z48">
        <v>10</v>
      </c>
      <c r="AA48">
        <v>2</v>
      </c>
      <c r="AB48">
        <v>3</v>
      </c>
      <c r="AC48">
        <v>9</v>
      </c>
      <c r="AD48">
        <v>5</v>
      </c>
      <c r="AE48">
        <v>8</v>
      </c>
      <c r="AF48">
        <v>7</v>
      </c>
      <c r="AG48" t="s">
        <v>65</v>
      </c>
      <c r="AH48">
        <v>0</v>
      </c>
      <c r="AI48" t="s">
        <v>70</v>
      </c>
      <c r="AJ48" s="3" t="s">
        <v>84</v>
      </c>
      <c r="AK48" s="3">
        <v>0</v>
      </c>
      <c r="AL48" s="3" t="s">
        <v>83</v>
      </c>
    </row>
    <row r="49" spans="1:38" x14ac:dyDescent="0.3">
      <c r="A49">
        <v>37</v>
      </c>
      <c r="B49" t="s">
        <v>43</v>
      </c>
      <c r="C49" t="s">
        <v>36</v>
      </c>
      <c r="D49">
        <v>408</v>
      </c>
      <c r="E49" t="s">
        <v>45</v>
      </c>
      <c r="F49">
        <v>19</v>
      </c>
      <c r="G49">
        <v>2</v>
      </c>
      <c r="H49" t="s">
        <v>38</v>
      </c>
      <c r="I49">
        <v>61</v>
      </c>
      <c r="J49">
        <v>2</v>
      </c>
      <c r="K49" t="s">
        <v>46</v>
      </c>
      <c r="L49">
        <v>73</v>
      </c>
      <c r="M49">
        <v>3</v>
      </c>
      <c r="N49">
        <v>1</v>
      </c>
      <c r="O49" t="s">
        <v>47</v>
      </c>
      <c r="P49">
        <v>2</v>
      </c>
      <c r="Q49" t="s">
        <v>48</v>
      </c>
      <c r="R49">
        <v>3022</v>
      </c>
      <c r="S49">
        <v>10227</v>
      </c>
      <c r="T49">
        <v>4</v>
      </c>
      <c r="U49" t="s">
        <v>43</v>
      </c>
      <c r="V49">
        <v>21</v>
      </c>
      <c r="W49">
        <v>4</v>
      </c>
      <c r="X49">
        <v>1</v>
      </c>
      <c r="Y49">
        <v>0</v>
      </c>
      <c r="Z49">
        <v>8</v>
      </c>
      <c r="AA49">
        <v>1</v>
      </c>
      <c r="AB49">
        <v>3</v>
      </c>
      <c r="AC49">
        <v>1</v>
      </c>
      <c r="AD49">
        <v>0</v>
      </c>
      <c r="AE49">
        <v>0</v>
      </c>
      <c r="AF49">
        <v>0</v>
      </c>
      <c r="AG49" t="s">
        <v>67</v>
      </c>
      <c r="AH49">
        <v>0</v>
      </c>
      <c r="AI49" t="s">
        <v>71</v>
      </c>
      <c r="AJ49" s="3" t="s">
        <v>83</v>
      </c>
      <c r="AK49" s="3">
        <v>2</v>
      </c>
      <c r="AL49" s="3" t="s">
        <v>84</v>
      </c>
    </row>
    <row r="50" spans="1:38" x14ac:dyDescent="0.3">
      <c r="A50">
        <v>46</v>
      </c>
      <c r="B50" t="s">
        <v>43</v>
      </c>
      <c r="C50" t="s">
        <v>44</v>
      </c>
      <c r="D50">
        <v>1211</v>
      </c>
      <c r="E50" t="s">
        <v>37</v>
      </c>
      <c r="F50">
        <v>5</v>
      </c>
      <c r="G50">
        <v>4</v>
      </c>
      <c r="H50" t="s">
        <v>59</v>
      </c>
      <c r="I50">
        <v>62</v>
      </c>
      <c r="J50">
        <v>1</v>
      </c>
      <c r="K50" t="s">
        <v>46</v>
      </c>
      <c r="L50">
        <v>98</v>
      </c>
      <c r="M50">
        <v>3</v>
      </c>
      <c r="N50">
        <v>2</v>
      </c>
      <c r="O50" t="s">
        <v>40</v>
      </c>
      <c r="P50">
        <v>4</v>
      </c>
      <c r="Q50" t="s">
        <v>41</v>
      </c>
      <c r="R50">
        <v>5772</v>
      </c>
      <c r="S50">
        <v>20445</v>
      </c>
      <c r="T50">
        <v>4</v>
      </c>
      <c r="U50" t="s">
        <v>35</v>
      </c>
      <c r="V50">
        <v>21</v>
      </c>
      <c r="W50">
        <v>4</v>
      </c>
      <c r="X50">
        <v>3</v>
      </c>
      <c r="Y50">
        <v>0</v>
      </c>
      <c r="Z50">
        <v>14</v>
      </c>
      <c r="AA50">
        <v>4</v>
      </c>
      <c r="AB50">
        <v>3</v>
      </c>
      <c r="AC50">
        <v>9</v>
      </c>
      <c r="AD50">
        <v>6</v>
      </c>
      <c r="AE50">
        <v>0</v>
      </c>
      <c r="AF50">
        <v>8</v>
      </c>
      <c r="AG50" t="s">
        <v>65</v>
      </c>
      <c r="AH50">
        <v>0</v>
      </c>
      <c r="AI50" t="s">
        <v>71</v>
      </c>
      <c r="AJ50" s="3" t="s">
        <v>82</v>
      </c>
      <c r="AK50" s="3">
        <v>1</v>
      </c>
      <c r="AL50" s="3" t="s">
        <v>83</v>
      </c>
    </row>
    <row r="51" spans="1:38" x14ac:dyDescent="0.3">
      <c r="A51">
        <v>35</v>
      </c>
      <c r="B51" t="s">
        <v>43</v>
      </c>
      <c r="C51" t="s">
        <v>36</v>
      </c>
      <c r="D51">
        <v>1229</v>
      </c>
      <c r="E51" t="s">
        <v>45</v>
      </c>
      <c r="F51">
        <v>8</v>
      </c>
      <c r="G51">
        <v>1</v>
      </c>
      <c r="H51" t="s">
        <v>38</v>
      </c>
      <c r="I51">
        <v>63</v>
      </c>
      <c r="J51">
        <v>4</v>
      </c>
      <c r="K51" t="s">
        <v>46</v>
      </c>
      <c r="L51">
        <v>36</v>
      </c>
      <c r="M51">
        <v>4</v>
      </c>
      <c r="N51">
        <v>1</v>
      </c>
      <c r="O51" t="s">
        <v>50</v>
      </c>
      <c r="P51">
        <v>4</v>
      </c>
      <c r="Q51" t="s">
        <v>48</v>
      </c>
      <c r="R51">
        <v>2269</v>
      </c>
      <c r="S51">
        <v>4892</v>
      </c>
      <c r="T51">
        <v>1</v>
      </c>
      <c r="U51" t="s">
        <v>43</v>
      </c>
      <c r="V51">
        <v>19</v>
      </c>
      <c r="W51">
        <v>3</v>
      </c>
      <c r="X51">
        <v>4</v>
      </c>
      <c r="Y51">
        <v>0</v>
      </c>
      <c r="Z51">
        <v>1</v>
      </c>
      <c r="AA51">
        <v>2</v>
      </c>
      <c r="AB51">
        <v>3</v>
      </c>
      <c r="AC51">
        <v>1</v>
      </c>
      <c r="AD51">
        <v>0</v>
      </c>
      <c r="AE51">
        <v>0</v>
      </c>
      <c r="AF51">
        <v>1</v>
      </c>
      <c r="AG51" t="s">
        <v>67</v>
      </c>
      <c r="AH51">
        <v>0</v>
      </c>
      <c r="AI51" t="s">
        <v>70</v>
      </c>
      <c r="AJ51" s="3" t="s">
        <v>82</v>
      </c>
      <c r="AK51" s="3">
        <v>1</v>
      </c>
      <c r="AL51" s="3" t="s">
        <v>83</v>
      </c>
    </row>
    <row r="52" spans="1:38" x14ac:dyDescent="0.3">
      <c r="A52">
        <v>48</v>
      </c>
      <c r="B52" t="s">
        <v>35</v>
      </c>
      <c r="C52" t="s">
        <v>36</v>
      </c>
      <c r="D52">
        <v>626</v>
      </c>
      <c r="E52" t="s">
        <v>45</v>
      </c>
      <c r="F52">
        <v>1</v>
      </c>
      <c r="G52">
        <v>2</v>
      </c>
      <c r="H52" t="s">
        <v>38</v>
      </c>
      <c r="I52">
        <v>64</v>
      </c>
      <c r="J52">
        <v>1</v>
      </c>
      <c r="K52" t="s">
        <v>46</v>
      </c>
      <c r="L52">
        <v>98</v>
      </c>
      <c r="M52">
        <v>2</v>
      </c>
      <c r="N52">
        <v>3</v>
      </c>
      <c r="O52" t="s">
        <v>50</v>
      </c>
      <c r="P52">
        <v>3</v>
      </c>
      <c r="Q52" t="s">
        <v>41</v>
      </c>
      <c r="R52">
        <v>5381</v>
      </c>
      <c r="S52">
        <v>19294</v>
      </c>
      <c r="T52">
        <v>9</v>
      </c>
      <c r="U52" t="s">
        <v>35</v>
      </c>
      <c r="V52">
        <v>13</v>
      </c>
      <c r="W52">
        <v>3</v>
      </c>
      <c r="X52">
        <v>4</v>
      </c>
      <c r="Y52">
        <v>0</v>
      </c>
      <c r="Z52">
        <v>23</v>
      </c>
      <c r="AA52">
        <v>2</v>
      </c>
      <c r="AB52">
        <v>3</v>
      </c>
      <c r="AC52">
        <v>1</v>
      </c>
      <c r="AD52">
        <v>0</v>
      </c>
      <c r="AE52">
        <v>0</v>
      </c>
      <c r="AF52">
        <v>0</v>
      </c>
      <c r="AG52" t="s">
        <v>67</v>
      </c>
      <c r="AH52">
        <v>1</v>
      </c>
      <c r="AI52" t="s">
        <v>71</v>
      </c>
      <c r="AJ52" s="3" t="s">
        <v>84</v>
      </c>
      <c r="AK52" s="3">
        <v>2</v>
      </c>
      <c r="AL52" s="3" t="s">
        <v>84</v>
      </c>
    </row>
    <row r="53" spans="1:38" x14ac:dyDescent="0.3">
      <c r="A53">
        <v>28</v>
      </c>
      <c r="B53" t="s">
        <v>35</v>
      </c>
      <c r="C53" t="s">
        <v>36</v>
      </c>
      <c r="D53">
        <v>1434</v>
      </c>
      <c r="E53" t="s">
        <v>45</v>
      </c>
      <c r="F53">
        <v>5</v>
      </c>
      <c r="G53">
        <v>4</v>
      </c>
      <c r="H53" t="s">
        <v>60</v>
      </c>
      <c r="I53">
        <v>65</v>
      </c>
      <c r="J53">
        <v>3</v>
      </c>
      <c r="K53" t="s">
        <v>46</v>
      </c>
      <c r="L53">
        <v>50</v>
      </c>
      <c r="M53">
        <v>3</v>
      </c>
      <c r="N53">
        <v>1</v>
      </c>
      <c r="O53" t="s">
        <v>50</v>
      </c>
      <c r="P53">
        <v>3</v>
      </c>
      <c r="Q53" t="s">
        <v>41</v>
      </c>
      <c r="R53">
        <v>3441</v>
      </c>
      <c r="S53">
        <v>11179</v>
      </c>
      <c r="T53">
        <v>1</v>
      </c>
      <c r="U53" t="s">
        <v>35</v>
      </c>
      <c r="V53">
        <v>13</v>
      </c>
      <c r="W53">
        <v>3</v>
      </c>
      <c r="X53">
        <v>3</v>
      </c>
      <c r="Y53">
        <v>0</v>
      </c>
      <c r="Z53">
        <v>2</v>
      </c>
      <c r="AA53">
        <v>3</v>
      </c>
      <c r="AB53">
        <v>2</v>
      </c>
      <c r="AC53">
        <v>2</v>
      </c>
      <c r="AD53">
        <v>2</v>
      </c>
      <c r="AE53">
        <v>2</v>
      </c>
      <c r="AF53">
        <v>2</v>
      </c>
      <c r="AG53" t="s">
        <v>67</v>
      </c>
      <c r="AH53">
        <v>1</v>
      </c>
      <c r="AI53" t="s">
        <v>70</v>
      </c>
      <c r="AJ53" s="3" t="s">
        <v>84</v>
      </c>
      <c r="AK53" s="3">
        <v>2</v>
      </c>
      <c r="AL53" s="3" t="s">
        <v>84</v>
      </c>
    </row>
    <row r="54" spans="1:38" x14ac:dyDescent="0.3">
      <c r="A54">
        <v>44</v>
      </c>
      <c r="B54" t="s">
        <v>43</v>
      </c>
      <c r="C54" t="s">
        <v>36</v>
      </c>
      <c r="D54">
        <v>1488</v>
      </c>
      <c r="E54" t="s">
        <v>37</v>
      </c>
      <c r="F54">
        <v>1</v>
      </c>
      <c r="G54">
        <v>5</v>
      </c>
      <c r="H54" t="s">
        <v>59</v>
      </c>
      <c r="I54">
        <v>68</v>
      </c>
      <c r="J54">
        <v>2</v>
      </c>
      <c r="K54" t="s">
        <v>39</v>
      </c>
      <c r="L54">
        <v>75</v>
      </c>
      <c r="M54">
        <v>3</v>
      </c>
      <c r="N54">
        <v>2</v>
      </c>
      <c r="O54" t="s">
        <v>40</v>
      </c>
      <c r="P54">
        <v>1</v>
      </c>
      <c r="Q54" t="s">
        <v>52</v>
      </c>
      <c r="R54">
        <v>5454</v>
      </c>
      <c r="S54">
        <v>4009</v>
      </c>
      <c r="T54">
        <v>5</v>
      </c>
      <c r="U54" t="s">
        <v>35</v>
      </c>
      <c r="V54">
        <v>21</v>
      </c>
      <c r="W54">
        <v>4</v>
      </c>
      <c r="X54">
        <v>3</v>
      </c>
      <c r="Y54">
        <v>1</v>
      </c>
      <c r="Z54">
        <v>9</v>
      </c>
      <c r="AA54">
        <v>2</v>
      </c>
      <c r="AB54">
        <v>2</v>
      </c>
      <c r="AC54">
        <v>4</v>
      </c>
      <c r="AD54">
        <v>3</v>
      </c>
      <c r="AE54">
        <v>1</v>
      </c>
      <c r="AF54">
        <v>3</v>
      </c>
      <c r="AG54" t="s">
        <v>68</v>
      </c>
      <c r="AH54">
        <v>0</v>
      </c>
      <c r="AI54" t="s">
        <v>72</v>
      </c>
      <c r="AJ54" s="3" t="s">
        <v>83</v>
      </c>
      <c r="AK54" s="3">
        <v>2</v>
      </c>
      <c r="AL54" s="3" t="s">
        <v>84</v>
      </c>
    </row>
    <row r="55" spans="1:38" x14ac:dyDescent="0.3">
      <c r="A55">
        <v>35</v>
      </c>
      <c r="B55" t="s">
        <v>43</v>
      </c>
      <c r="C55" t="s">
        <v>55</v>
      </c>
      <c r="D55">
        <v>1097</v>
      </c>
      <c r="E55" t="s">
        <v>45</v>
      </c>
      <c r="F55">
        <v>11</v>
      </c>
      <c r="G55">
        <v>2</v>
      </c>
      <c r="H55" t="s">
        <v>51</v>
      </c>
      <c r="I55">
        <v>70</v>
      </c>
      <c r="J55">
        <v>3</v>
      </c>
      <c r="K55" t="s">
        <v>46</v>
      </c>
      <c r="L55">
        <v>79</v>
      </c>
      <c r="M55">
        <v>2</v>
      </c>
      <c r="N55">
        <v>3</v>
      </c>
      <c r="O55" t="s">
        <v>54</v>
      </c>
      <c r="P55">
        <v>1</v>
      </c>
      <c r="Q55" t="s">
        <v>48</v>
      </c>
      <c r="R55">
        <v>9884</v>
      </c>
      <c r="S55">
        <v>8302</v>
      </c>
      <c r="T55">
        <v>2</v>
      </c>
      <c r="U55" t="s">
        <v>35</v>
      </c>
      <c r="V55">
        <v>13</v>
      </c>
      <c r="W55">
        <v>3</v>
      </c>
      <c r="X55">
        <v>3</v>
      </c>
      <c r="Y55">
        <v>1</v>
      </c>
      <c r="Z55">
        <v>10</v>
      </c>
      <c r="AA55">
        <v>3</v>
      </c>
      <c r="AB55">
        <v>3</v>
      </c>
      <c r="AC55">
        <v>4</v>
      </c>
      <c r="AD55">
        <v>0</v>
      </c>
      <c r="AE55">
        <v>2</v>
      </c>
      <c r="AF55">
        <v>3</v>
      </c>
      <c r="AG55" t="s">
        <v>68</v>
      </c>
      <c r="AH55">
        <v>0</v>
      </c>
      <c r="AI55" t="s">
        <v>70</v>
      </c>
      <c r="AJ55" s="3" t="s">
        <v>83</v>
      </c>
      <c r="AK55" s="3">
        <v>2</v>
      </c>
      <c r="AL55" s="3" t="s">
        <v>84</v>
      </c>
    </row>
    <row r="56" spans="1:38" x14ac:dyDescent="0.3">
      <c r="A56">
        <v>26</v>
      </c>
      <c r="B56" t="s">
        <v>43</v>
      </c>
      <c r="C56" t="s">
        <v>36</v>
      </c>
      <c r="D56">
        <v>1443</v>
      </c>
      <c r="E56" t="s">
        <v>37</v>
      </c>
      <c r="F56">
        <v>23</v>
      </c>
      <c r="G56">
        <v>3</v>
      </c>
      <c r="H56" t="s">
        <v>59</v>
      </c>
      <c r="I56">
        <v>72</v>
      </c>
      <c r="J56">
        <v>3</v>
      </c>
      <c r="K56" t="s">
        <v>39</v>
      </c>
      <c r="L56">
        <v>47</v>
      </c>
      <c r="M56">
        <v>2</v>
      </c>
      <c r="N56">
        <v>2</v>
      </c>
      <c r="O56" t="s">
        <v>40</v>
      </c>
      <c r="P56">
        <v>4</v>
      </c>
      <c r="Q56" t="s">
        <v>48</v>
      </c>
      <c r="R56">
        <v>4157</v>
      </c>
      <c r="S56">
        <v>21436</v>
      </c>
      <c r="T56">
        <v>7</v>
      </c>
      <c r="U56" t="s">
        <v>35</v>
      </c>
      <c r="V56">
        <v>19</v>
      </c>
      <c r="W56">
        <v>3</v>
      </c>
      <c r="X56">
        <v>3</v>
      </c>
      <c r="Y56">
        <v>1</v>
      </c>
      <c r="Z56">
        <v>5</v>
      </c>
      <c r="AA56">
        <v>2</v>
      </c>
      <c r="AB56">
        <v>2</v>
      </c>
      <c r="AC56">
        <v>2</v>
      </c>
      <c r="AD56">
        <v>2</v>
      </c>
      <c r="AE56">
        <v>0</v>
      </c>
      <c r="AF56">
        <v>0</v>
      </c>
      <c r="AG56" t="s">
        <v>67</v>
      </c>
      <c r="AH56">
        <v>0</v>
      </c>
      <c r="AI56" t="s">
        <v>71</v>
      </c>
      <c r="AJ56" s="3" t="s">
        <v>82</v>
      </c>
      <c r="AK56" s="3">
        <v>2</v>
      </c>
      <c r="AL56" s="3" t="s">
        <v>84</v>
      </c>
    </row>
    <row r="57" spans="1:38" x14ac:dyDescent="0.3">
      <c r="A57">
        <v>33</v>
      </c>
      <c r="B57" t="s">
        <v>43</v>
      </c>
      <c r="C57" t="s">
        <v>44</v>
      </c>
      <c r="D57">
        <v>515</v>
      </c>
      <c r="E57" t="s">
        <v>45</v>
      </c>
      <c r="F57">
        <v>1</v>
      </c>
      <c r="G57">
        <v>2</v>
      </c>
      <c r="H57" t="s">
        <v>38</v>
      </c>
      <c r="I57">
        <v>73</v>
      </c>
      <c r="J57">
        <v>1</v>
      </c>
      <c r="K57" t="s">
        <v>39</v>
      </c>
      <c r="L57">
        <v>98</v>
      </c>
      <c r="M57">
        <v>3</v>
      </c>
      <c r="N57">
        <v>3</v>
      </c>
      <c r="O57" t="s">
        <v>58</v>
      </c>
      <c r="P57">
        <v>4</v>
      </c>
      <c r="Q57" t="s">
        <v>41</v>
      </c>
      <c r="R57">
        <v>13458</v>
      </c>
      <c r="S57">
        <v>15146</v>
      </c>
      <c r="T57">
        <v>1</v>
      </c>
      <c r="U57" t="s">
        <v>35</v>
      </c>
      <c r="V57">
        <v>12</v>
      </c>
      <c r="W57">
        <v>3</v>
      </c>
      <c r="X57">
        <v>3</v>
      </c>
      <c r="Y57">
        <v>0</v>
      </c>
      <c r="Z57">
        <v>15</v>
      </c>
      <c r="AA57">
        <v>1</v>
      </c>
      <c r="AB57">
        <v>3</v>
      </c>
      <c r="AC57">
        <v>15</v>
      </c>
      <c r="AD57">
        <v>14</v>
      </c>
      <c r="AE57">
        <v>8</v>
      </c>
      <c r="AF57">
        <v>12</v>
      </c>
      <c r="AG57" t="s">
        <v>65</v>
      </c>
      <c r="AH57">
        <v>0</v>
      </c>
      <c r="AI57" t="s">
        <v>72</v>
      </c>
      <c r="AJ57" s="3" t="s">
        <v>82</v>
      </c>
      <c r="AK57" s="3">
        <v>1</v>
      </c>
      <c r="AL57" s="3" t="s">
        <v>83</v>
      </c>
    </row>
    <row r="58" spans="1:38" x14ac:dyDescent="0.3">
      <c r="A58">
        <v>35</v>
      </c>
      <c r="B58" t="s">
        <v>43</v>
      </c>
      <c r="C58" t="s">
        <v>44</v>
      </c>
      <c r="D58">
        <v>853</v>
      </c>
      <c r="E58" t="s">
        <v>37</v>
      </c>
      <c r="F58">
        <v>18</v>
      </c>
      <c r="G58">
        <v>5</v>
      </c>
      <c r="H58" t="s">
        <v>38</v>
      </c>
      <c r="I58">
        <v>74</v>
      </c>
      <c r="J58">
        <v>2</v>
      </c>
      <c r="K58" t="s">
        <v>46</v>
      </c>
      <c r="L58">
        <v>71</v>
      </c>
      <c r="M58">
        <v>3</v>
      </c>
      <c r="N58">
        <v>3</v>
      </c>
      <c r="O58" t="s">
        <v>40</v>
      </c>
      <c r="P58">
        <v>1</v>
      </c>
      <c r="Q58" t="s">
        <v>48</v>
      </c>
      <c r="R58">
        <v>9069</v>
      </c>
      <c r="S58">
        <v>11031</v>
      </c>
      <c r="T58">
        <v>1</v>
      </c>
      <c r="U58" t="s">
        <v>43</v>
      </c>
      <c r="V58">
        <v>22</v>
      </c>
      <c r="W58">
        <v>4</v>
      </c>
      <c r="X58">
        <v>4</v>
      </c>
      <c r="Y58">
        <v>1</v>
      </c>
      <c r="Z58">
        <v>9</v>
      </c>
      <c r="AA58">
        <v>3</v>
      </c>
      <c r="AB58">
        <v>2</v>
      </c>
      <c r="AC58">
        <v>9</v>
      </c>
      <c r="AD58">
        <v>8</v>
      </c>
      <c r="AE58">
        <v>1</v>
      </c>
      <c r="AF58">
        <v>8</v>
      </c>
      <c r="AG58" t="s">
        <v>65</v>
      </c>
      <c r="AH58">
        <v>0</v>
      </c>
      <c r="AI58" t="s">
        <v>71</v>
      </c>
      <c r="AJ58" s="3" t="s">
        <v>83</v>
      </c>
      <c r="AK58" s="3">
        <v>1</v>
      </c>
      <c r="AL58" s="3" t="s">
        <v>83</v>
      </c>
    </row>
    <row r="59" spans="1:38" x14ac:dyDescent="0.3">
      <c r="A59">
        <v>35</v>
      </c>
      <c r="B59" t="s">
        <v>43</v>
      </c>
      <c r="C59" t="s">
        <v>36</v>
      </c>
      <c r="D59">
        <v>1142</v>
      </c>
      <c r="E59" t="s">
        <v>45</v>
      </c>
      <c r="F59">
        <v>23</v>
      </c>
      <c r="G59">
        <v>4</v>
      </c>
      <c r="H59" t="s">
        <v>51</v>
      </c>
      <c r="I59">
        <v>75</v>
      </c>
      <c r="J59">
        <v>3</v>
      </c>
      <c r="K59" t="s">
        <v>39</v>
      </c>
      <c r="L59">
        <v>30</v>
      </c>
      <c r="M59">
        <v>3</v>
      </c>
      <c r="N59">
        <v>1</v>
      </c>
      <c r="O59" t="s">
        <v>50</v>
      </c>
      <c r="P59">
        <v>1</v>
      </c>
      <c r="Q59" t="s">
        <v>48</v>
      </c>
      <c r="R59">
        <v>4014</v>
      </c>
      <c r="S59">
        <v>16002</v>
      </c>
      <c r="T59">
        <v>3</v>
      </c>
      <c r="U59" t="s">
        <v>35</v>
      </c>
      <c r="V59">
        <v>15</v>
      </c>
      <c r="W59">
        <v>3</v>
      </c>
      <c r="X59">
        <v>3</v>
      </c>
      <c r="Y59">
        <v>1</v>
      </c>
      <c r="Z59">
        <v>4</v>
      </c>
      <c r="AA59">
        <v>3</v>
      </c>
      <c r="AB59">
        <v>3</v>
      </c>
      <c r="AC59">
        <v>2</v>
      </c>
      <c r="AD59">
        <v>2</v>
      </c>
      <c r="AE59">
        <v>2</v>
      </c>
      <c r="AF59">
        <v>2</v>
      </c>
      <c r="AG59" t="s">
        <v>67</v>
      </c>
      <c r="AH59">
        <v>0</v>
      </c>
      <c r="AI59" t="s">
        <v>71</v>
      </c>
      <c r="AJ59" s="3" t="s">
        <v>83</v>
      </c>
      <c r="AK59" s="3">
        <v>3</v>
      </c>
      <c r="AL59" s="3" t="s">
        <v>82</v>
      </c>
    </row>
    <row r="60" spans="1:38" x14ac:dyDescent="0.3">
      <c r="A60">
        <v>31</v>
      </c>
      <c r="B60" t="s">
        <v>43</v>
      </c>
      <c r="C60" t="s">
        <v>36</v>
      </c>
      <c r="D60">
        <v>655</v>
      </c>
      <c r="E60" t="s">
        <v>45</v>
      </c>
      <c r="F60">
        <v>7</v>
      </c>
      <c r="G60">
        <v>4</v>
      </c>
      <c r="H60" t="s">
        <v>38</v>
      </c>
      <c r="I60">
        <v>76</v>
      </c>
      <c r="J60">
        <v>4</v>
      </c>
      <c r="K60" t="s">
        <v>46</v>
      </c>
      <c r="L60">
        <v>48</v>
      </c>
      <c r="M60">
        <v>3</v>
      </c>
      <c r="N60">
        <v>2</v>
      </c>
      <c r="O60" t="s">
        <v>50</v>
      </c>
      <c r="P60">
        <v>4</v>
      </c>
      <c r="Q60" t="s">
        <v>52</v>
      </c>
      <c r="R60">
        <v>5915</v>
      </c>
      <c r="S60">
        <v>9528</v>
      </c>
      <c r="T60">
        <v>3</v>
      </c>
      <c r="U60" t="s">
        <v>43</v>
      </c>
      <c r="V60">
        <v>22</v>
      </c>
      <c r="W60">
        <v>4</v>
      </c>
      <c r="X60">
        <v>4</v>
      </c>
      <c r="Y60">
        <v>1</v>
      </c>
      <c r="Z60">
        <v>10</v>
      </c>
      <c r="AA60">
        <v>3</v>
      </c>
      <c r="AB60">
        <v>2</v>
      </c>
      <c r="AC60">
        <v>7</v>
      </c>
      <c r="AD60">
        <v>7</v>
      </c>
      <c r="AE60">
        <v>1</v>
      </c>
      <c r="AF60">
        <v>7</v>
      </c>
      <c r="AG60" t="s">
        <v>65</v>
      </c>
      <c r="AH60">
        <v>0</v>
      </c>
      <c r="AI60" t="s">
        <v>71</v>
      </c>
      <c r="AJ60" s="3" t="s">
        <v>82</v>
      </c>
      <c r="AK60" s="3">
        <v>0</v>
      </c>
      <c r="AL60" s="3" t="s">
        <v>83</v>
      </c>
    </row>
    <row r="61" spans="1:38" x14ac:dyDescent="0.3">
      <c r="A61">
        <v>37</v>
      </c>
      <c r="B61" t="s">
        <v>43</v>
      </c>
      <c r="C61" t="s">
        <v>36</v>
      </c>
      <c r="D61">
        <v>1115</v>
      </c>
      <c r="E61" t="s">
        <v>45</v>
      </c>
      <c r="F61">
        <v>1</v>
      </c>
      <c r="G61">
        <v>4</v>
      </c>
      <c r="H61" t="s">
        <v>38</v>
      </c>
      <c r="I61">
        <v>77</v>
      </c>
      <c r="J61">
        <v>1</v>
      </c>
      <c r="K61" t="s">
        <v>46</v>
      </c>
      <c r="L61">
        <v>51</v>
      </c>
      <c r="M61">
        <v>2</v>
      </c>
      <c r="N61">
        <v>2</v>
      </c>
      <c r="O61" t="s">
        <v>53</v>
      </c>
      <c r="P61">
        <v>3</v>
      </c>
      <c r="Q61" t="s">
        <v>52</v>
      </c>
      <c r="R61">
        <v>5993</v>
      </c>
      <c r="S61">
        <v>2689</v>
      </c>
      <c r="T61">
        <v>1</v>
      </c>
      <c r="U61" t="s">
        <v>43</v>
      </c>
      <c r="V61">
        <v>18</v>
      </c>
      <c r="W61">
        <v>3</v>
      </c>
      <c r="X61">
        <v>3</v>
      </c>
      <c r="Y61">
        <v>1</v>
      </c>
      <c r="Z61">
        <v>7</v>
      </c>
      <c r="AA61">
        <v>2</v>
      </c>
      <c r="AB61">
        <v>4</v>
      </c>
      <c r="AC61">
        <v>7</v>
      </c>
      <c r="AD61">
        <v>5</v>
      </c>
      <c r="AE61">
        <v>0</v>
      </c>
      <c r="AF61">
        <v>7</v>
      </c>
      <c r="AG61" t="s">
        <v>65</v>
      </c>
      <c r="AH61">
        <v>0</v>
      </c>
      <c r="AI61" t="s">
        <v>71</v>
      </c>
      <c r="AJ61" s="3" t="s">
        <v>84</v>
      </c>
      <c r="AK61" s="3">
        <v>0</v>
      </c>
      <c r="AL61" s="3" t="s">
        <v>83</v>
      </c>
    </row>
    <row r="62" spans="1:38" x14ac:dyDescent="0.3">
      <c r="A62">
        <v>32</v>
      </c>
      <c r="B62" t="s">
        <v>43</v>
      </c>
      <c r="C62" t="s">
        <v>36</v>
      </c>
      <c r="D62">
        <v>427</v>
      </c>
      <c r="E62" t="s">
        <v>45</v>
      </c>
      <c r="F62">
        <v>1</v>
      </c>
      <c r="G62">
        <v>3</v>
      </c>
      <c r="H62" t="s">
        <v>51</v>
      </c>
      <c r="I62">
        <v>78</v>
      </c>
      <c r="J62">
        <v>1</v>
      </c>
      <c r="K62" t="s">
        <v>46</v>
      </c>
      <c r="L62">
        <v>33</v>
      </c>
      <c r="M62">
        <v>3</v>
      </c>
      <c r="N62">
        <v>2</v>
      </c>
      <c r="O62" t="s">
        <v>53</v>
      </c>
      <c r="P62">
        <v>4</v>
      </c>
      <c r="Q62" t="s">
        <v>48</v>
      </c>
      <c r="R62">
        <v>6162</v>
      </c>
      <c r="S62">
        <v>10877</v>
      </c>
      <c r="T62">
        <v>1</v>
      </c>
      <c r="U62" t="s">
        <v>35</v>
      </c>
      <c r="V62">
        <v>22</v>
      </c>
      <c r="W62">
        <v>4</v>
      </c>
      <c r="X62">
        <v>2</v>
      </c>
      <c r="Y62">
        <v>1</v>
      </c>
      <c r="Z62">
        <v>9</v>
      </c>
      <c r="AA62">
        <v>3</v>
      </c>
      <c r="AB62">
        <v>3</v>
      </c>
      <c r="AC62">
        <v>9</v>
      </c>
      <c r="AD62">
        <v>8</v>
      </c>
      <c r="AE62">
        <v>7</v>
      </c>
      <c r="AF62">
        <v>8</v>
      </c>
      <c r="AG62" t="s">
        <v>65</v>
      </c>
      <c r="AH62">
        <v>0</v>
      </c>
      <c r="AI62" t="s">
        <v>71</v>
      </c>
      <c r="AJ62" s="3" t="s">
        <v>82</v>
      </c>
      <c r="AK62" s="3">
        <v>1</v>
      </c>
      <c r="AL62" s="3" t="s">
        <v>83</v>
      </c>
    </row>
    <row r="63" spans="1:38" x14ac:dyDescent="0.3">
      <c r="A63">
        <v>38</v>
      </c>
      <c r="B63" t="s">
        <v>43</v>
      </c>
      <c r="C63" t="s">
        <v>44</v>
      </c>
      <c r="D63">
        <v>653</v>
      </c>
      <c r="E63" t="s">
        <v>45</v>
      </c>
      <c r="F63">
        <v>29</v>
      </c>
      <c r="G63">
        <v>5</v>
      </c>
      <c r="H63" t="s">
        <v>38</v>
      </c>
      <c r="I63">
        <v>79</v>
      </c>
      <c r="J63">
        <v>4</v>
      </c>
      <c r="K63" t="s">
        <v>39</v>
      </c>
      <c r="L63">
        <v>50</v>
      </c>
      <c r="M63">
        <v>3</v>
      </c>
      <c r="N63">
        <v>2</v>
      </c>
      <c r="O63" t="s">
        <v>50</v>
      </c>
      <c r="P63">
        <v>4</v>
      </c>
      <c r="Q63" t="s">
        <v>41</v>
      </c>
      <c r="R63">
        <v>2406</v>
      </c>
      <c r="S63">
        <v>5456</v>
      </c>
      <c r="T63">
        <v>1</v>
      </c>
      <c r="U63" t="s">
        <v>43</v>
      </c>
      <c r="V63">
        <v>11</v>
      </c>
      <c r="W63">
        <v>3</v>
      </c>
      <c r="X63">
        <v>4</v>
      </c>
      <c r="Y63">
        <v>0</v>
      </c>
      <c r="Z63">
        <v>10</v>
      </c>
      <c r="AA63">
        <v>2</v>
      </c>
      <c r="AB63">
        <v>3</v>
      </c>
      <c r="AC63">
        <v>10</v>
      </c>
      <c r="AD63">
        <v>3</v>
      </c>
      <c r="AE63">
        <v>9</v>
      </c>
      <c r="AF63">
        <v>9</v>
      </c>
      <c r="AG63" t="s">
        <v>65</v>
      </c>
      <c r="AH63">
        <v>0</v>
      </c>
      <c r="AI63" t="s">
        <v>71</v>
      </c>
      <c r="AJ63" s="3" t="s">
        <v>82</v>
      </c>
      <c r="AK63" s="3">
        <v>0</v>
      </c>
      <c r="AL63" s="3" t="s">
        <v>83</v>
      </c>
    </row>
    <row r="64" spans="1:38" x14ac:dyDescent="0.3">
      <c r="A64">
        <v>50</v>
      </c>
      <c r="B64" t="s">
        <v>43</v>
      </c>
      <c r="C64" t="s">
        <v>36</v>
      </c>
      <c r="D64">
        <v>989</v>
      </c>
      <c r="E64" t="s">
        <v>45</v>
      </c>
      <c r="F64">
        <v>7</v>
      </c>
      <c r="G64">
        <v>2</v>
      </c>
      <c r="H64" t="s">
        <v>51</v>
      </c>
      <c r="I64">
        <v>80</v>
      </c>
      <c r="J64">
        <v>2</v>
      </c>
      <c r="K64" t="s">
        <v>39</v>
      </c>
      <c r="L64">
        <v>43</v>
      </c>
      <c r="M64">
        <v>2</v>
      </c>
      <c r="N64">
        <v>5</v>
      </c>
      <c r="O64" t="s">
        <v>58</v>
      </c>
      <c r="P64">
        <v>3</v>
      </c>
      <c r="Q64" t="s">
        <v>52</v>
      </c>
      <c r="R64">
        <v>18740</v>
      </c>
      <c r="S64">
        <v>16701</v>
      </c>
      <c r="T64">
        <v>5</v>
      </c>
      <c r="U64" t="s">
        <v>35</v>
      </c>
      <c r="V64">
        <v>12</v>
      </c>
      <c r="W64">
        <v>3</v>
      </c>
      <c r="X64">
        <v>4</v>
      </c>
      <c r="Y64">
        <v>1</v>
      </c>
      <c r="Z64">
        <v>29</v>
      </c>
      <c r="AA64">
        <v>2</v>
      </c>
      <c r="AB64">
        <v>2</v>
      </c>
      <c r="AC64">
        <v>27</v>
      </c>
      <c r="AD64">
        <v>3</v>
      </c>
      <c r="AE64">
        <v>13</v>
      </c>
      <c r="AF64">
        <v>8</v>
      </c>
      <c r="AG64" t="s">
        <v>65</v>
      </c>
      <c r="AH64">
        <v>0</v>
      </c>
      <c r="AI64" t="s">
        <v>71</v>
      </c>
      <c r="AJ64" s="3" t="s">
        <v>84</v>
      </c>
      <c r="AK64" s="3">
        <v>1</v>
      </c>
      <c r="AL64" s="3" t="s">
        <v>83</v>
      </c>
    </row>
    <row r="65" spans="1:38" x14ac:dyDescent="0.3">
      <c r="A65">
        <v>59</v>
      </c>
      <c r="B65" t="s">
        <v>43</v>
      </c>
      <c r="C65" t="s">
        <v>36</v>
      </c>
      <c r="D65">
        <v>1435</v>
      </c>
      <c r="E65" t="s">
        <v>37</v>
      </c>
      <c r="F65">
        <v>25</v>
      </c>
      <c r="G65">
        <v>3</v>
      </c>
      <c r="H65" t="s">
        <v>38</v>
      </c>
      <c r="I65">
        <v>81</v>
      </c>
      <c r="J65">
        <v>1</v>
      </c>
      <c r="K65" t="s">
        <v>39</v>
      </c>
      <c r="L65">
        <v>99</v>
      </c>
      <c r="M65">
        <v>3</v>
      </c>
      <c r="N65">
        <v>3</v>
      </c>
      <c r="O65" t="s">
        <v>40</v>
      </c>
      <c r="P65">
        <v>1</v>
      </c>
      <c r="Q65" t="s">
        <v>41</v>
      </c>
      <c r="R65">
        <v>7637</v>
      </c>
      <c r="S65">
        <v>2354</v>
      </c>
      <c r="T65">
        <v>7</v>
      </c>
      <c r="U65" t="s">
        <v>43</v>
      </c>
      <c r="V65">
        <v>11</v>
      </c>
      <c r="W65">
        <v>3</v>
      </c>
      <c r="X65">
        <v>4</v>
      </c>
      <c r="Y65">
        <v>0</v>
      </c>
      <c r="Z65">
        <v>28</v>
      </c>
      <c r="AA65">
        <v>3</v>
      </c>
      <c r="AB65">
        <v>2</v>
      </c>
      <c r="AC65">
        <v>21</v>
      </c>
      <c r="AD65">
        <v>16</v>
      </c>
      <c r="AE65">
        <v>7</v>
      </c>
      <c r="AF65">
        <v>9</v>
      </c>
      <c r="AG65" t="s">
        <v>65</v>
      </c>
      <c r="AH65">
        <v>0</v>
      </c>
      <c r="AI65" t="s">
        <v>69</v>
      </c>
      <c r="AJ65" s="3" t="s">
        <v>83</v>
      </c>
      <c r="AK65" s="3">
        <v>1</v>
      </c>
      <c r="AL65" s="3" t="s">
        <v>83</v>
      </c>
    </row>
    <row r="66" spans="1:38" x14ac:dyDescent="0.3">
      <c r="A66">
        <v>36</v>
      </c>
      <c r="B66" t="s">
        <v>43</v>
      </c>
      <c r="C66" t="s">
        <v>36</v>
      </c>
      <c r="D66">
        <v>1223</v>
      </c>
      <c r="E66" t="s">
        <v>45</v>
      </c>
      <c r="F66">
        <v>8</v>
      </c>
      <c r="G66">
        <v>3</v>
      </c>
      <c r="H66" t="s">
        <v>60</v>
      </c>
      <c r="I66">
        <v>83</v>
      </c>
      <c r="J66">
        <v>3</v>
      </c>
      <c r="K66" t="s">
        <v>39</v>
      </c>
      <c r="L66">
        <v>59</v>
      </c>
      <c r="M66">
        <v>3</v>
      </c>
      <c r="N66">
        <v>3</v>
      </c>
      <c r="O66" t="s">
        <v>54</v>
      </c>
      <c r="P66">
        <v>3</v>
      </c>
      <c r="Q66" t="s">
        <v>52</v>
      </c>
      <c r="R66">
        <v>10096</v>
      </c>
      <c r="S66">
        <v>8202</v>
      </c>
      <c r="T66">
        <v>1</v>
      </c>
      <c r="U66" t="s">
        <v>43</v>
      </c>
      <c r="V66">
        <v>13</v>
      </c>
      <c r="W66">
        <v>3</v>
      </c>
      <c r="X66">
        <v>2</v>
      </c>
      <c r="Y66">
        <v>3</v>
      </c>
      <c r="Z66">
        <v>17</v>
      </c>
      <c r="AA66">
        <v>2</v>
      </c>
      <c r="AB66">
        <v>3</v>
      </c>
      <c r="AC66">
        <v>17</v>
      </c>
      <c r="AD66">
        <v>14</v>
      </c>
      <c r="AE66">
        <v>12</v>
      </c>
      <c r="AF66">
        <v>8</v>
      </c>
      <c r="AG66" t="s">
        <v>65</v>
      </c>
      <c r="AH66">
        <v>0</v>
      </c>
      <c r="AI66" t="s">
        <v>69</v>
      </c>
      <c r="AJ66" s="3" t="s">
        <v>84</v>
      </c>
      <c r="AK66" s="3">
        <v>0</v>
      </c>
      <c r="AL66" s="3" t="s">
        <v>83</v>
      </c>
    </row>
    <row r="67" spans="1:38" x14ac:dyDescent="0.3">
      <c r="A67">
        <v>55</v>
      </c>
      <c r="B67" t="s">
        <v>43</v>
      </c>
      <c r="C67" t="s">
        <v>36</v>
      </c>
      <c r="D67">
        <v>836</v>
      </c>
      <c r="E67" t="s">
        <v>45</v>
      </c>
      <c r="F67">
        <v>8</v>
      </c>
      <c r="G67">
        <v>3</v>
      </c>
      <c r="H67" t="s">
        <v>51</v>
      </c>
      <c r="I67">
        <v>84</v>
      </c>
      <c r="J67">
        <v>4</v>
      </c>
      <c r="K67" t="s">
        <v>39</v>
      </c>
      <c r="L67">
        <v>33</v>
      </c>
      <c r="M67">
        <v>3</v>
      </c>
      <c r="N67">
        <v>4</v>
      </c>
      <c r="O67" t="s">
        <v>56</v>
      </c>
      <c r="P67">
        <v>3</v>
      </c>
      <c r="Q67" t="s">
        <v>52</v>
      </c>
      <c r="R67">
        <v>14756</v>
      </c>
      <c r="S67">
        <v>19730</v>
      </c>
      <c r="T67">
        <v>2</v>
      </c>
      <c r="U67" t="s">
        <v>35</v>
      </c>
      <c r="V67">
        <v>14</v>
      </c>
      <c r="W67">
        <v>3</v>
      </c>
      <c r="X67">
        <v>3</v>
      </c>
      <c r="Y67">
        <v>3</v>
      </c>
      <c r="Z67">
        <v>21</v>
      </c>
      <c r="AA67">
        <v>2</v>
      </c>
      <c r="AB67">
        <v>3</v>
      </c>
      <c r="AC67">
        <v>5</v>
      </c>
      <c r="AD67">
        <v>0</v>
      </c>
      <c r="AE67">
        <v>0</v>
      </c>
      <c r="AF67">
        <v>2</v>
      </c>
      <c r="AG67" t="s">
        <v>68</v>
      </c>
      <c r="AH67">
        <v>0</v>
      </c>
      <c r="AI67" t="s">
        <v>71</v>
      </c>
      <c r="AJ67" s="3" t="s">
        <v>84</v>
      </c>
      <c r="AK67" s="3">
        <v>1</v>
      </c>
      <c r="AL67" s="3" t="s">
        <v>83</v>
      </c>
    </row>
    <row r="68" spans="1:38" x14ac:dyDescent="0.3">
      <c r="A68">
        <v>36</v>
      </c>
      <c r="B68" t="s">
        <v>43</v>
      </c>
      <c r="C68" t="s">
        <v>44</v>
      </c>
      <c r="D68">
        <v>1195</v>
      </c>
      <c r="E68" t="s">
        <v>45</v>
      </c>
      <c r="F68">
        <v>11</v>
      </c>
      <c r="G68">
        <v>3</v>
      </c>
      <c r="H68" t="s">
        <v>38</v>
      </c>
      <c r="I68">
        <v>85</v>
      </c>
      <c r="J68">
        <v>2</v>
      </c>
      <c r="K68" t="s">
        <v>46</v>
      </c>
      <c r="L68">
        <v>95</v>
      </c>
      <c r="M68">
        <v>2</v>
      </c>
      <c r="N68">
        <v>2</v>
      </c>
      <c r="O68" t="s">
        <v>53</v>
      </c>
      <c r="P68">
        <v>2</v>
      </c>
      <c r="Q68" t="s">
        <v>41</v>
      </c>
      <c r="R68">
        <v>6499</v>
      </c>
      <c r="S68">
        <v>22656</v>
      </c>
      <c r="T68">
        <v>1</v>
      </c>
      <c r="U68" t="s">
        <v>43</v>
      </c>
      <c r="V68">
        <v>13</v>
      </c>
      <c r="W68">
        <v>3</v>
      </c>
      <c r="X68">
        <v>3</v>
      </c>
      <c r="Y68">
        <v>0</v>
      </c>
      <c r="Z68">
        <v>6</v>
      </c>
      <c r="AA68">
        <v>3</v>
      </c>
      <c r="AB68">
        <v>3</v>
      </c>
      <c r="AC68">
        <v>6</v>
      </c>
      <c r="AD68">
        <v>5</v>
      </c>
      <c r="AE68">
        <v>0</v>
      </c>
      <c r="AF68">
        <v>3</v>
      </c>
      <c r="AG68" t="s">
        <v>65</v>
      </c>
      <c r="AH68">
        <v>0</v>
      </c>
      <c r="AI68" t="s">
        <v>69</v>
      </c>
      <c r="AJ68" s="3" t="s">
        <v>83</v>
      </c>
      <c r="AK68" s="3">
        <v>1</v>
      </c>
      <c r="AL68" s="3" t="s">
        <v>83</v>
      </c>
    </row>
    <row r="69" spans="1:38" x14ac:dyDescent="0.3">
      <c r="A69">
        <v>45</v>
      </c>
      <c r="B69" t="s">
        <v>43</v>
      </c>
      <c r="C69" t="s">
        <v>36</v>
      </c>
      <c r="D69">
        <v>1339</v>
      </c>
      <c r="E69" t="s">
        <v>45</v>
      </c>
      <c r="F69">
        <v>7</v>
      </c>
      <c r="G69">
        <v>3</v>
      </c>
      <c r="H69" t="s">
        <v>38</v>
      </c>
      <c r="I69">
        <v>86</v>
      </c>
      <c r="J69">
        <v>2</v>
      </c>
      <c r="K69" t="s">
        <v>46</v>
      </c>
      <c r="L69">
        <v>59</v>
      </c>
      <c r="M69">
        <v>3</v>
      </c>
      <c r="N69">
        <v>3</v>
      </c>
      <c r="O69" t="s">
        <v>47</v>
      </c>
      <c r="P69">
        <v>1</v>
      </c>
      <c r="Q69" t="s">
        <v>52</v>
      </c>
      <c r="R69">
        <v>9724</v>
      </c>
      <c r="S69">
        <v>18787</v>
      </c>
      <c r="T69">
        <v>2</v>
      </c>
      <c r="U69" t="s">
        <v>43</v>
      </c>
      <c r="V69">
        <v>17</v>
      </c>
      <c r="W69">
        <v>3</v>
      </c>
      <c r="X69">
        <v>3</v>
      </c>
      <c r="Y69">
        <v>1</v>
      </c>
      <c r="Z69">
        <v>25</v>
      </c>
      <c r="AA69">
        <v>2</v>
      </c>
      <c r="AB69">
        <v>3</v>
      </c>
      <c r="AC69">
        <v>1</v>
      </c>
      <c r="AD69">
        <v>0</v>
      </c>
      <c r="AE69">
        <v>0</v>
      </c>
      <c r="AF69">
        <v>0</v>
      </c>
      <c r="AG69" t="s">
        <v>67</v>
      </c>
      <c r="AH69">
        <v>0</v>
      </c>
      <c r="AI69" t="s">
        <v>71</v>
      </c>
      <c r="AJ69" s="3" t="s">
        <v>83</v>
      </c>
      <c r="AK69" s="3">
        <v>2</v>
      </c>
      <c r="AL69" s="3" t="s">
        <v>84</v>
      </c>
    </row>
    <row r="70" spans="1:38" x14ac:dyDescent="0.3">
      <c r="A70">
        <v>35</v>
      </c>
      <c r="B70" t="s">
        <v>43</v>
      </c>
      <c r="C70" t="s">
        <v>44</v>
      </c>
      <c r="D70">
        <v>664</v>
      </c>
      <c r="E70" t="s">
        <v>45</v>
      </c>
      <c r="F70">
        <v>1</v>
      </c>
      <c r="G70">
        <v>3</v>
      </c>
      <c r="H70" t="s">
        <v>51</v>
      </c>
      <c r="I70">
        <v>88</v>
      </c>
      <c r="J70">
        <v>2</v>
      </c>
      <c r="K70" t="s">
        <v>46</v>
      </c>
      <c r="L70">
        <v>79</v>
      </c>
      <c r="M70">
        <v>3</v>
      </c>
      <c r="N70">
        <v>1</v>
      </c>
      <c r="O70" t="s">
        <v>47</v>
      </c>
      <c r="P70">
        <v>1</v>
      </c>
      <c r="Q70" t="s">
        <v>48</v>
      </c>
      <c r="R70">
        <v>2194</v>
      </c>
      <c r="S70">
        <v>5868</v>
      </c>
      <c r="T70">
        <v>4</v>
      </c>
      <c r="U70" t="s">
        <v>43</v>
      </c>
      <c r="V70">
        <v>13</v>
      </c>
      <c r="W70">
        <v>3</v>
      </c>
      <c r="X70">
        <v>4</v>
      </c>
      <c r="Y70">
        <v>1</v>
      </c>
      <c r="Z70">
        <v>5</v>
      </c>
      <c r="AA70">
        <v>2</v>
      </c>
      <c r="AB70">
        <v>2</v>
      </c>
      <c r="AC70">
        <v>3</v>
      </c>
      <c r="AD70">
        <v>2</v>
      </c>
      <c r="AE70">
        <v>1</v>
      </c>
      <c r="AF70">
        <v>2</v>
      </c>
      <c r="AG70" t="s">
        <v>67</v>
      </c>
      <c r="AH70">
        <v>0</v>
      </c>
      <c r="AI70" t="s">
        <v>70</v>
      </c>
      <c r="AJ70" s="3" t="s">
        <v>83</v>
      </c>
      <c r="AK70" s="3">
        <v>2</v>
      </c>
      <c r="AL70" s="3" t="s">
        <v>84</v>
      </c>
    </row>
    <row r="71" spans="1:38" x14ac:dyDescent="0.3">
      <c r="A71">
        <v>36</v>
      </c>
      <c r="B71" t="s">
        <v>35</v>
      </c>
      <c r="C71" t="s">
        <v>36</v>
      </c>
      <c r="D71">
        <v>318</v>
      </c>
      <c r="E71" t="s">
        <v>45</v>
      </c>
      <c r="F71">
        <v>9</v>
      </c>
      <c r="G71">
        <v>3</v>
      </c>
      <c r="H71" t="s">
        <v>51</v>
      </c>
      <c r="I71">
        <v>90</v>
      </c>
      <c r="J71">
        <v>4</v>
      </c>
      <c r="K71" t="s">
        <v>46</v>
      </c>
      <c r="L71">
        <v>79</v>
      </c>
      <c r="M71">
        <v>2</v>
      </c>
      <c r="N71">
        <v>1</v>
      </c>
      <c r="O71" t="s">
        <v>47</v>
      </c>
      <c r="P71">
        <v>3</v>
      </c>
      <c r="Q71" t="s">
        <v>48</v>
      </c>
      <c r="R71">
        <v>3388</v>
      </c>
      <c r="S71">
        <v>21777</v>
      </c>
      <c r="T71">
        <v>0</v>
      </c>
      <c r="U71" t="s">
        <v>35</v>
      </c>
      <c r="V71">
        <v>17</v>
      </c>
      <c r="W71">
        <v>3</v>
      </c>
      <c r="X71">
        <v>1</v>
      </c>
      <c r="Y71">
        <v>1</v>
      </c>
      <c r="Z71">
        <v>2</v>
      </c>
      <c r="AA71">
        <v>0</v>
      </c>
      <c r="AB71">
        <v>2</v>
      </c>
      <c r="AC71">
        <v>1</v>
      </c>
      <c r="AD71">
        <v>0</v>
      </c>
      <c r="AE71">
        <v>0</v>
      </c>
      <c r="AF71">
        <v>0</v>
      </c>
      <c r="AG71" t="s">
        <v>67</v>
      </c>
      <c r="AH71">
        <v>1</v>
      </c>
      <c r="AI71" t="s">
        <v>71</v>
      </c>
      <c r="AJ71" s="3" t="s">
        <v>84</v>
      </c>
      <c r="AK71" s="3">
        <v>2</v>
      </c>
      <c r="AL71" s="3" t="s">
        <v>84</v>
      </c>
    </row>
    <row r="72" spans="1:38" x14ac:dyDescent="0.3">
      <c r="A72">
        <v>59</v>
      </c>
      <c r="B72" t="s">
        <v>43</v>
      </c>
      <c r="C72" t="s">
        <v>44</v>
      </c>
      <c r="D72">
        <v>1225</v>
      </c>
      <c r="E72" t="s">
        <v>37</v>
      </c>
      <c r="F72">
        <v>1</v>
      </c>
      <c r="G72">
        <v>1</v>
      </c>
      <c r="H72" t="s">
        <v>38</v>
      </c>
      <c r="I72">
        <v>91</v>
      </c>
      <c r="J72">
        <v>1</v>
      </c>
      <c r="K72" t="s">
        <v>39</v>
      </c>
      <c r="L72">
        <v>57</v>
      </c>
      <c r="M72">
        <v>2</v>
      </c>
      <c r="N72">
        <v>2</v>
      </c>
      <c r="O72" t="s">
        <v>40</v>
      </c>
      <c r="P72">
        <v>3</v>
      </c>
      <c r="Q72" t="s">
        <v>41</v>
      </c>
      <c r="R72">
        <v>5473</v>
      </c>
      <c r="S72">
        <v>24668</v>
      </c>
      <c r="T72">
        <v>7</v>
      </c>
      <c r="U72" t="s">
        <v>43</v>
      </c>
      <c r="V72">
        <v>11</v>
      </c>
      <c r="W72">
        <v>3</v>
      </c>
      <c r="X72">
        <v>4</v>
      </c>
      <c r="Y72">
        <v>0</v>
      </c>
      <c r="Z72">
        <v>20</v>
      </c>
      <c r="AA72">
        <v>2</v>
      </c>
      <c r="AB72">
        <v>2</v>
      </c>
      <c r="AC72">
        <v>4</v>
      </c>
      <c r="AD72">
        <v>3</v>
      </c>
      <c r="AE72">
        <v>1</v>
      </c>
      <c r="AF72">
        <v>3</v>
      </c>
      <c r="AG72" t="s">
        <v>68</v>
      </c>
      <c r="AH72">
        <v>0</v>
      </c>
      <c r="AI72" t="s">
        <v>71</v>
      </c>
      <c r="AJ72" s="3" t="s">
        <v>84</v>
      </c>
      <c r="AK72" s="3">
        <v>0</v>
      </c>
      <c r="AL72" s="3" t="s">
        <v>83</v>
      </c>
    </row>
    <row r="73" spans="1:38" x14ac:dyDescent="0.3">
      <c r="A73">
        <v>29</v>
      </c>
      <c r="B73" t="s">
        <v>43</v>
      </c>
      <c r="C73" t="s">
        <v>36</v>
      </c>
      <c r="D73">
        <v>1328</v>
      </c>
      <c r="E73" t="s">
        <v>45</v>
      </c>
      <c r="F73">
        <v>2</v>
      </c>
      <c r="G73">
        <v>3</v>
      </c>
      <c r="H73" t="s">
        <v>38</v>
      </c>
      <c r="I73">
        <v>94</v>
      </c>
      <c r="J73">
        <v>3</v>
      </c>
      <c r="K73" t="s">
        <v>46</v>
      </c>
      <c r="L73">
        <v>76</v>
      </c>
      <c r="M73">
        <v>3</v>
      </c>
      <c r="N73">
        <v>1</v>
      </c>
      <c r="O73" t="s">
        <v>47</v>
      </c>
      <c r="P73">
        <v>2</v>
      </c>
      <c r="Q73" t="s">
        <v>48</v>
      </c>
      <c r="R73">
        <v>2703</v>
      </c>
      <c r="S73">
        <v>4956</v>
      </c>
      <c r="T73">
        <v>0</v>
      </c>
      <c r="U73" t="s">
        <v>43</v>
      </c>
      <c r="V73">
        <v>23</v>
      </c>
      <c r="W73">
        <v>4</v>
      </c>
      <c r="X73">
        <v>4</v>
      </c>
      <c r="Y73">
        <v>1</v>
      </c>
      <c r="Z73">
        <v>6</v>
      </c>
      <c r="AA73">
        <v>3</v>
      </c>
      <c r="AB73">
        <v>3</v>
      </c>
      <c r="AC73">
        <v>5</v>
      </c>
      <c r="AD73">
        <v>4</v>
      </c>
      <c r="AE73">
        <v>0</v>
      </c>
      <c r="AF73">
        <v>4</v>
      </c>
      <c r="AG73" t="s">
        <v>68</v>
      </c>
      <c r="AH73">
        <v>0</v>
      </c>
      <c r="AI73" t="s">
        <v>69</v>
      </c>
      <c r="AJ73" s="3" t="s">
        <v>83</v>
      </c>
      <c r="AK73" s="3">
        <v>1</v>
      </c>
      <c r="AL73" s="3" t="s">
        <v>83</v>
      </c>
    </row>
    <row r="74" spans="1:38" x14ac:dyDescent="0.3">
      <c r="A74">
        <v>31</v>
      </c>
      <c r="B74" t="s">
        <v>43</v>
      </c>
      <c r="C74" t="s">
        <v>36</v>
      </c>
      <c r="D74">
        <v>1082</v>
      </c>
      <c r="E74" t="s">
        <v>45</v>
      </c>
      <c r="F74">
        <v>1</v>
      </c>
      <c r="G74">
        <v>4</v>
      </c>
      <c r="H74" t="s">
        <v>51</v>
      </c>
      <c r="I74">
        <v>95</v>
      </c>
      <c r="J74">
        <v>3</v>
      </c>
      <c r="K74" t="s">
        <v>46</v>
      </c>
      <c r="L74">
        <v>87</v>
      </c>
      <c r="M74">
        <v>3</v>
      </c>
      <c r="N74">
        <v>1</v>
      </c>
      <c r="O74" t="s">
        <v>47</v>
      </c>
      <c r="P74">
        <v>2</v>
      </c>
      <c r="Q74" t="s">
        <v>41</v>
      </c>
      <c r="R74">
        <v>2501</v>
      </c>
      <c r="S74">
        <v>18775</v>
      </c>
      <c r="T74">
        <v>1</v>
      </c>
      <c r="U74" t="s">
        <v>43</v>
      </c>
      <c r="V74">
        <v>17</v>
      </c>
      <c r="W74">
        <v>3</v>
      </c>
      <c r="X74">
        <v>2</v>
      </c>
      <c r="Y74">
        <v>0</v>
      </c>
      <c r="Z74">
        <v>1</v>
      </c>
      <c r="AA74">
        <v>4</v>
      </c>
      <c r="AB74">
        <v>3</v>
      </c>
      <c r="AC74">
        <v>1</v>
      </c>
      <c r="AD74">
        <v>1</v>
      </c>
      <c r="AE74">
        <v>1</v>
      </c>
      <c r="AF74">
        <v>0</v>
      </c>
      <c r="AG74" t="s">
        <v>67</v>
      </c>
      <c r="AH74">
        <v>0</v>
      </c>
      <c r="AI74" t="s">
        <v>72</v>
      </c>
      <c r="AJ74" s="3" t="s">
        <v>83</v>
      </c>
      <c r="AK74" s="3">
        <v>2</v>
      </c>
      <c r="AL74" s="3" t="s">
        <v>84</v>
      </c>
    </row>
    <row r="75" spans="1:38" x14ac:dyDescent="0.3">
      <c r="A75">
        <v>32</v>
      </c>
      <c r="B75" t="s">
        <v>43</v>
      </c>
      <c r="C75" t="s">
        <v>36</v>
      </c>
      <c r="D75">
        <v>548</v>
      </c>
      <c r="E75" t="s">
        <v>45</v>
      </c>
      <c r="F75">
        <v>1</v>
      </c>
      <c r="G75">
        <v>3</v>
      </c>
      <c r="H75" t="s">
        <v>38</v>
      </c>
      <c r="I75">
        <v>96</v>
      </c>
      <c r="J75">
        <v>2</v>
      </c>
      <c r="K75" t="s">
        <v>46</v>
      </c>
      <c r="L75">
        <v>66</v>
      </c>
      <c r="M75">
        <v>3</v>
      </c>
      <c r="N75">
        <v>2</v>
      </c>
      <c r="O75" t="s">
        <v>47</v>
      </c>
      <c r="P75">
        <v>2</v>
      </c>
      <c r="Q75" t="s">
        <v>48</v>
      </c>
      <c r="R75">
        <v>6220</v>
      </c>
      <c r="S75">
        <v>7346</v>
      </c>
      <c r="T75">
        <v>1</v>
      </c>
      <c r="U75" t="s">
        <v>43</v>
      </c>
      <c r="V75">
        <v>17</v>
      </c>
      <c r="W75">
        <v>3</v>
      </c>
      <c r="X75">
        <v>2</v>
      </c>
      <c r="Y75">
        <v>2</v>
      </c>
      <c r="Z75">
        <v>10</v>
      </c>
      <c r="AA75">
        <v>3</v>
      </c>
      <c r="AB75">
        <v>3</v>
      </c>
      <c r="AC75">
        <v>10</v>
      </c>
      <c r="AD75">
        <v>4</v>
      </c>
      <c r="AE75">
        <v>0</v>
      </c>
      <c r="AF75">
        <v>9</v>
      </c>
      <c r="AG75" t="s">
        <v>65</v>
      </c>
      <c r="AH75">
        <v>0</v>
      </c>
      <c r="AI75" t="s">
        <v>71</v>
      </c>
      <c r="AJ75" s="3" t="s">
        <v>83</v>
      </c>
      <c r="AK75" s="3">
        <v>1</v>
      </c>
      <c r="AL75" s="3" t="s">
        <v>83</v>
      </c>
    </row>
    <row r="76" spans="1:38" x14ac:dyDescent="0.3">
      <c r="A76">
        <v>36</v>
      </c>
      <c r="B76" t="s">
        <v>43</v>
      </c>
      <c r="C76" t="s">
        <v>36</v>
      </c>
      <c r="D76">
        <v>132</v>
      </c>
      <c r="E76" t="s">
        <v>45</v>
      </c>
      <c r="F76">
        <v>6</v>
      </c>
      <c r="G76">
        <v>3</v>
      </c>
      <c r="H76" t="s">
        <v>38</v>
      </c>
      <c r="I76">
        <v>97</v>
      </c>
      <c r="J76">
        <v>2</v>
      </c>
      <c r="K76" t="s">
        <v>39</v>
      </c>
      <c r="L76">
        <v>55</v>
      </c>
      <c r="M76">
        <v>4</v>
      </c>
      <c r="N76">
        <v>1</v>
      </c>
      <c r="O76" t="s">
        <v>50</v>
      </c>
      <c r="P76">
        <v>4</v>
      </c>
      <c r="Q76" t="s">
        <v>48</v>
      </c>
      <c r="R76">
        <v>3038</v>
      </c>
      <c r="S76">
        <v>22002</v>
      </c>
      <c r="T76">
        <v>3</v>
      </c>
      <c r="U76" t="s">
        <v>43</v>
      </c>
      <c r="V76">
        <v>12</v>
      </c>
      <c r="W76">
        <v>3</v>
      </c>
      <c r="X76">
        <v>2</v>
      </c>
      <c r="Y76">
        <v>0</v>
      </c>
      <c r="Z76">
        <v>5</v>
      </c>
      <c r="AA76">
        <v>3</v>
      </c>
      <c r="AB76">
        <v>3</v>
      </c>
      <c r="AC76">
        <v>1</v>
      </c>
      <c r="AD76">
        <v>0</v>
      </c>
      <c r="AE76">
        <v>0</v>
      </c>
      <c r="AF76">
        <v>0</v>
      </c>
      <c r="AG76" t="s">
        <v>67</v>
      </c>
      <c r="AH76">
        <v>0</v>
      </c>
      <c r="AI76" t="s">
        <v>71</v>
      </c>
      <c r="AJ76" s="3" t="s">
        <v>82</v>
      </c>
      <c r="AK76" s="3">
        <v>1</v>
      </c>
      <c r="AL76" s="3" t="s">
        <v>83</v>
      </c>
    </row>
    <row r="77" spans="1:38" x14ac:dyDescent="0.3">
      <c r="A77">
        <v>31</v>
      </c>
      <c r="B77" t="s">
        <v>43</v>
      </c>
      <c r="C77" t="s">
        <v>36</v>
      </c>
      <c r="D77">
        <v>746</v>
      </c>
      <c r="E77" t="s">
        <v>45</v>
      </c>
      <c r="F77">
        <v>8</v>
      </c>
      <c r="G77">
        <v>4</v>
      </c>
      <c r="H77" t="s">
        <v>38</v>
      </c>
      <c r="I77">
        <v>98</v>
      </c>
      <c r="J77">
        <v>3</v>
      </c>
      <c r="K77" t="s">
        <v>39</v>
      </c>
      <c r="L77">
        <v>61</v>
      </c>
      <c r="M77">
        <v>3</v>
      </c>
      <c r="N77">
        <v>2</v>
      </c>
      <c r="O77" t="s">
        <v>53</v>
      </c>
      <c r="P77">
        <v>4</v>
      </c>
      <c r="Q77" t="s">
        <v>41</v>
      </c>
      <c r="R77">
        <v>4424</v>
      </c>
      <c r="S77">
        <v>20682</v>
      </c>
      <c r="T77">
        <v>1</v>
      </c>
      <c r="U77" t="s">
        <v>43</v>
      </c>
      <c r="V77">
        <v>23</v>
      </c>
      <c r="W77">
        <v>4</v>
      </c>
      <c r="X77">
        <v>4</v>
      </c>
      <c r="Y77">
        <v>0</v>
      </c>
      <c r="Z77">
        <v>11</v>
      </c>
      <c r="AA77">
        <v>2</v>
      </c>
      <c r="AB77">
        <v>3</v>
      </c>
      <c r="AC77">
        <v>11</v>
      </c>
      <c r="AD77">
        <v>7</v>
      </c>
      <c r="AE77">
        <v>1</v>
      </c>
      <c r="AF77">
        <v>8</v>
      </c>
      <c r="AG77" t="s">
        <v>65</v>
      </c>
      <c r="AH77">
        <v>0</v>
      </c>
      <c r="AI77" t="s">
        <v>71</v>
      </c>
      <c r="AJ77" s="3" t="s">
        <v>82</v>
      </c>
      <c r="AK77" s="3">
        <v>0</v>
      </c>
      <c r="AL77" s="3" t="s">
        <v>83</v>
      </c>
    </row>
    <row r="78" spans="1:38" x14ac:dyDescent="0.3">
      <c r="A78">
        <v>35</v>
      </c>
      <c r="B78" t="s">
        <v>43</v>
      </c>
      <c r="C78" t="s">
        <v>36</v>
      </c>
      <c r="D78">
        <v>776</v>
      </c>
      <c r="E78" t="s">
        <v>37</v>
      </c>
      <c r="F78">
        <v>1</v>
      </c>
      <c r="G78">
        <v>4</v>
      </c>
      <c r="H78" t="s">
        <v>59</v>
      </c>
      <c r="I78">
        <v>100</v>
      </c>
      <c r="J78">
        <v>3</v>
      </c>
      <c r="K78" t="s">
        <v>46</v>
      </c>
      <c r="L78">
        <v>32</v>
      </c>
      <c r="M78">
        <v>2</v>
      </c>
      <c r="N78">
        <v>2</v>
      </c>
      <c r="O78" t="s">
        <v>40</v>
      </c>
      <c r="P78">
        <v>1</v>
      </c>
      <c r="Q78" t="s">
        <v>41</v>
      </c>
      <c r="R78">
        <v>4312</v>
      </c>
      <c r="S78">
        <v>23016</v>
      </c>
      <c r="T78">
        <v>0</v>
      </c>
      <c r="U78" t="s">
        <v>43</v>
      </c>
      <c r="V78">
        <v>14</v>
      </c>
      <c r="W78">
        <v>3</v>
      </c>
      <c r="X78">
        <v>2</v>
      </c>
      <c r="Y78">
        <v>0</v>
      </c>
      <c r="Z78">
        <v>16</v>
      </c>
      <c r="AA78">
        <v>2</v>
      </c>
      <c r="AB78">
        <v>3</v>
      </c>
      <c r="AC78">
        <v>15</v>
      </c>
      <c r="AD78">
        <v>13</v>
      </c>
      <c r="AE78">
        <v>2</v>
      </c>
      <c r="AF78">
        <v>8</v>
      </c>
      <c r="AG78" t="s">
        <v>65</v>
      </c>
      <c r="AH78">
        <v>0</v>
      </c>
      <c r="AI78" t="s">
        <v>71</v>
      </c>
      <c r="AJ78" s="3" t="s">
        <v>83</v>
      </c>
      <c r="AK78" s="3">
        <v>1</v>
      </c>
      <c r="AL78" s="3" t="s">
        <v>83</v>
      </c>
    </row>
    <row r="79" spans="1:38" x14ac:dyDescent="0.3">
      <c r="A79">
        <v>45</v>
      </c>
      <c r="B79" t="s">
        <v>43</v>
      </c>
      <c r="C79" t="s">
        <v>36</v>
      </c>
      <c r="D79">
        <v>193</v>
      </c>
      <c r="E79" t="s">
        <v>45</v>
      </c>
      <c r="F79">
        <v>6</v>
      </c>
      <c r="G79">
        <v>4</v>
      </c>
      <c r="H79" t="s">
        <v>49</v>
      </c>
      <c r="I79">
        <v>101</v>
      </c>
      <c r="J79">
        <v>4</v>
      </c>
      <c r="K79" t="s">
        <v>46</v>
      </c>
      <c r="L79">
        <v>52</v>
      </c>
      <c r="M79">
        <v>3</v>
      </c>
      <c r="N79">
        <v>3</v>
      </c>
      <c r="O79" t="s">
        <v>58</v>
      </c>
      <c r="P79">
        <v>1</v>
      </c>
      <c r="Q79" t="s">
        <v>48</v>
      </c>
      <c r="R79">
        <v>13245</v>
      </c>
      <c r="S79">
        <v>15067</v>
      </c>
      <c r="T79">
        <v>4</v>
      </c>
      <c r="U79" t="s">
        <v>35</v>
      </c>
      <c r="V79">
        <v>14</v>
      </c>
      <c r="W79">
        <v>3</v>
      </c>
      <c r="X79">
        <v>2</v>
      </c>
      <c r="Y79">
        <v>0</v>
      </c>
      <c r="Z79">
        <v>17</v>
      </c>
      <c r="AA79">
        <v>3</v>
      </c>
      <c r="AB79">
        <v>4</v>
      </c>
      <c r="AC79">
        <v>0</v>
      </c>
      <c r="AD79">
        <v>0</v>
      </c>
      <c r="AE79">
        <v>0</v>
      </c>
      <c r="AF79">
        <v>0</v>
      </c>
      <c r="AG79" t="s">
        <v>66</v>
      </c>
      <c r="AH79">
        <v>0</v>
      </c>
      <c r="AI79" t="s">
        <v>71</v>
      </c>
      <c r="AJ79" s="3" t="s">
        <v>83</v>
      </c>
      <c r="AK79" s="3">
        <v>3</v>
      </c>
      <c r="AL79" s="3" t="s">
        <v>82</v>
      </c>
    </row>
    <row r="80" spans="1:38" x14ac:dyDescent="0.3">
      <c r="A80">
        <v>37</v>
      </c>
      <c r="B80" t="s">
        <v>43</v>
      </c>
      <c r="C80" t="s">
        <v>36</v>
      </c>
      <c r="D80">
        <v>397</v>
      </c>
      <c r="E80" t="s">
        <v>45</v>
      </c>
      <c r="F80">
        <v>7</v>
      </c>
      <c r="G80">
        <v>4</v>
      </c>
      <c r="H80" t="s">
        <v>51</v>
      </c>
      <c r="I80">
        <v>102</v>
      </c>
      <c r="J80">
        <v>1</v>
      </c>
      <c r="K80" t="s">
        <v>46</v>
      </c>
      <c r="L80">
        <v>30</v>
      </c>
      <c r="M80">
        <v>3</v>
      </c>
      <c r="N80">
        <v>3</v>
      </c>
      <c r="O80" t="s">
        <v>58</v>
      </c>
      <c r="P80">
        <v>3</v>
      </c>
      <c r="Q80" t="s">
        <v>41</v>
      </c>
      <c r="R80">
        <v>13664</v>
      </c>
      <c r="S80">
        <v>25258</v>
      </c>
      <c r="T80">
        <v>4</v>
      </c>
      <c r="U80" t="s">
        <v>43</v>
      </c>
      <c r="V80">
        <v>13</v>
      </c>
      <c r="W80">
        <v>3</v>
      </c>
      <c r="X80">
        <v>1</v>
      </c>
      <c r="Y80">
        <v>0</v>
      </c>
      <c r="Z80">
        <v>16</v>
      </c>
      <c r="AA80">
        <v>3</v>
      </c>
      <c r="AB80">
        <v>4</v>
      </c>
      <c r="AC80">
        <v>5</v>
      </c>
      <c r="AD80">
        <v>2</v>
      </c>
      <c r="AE80">
        <v>0</v>
      </c>
      <c r="AF80">
        <v>2</v>
      </c>
      <c r="AG80" t="s">
        <v>68</v>
      </c>
      <c r="AH80">
        <v>0</v>
      </c>
      <c r="AI80" t="s">
        <v>70</v>
      </c>
      <c r="AJ80" s="3" t="s">
        <v>84</v>
      </c>
      <c r="AK80" s="3">
        <v>0</v>
      </c>
      <c r="AL80" s="3" t="s">
        <v>83</v>
      </c>
    </row>
    <row r="81" spans="1:38" x14ac:dyDescent="0.3">
      <c r="A81">
        <v>46</v>
      </c>
      <c r="B81" t="s">
        <v>43</v>
      </c>
      <c r="C81" t="s">
        <v>36</v>
      </c>
      <c r="D81">
        <v>945</v>
      </c>
      <c r="E81" t="s">
        <v>61</v>
      </c>
      <c r="F81">
        <v>5</v>
      </c>
      <c r="G81">
        <v>2</v>
      </c>
      <c r="H81" t="s">
        <v>51</v>
      </c>
      <c r="I81">
        <v>103</v>
      </c>
      <c r="J81">
        <v>2</v>
      </c>
      <c r="K81" t="s">
        <v>46</v>
      </c>
      <c r="L81">
        <v>80</v>
      </c>
      <c r="M81">
        <v>3</v>
      </c>
      <c r="N81">
        <v>2</v>
      </c>
      <c r="O81" t="s">
        <v>61</v>
      </c>
      <c r="P81">
        <v>2</v>
      </c>
      <c r="Q81" t="s">
        <v>52</v>
      </c>
      <c r="R81">
        <v>5021</v>
      </c>
      <c r="S81">
        <v>10425</v>
      </c>
      <c r="T81">
        <v>8</v>
      </c>
      <c r="U81" t="s">
        <v>35</v>
      </c>
      <c r="V81">
        <v>22</v>
      </c>
      <c r="W81">
        <v>4</v>
      </c>
      <c r="X81">
        <v>4</v>
      </c>
      <c r="Y81">
        <v>1</v>
      </c>
      <c r="Z81">
        <v>16</v>
      </c>
      <c r="AA81">
        <v>2</v>
      </c>
      <c r="AB81">
        <v>3</v>
      </c>
      <c r="AC81">
        <v>4</v>
      </c>
      <c r="AD81">
        <v>2</v>
      </c>
      <c r="AE81">
        <v>0</v>
      </c>
      <c r="AF81">
        <v>2</v>
      </c>
      <c r="AG81" t="s">
        <v>68</v>
      </c>
      <c r="AH81">
        <v>0</v>
      </c>
      <c r="AI81" t="s">
        <v>71</v>
      </c>
      <c r="AJ81" s="3" t="s">
        <v>83</v>
      </c>
      <c r="AK81" s="3">
        <v>2</v>
      </c>
      <c r="AL81" s="3" t="s">
        <v>84</v>
      </c>
    </row>
    <row r="82" spans="1:38" x14ac:dyDescent="0.3">
      <c r="A82">
        <v>30</v>
      </c>
      <c r="B82" t="s">
        <v>43</v>
      </c>
      <c r="C82" t="s">
        <v>36</v>
      </c>
      <c r="D82">
        <v>852</v>
      </c>
      <c r="E82" t="s">
        <v>45</v>
      </c>
      <c r="F82">
        <v>1</v>
      </c>
      <c r="G82">
        <v>1</v>
      </c>
      <c r="H82" t="s">
        <v>38</v>
      </c>
      <c r="I82">
        <v>104</v>
      </c>
      <c r="J82">
        <v>4</v>
      </c>
      <c r="K82" t="s">
        <v>46</v>
      </c>
      <c r="L82">
        <v>55</v>
      </c>
      <c r="M82">
        <v>2</v>
      </c>
      <c r="N82">
        <v>2</v>
      </c>
      <c r="O82" t="s">
        <v>50</v>
      </c>
      <c r="P82">
        <v>4</v>
      </c>
      <c r="Q82" t="s">
        <v>48</v>
      </c>
      <c r="R82">
        <v>5126</v>
      </c>
      <c r="S82">
        <v>15998</v>
      </c>
      <c r="T82">
        <v>1</v>
      </c>
      <c r="U82" t="s">
        <v>35</v>
      </c>
      <c r="V82">
        <v>12</v>
      </c>
      <c r="W82">
        <v>3</v>
      </c>
      <c r="X82">
        <v>3</v>
      </c>
      <c r="Y82">
        <v>2</v>
      </c>
      <c r="Z82">
        <v>10</v>
      </c>
      <c r="AA82">
        <v>1</v>
      </c>
      <c r="AB82">
        <v>2</v>
      </c>
      <c r="AC82">
        <v>10</v>
      </c>
      <c r="AD82">
        <v>8</v>
      </c>
      <c r="AE82">
        <v>3</v>
      </c>
      <c r="AF82">
        <v>0</v>
      </c>
      <c r="AG82" t="s">
        <v>65</v>
      </c>
      <c r="AH82">
        <v>0</v>
      </c>
      <c r="AI82" t="s">
        <v>70</v>
      </c>
      <c r="AJ82" s="3" t="s">
        <v>82</v>
      </c>
      <c r="AK82" s="3">
        <v>1</v>
      </c>
      <c r="AL82" s="3" t="s">
        <v>83</v>
      </c>
    </row>
    <row r="83" spans="1:38" x14ac:dyDescent="0.3">
      <c r="A83">
        <v>35</v>
      </c>
      <c r="B83" t="s">
        <v>43</v>
      </c>
      <c r="C83" t="s">
        <v>36</v>
      </c>
      <c r="D83">
        <v>1214</v>
      </c>
      <c r="E83" t="s">
        <v>45</v>
      </c>
      <c r="F83">
        <v>1</v>
      </c>
      <c r="G83">
        <v>3</v>
      </c>
      <c r="H83" t="s">
        <v>51</v>
      </c>
      <c r="I83">
        <v>105</v>
      </c>
      <c r="J83">
        <v>2</v>
      </c>
      <c r="K83" t="s">
        <v>46</v>
      </c>
      <c r="L83">
        <v>30</v>
      </c>
      <c r="M83">
        <v>2</v>
      </c>
      <c r="N83">
        <v>1</v>
      </c>
      <c r="O83" t="s">
        <v>47</v>
      </c>
      <c r="P83">
        <v>3</v>
      </c>
      <c r="Q83" t="s">
        <v>41</v>
      </c>
      <c r="R83">
        <v>2859</v>
      </c>
      <c r="S83">
        <v>26278</v>
      </c>
      <c r="T83">
        <v>1</v>
      </c>
      <c r="U83" t="s">
        <v>43</v>
      </c>
      <c r="V83">
        <v>18</v>
      </c>
      <c r="W83">
        <v>3</v>
      </c>
      <c r="X83">
        <v>1</v>
      </c>
      <c r="Y83">
        <v>0</v>
      </c>
      <c r="Z83">
        <v>6</v>
      </c>
      <c r="AA83">
        <v>3</v>
      </c>
      <c r="AB83">
        <v>3</v>
      </c>
      <c r="AC83">
        <v>6</v>
      </c>
      <c r="AD83">
        <v>4</v>
      </c>
      <c r="AE83">
        <v>0</v>
      </c>
      <c r="AF83">
        <v>4</v>
      </c>
      <c r="AG83" t="s">
        <v>65</v>
      </c>
      <c r="AH83">
        <v>0</v>
      </c>
      <c r="AI83" t="s">
        <v>71</v>
      </c>
      <c r="AJ83" s="3" t="s">
        <v>84</v>
      </c>
      <c r="AK83" s="3">
        <v>0</v>
      </c>
      <c r="AL83" s="3" t="s">
        <v>83</v>
      </c>
    </row>
    <row r="84" spans="1:38" x14ac:dyDescent="0.3">
      <c r="A84">
        <v>55</v>
      </c>
      <c r="B84" t="s">
        <v>43</v>
      </c>
      <c r="C84" t="s">
        <v>36</v>
      </c>
      <c r="D84">
        <v>111</v>
      </c>
      <c r="E84" t="s">
        <v>37</v>
      </c>
      <c r="F84">
        <v>1</v>
      </c>
      <c r="G84">
        <v>2</v>
      </c>
      <c r="H84" t="s">
        <v>38</v>
      </c>
      <c r="I84">
        <v>106</v>
      </c>
      <c r="J84">
        <v>1</v>
      </c>
      <c r="K84" t="s">
        <v>46</v>
      </c>
      <c r="L84">
        <v>70</v>
      </c>
      <c r="M84">
        <v>3</v>
      </c>
      <c r="N84">
        <v>3</v>
      </c>
      <c r="O84" t="s">
        <v>40</v>
      </c>
      <c r="P84">
        <v>4</v>
      </c>
      <c r="Q84" t="s">
        <v>48</v>
      </c>
      <c r="R84">
        <v>10239</v>
      </c>
      <c r="S84">
        <v>18092</v>
      </c>
      <c r="T84">
        <v>3</v>
      </c>
      <c r="U84" t="s">
        <v>43</v>
      </c>
      <c r="V84">
        <v>14</v>
      </c>
      <c r="W84">
        <v>3</v>
      </c>
      <c r="X84">
        <v>4</v>
      </c>
      <c r="Y84">
        <v>1</v>
      </c>
      <c r="Z84">
        <v>24</v>
      </c>
      <c r="AA84">
        <v>4</v>
      </c>
      <c r="AB84">
        <v>3</v>
      </c>
      <c r="AC84">
        <v>1</v>
      </c>
      <c r="AD84">
        <v>0</v>
      </c>
      <c r="AE84">
        <v>1</v>
      </c>
      <c r="AF84">
        <v>0</v>
      </c>
      <c r="AG84" t="s">
        <v>67</v>
      </c>
      <c r="AH84">
        <v>0</v>
      </c>
      <c r="AI84" t="s">
        <v>71</v>
      </c>
      <c r="AJ84" s="3" t="s">
        <v>82</v>
      </c>
      <c r="AK84" s="3">
        <v>1</v>
      </c>
      <c r="AL84" s="3" t="s">
        <v>83</v>
      </c>
    </row>
    <row r="85" spans="1:38" x14ac:dyDescent="0.3">
      <c r="A85">
        <v>38</v>
      </c>
      <c r="B85" t="s">
        <v>43</v>
      </c>
      <c r="C85" t="s">
        <v>55</v>
      </c>
      <c r="D85">
        <v>573</v>
      </c>
      <c r="E85" t="s">
        <v>45</v>
      </c>
      <c r="F85">
        <v>6</v>
      </c>
      <c r="G85">
        <v>3</v>
      </c>
      <c r="H85" t="s">
        <v>51</v>
      </c>
      <c r="I85">
        <v>107</v>
      </c>
      <c r="J85">
        <v>2</v>
      </c>
      <c r="K85" t="s">
        <v>39</v>
      </c>
      <c r="L85">
        <v>79</v>
      </c>
      <c r="M85">
        <v>1</v>
      </c>
      <c r="N85">
        <v>2</v>
      </c>
      <c r="O85" t="s">
        <v>47</v>
      </c>
      <c r="P85">
        <v>4</v>
      </c>
      <c r="Q85" t="s">
        <v>52</v>
      </c>
      <c r="R85">
        <v>5329</v>
      </c>
      <c r="S85">
        <v>15717</v>
      </c>
      <c r="T85">
        <v>7</v>
      </c>
      <c r="U85" t="s">
        <v>35</v>
      </c>
      <c r="V85">
        <v>12</v>
      </c>
      <c r="W85">
        <v>3</v>
      </c>
      <c r="X85">
        <v>4</v>
      </c>
      <c r="Y85">
        <v>3</v>
      </c>
      <c r="Z85">
        <v>17</v>
      </c>
      <c r="AA85">
        <v>3</v>
      </c>
      <c r="AB85">
        <v>3</v>
      </c>
      <c r="AC85">
        <v>13</v>
      </c>
      <c r="AD85">
        <v>11</v>
      </c>
      <c r="AE85">
        <v>1</v>
      </c>
      <c r="AF85">
        <v>9</v>
      </c>
      <c r="AG85" t="s">
        <v>65</v>
      </c>
      <c r="AH85">
        <v>0</v>
      </c>
      <c r="AI85" t="s">
        <v>69</v>
      </c>
      <c r="AJ85" s="3" t="s">
        <v>82</v>
      </c>
      <c r="AK85" s="3">
        <v>1</v>
      </c>
      <c r="AL85" s="3" t="s">
        <v>83</v>
      </c>
    </row>
    <row r="86" spans="1:38" x14ac:dyDescent="0.3">
      <c r="A86">
        <v>34</v>
      </c>
      <c r="B86" t="s">
        <v>43</v>
      </c>
      <c r="C86" t="s">
        <v>36</v>
      </c>
      <c r="D86">
        <v>1153</v>
      </c>
      <c r="E86" t="s">
        <v>45</v>
      </c>
      <c r="F86">
        <v>1</v>
      </c>
      <c r="G86">
        <v>2</v>
      </c>
      <c r="H86" t="s">
        <v>51</v>
      </c>
      <c r="I86">
        <v>110</v>
      </c>
      <c r="J86">
        <v>1</v>
      </c>
      <c r="K86" t="s">
        <v>46</v>
      </c>
      <c r="L86">
        <v>94</v>
      </c>
      <c r="M86">
        <v>3</v>
      </c>
      <c r="N86">
        <v>2</v>
      </c>
      <c r="O86" t="s">
        <v>53</v>
      </c>
      <c r="P86">
        <v>2</v>
      </c>
      <c r="Q86" t="s">
        <v>48</v>
      </c>
      <c r="R86">
        <v>4325</v>
      </c>
      <c r="S86">
        <v>17736</v>
      </c>
      <c r="T86">
        <v>1</v>
      </c>
      <c r="U86" t="s">
        <v>43</v>
      </c>
      <c r="V86">
        <v>15</v>
      </c>
      <c r="W86">
        <v>3</v>
      </c>
      <c r="X86">
        <v>3</v>
      </c>
      <c r="Y86">
        <v>0</v>
      </c>
      <c r="Z86">
        <v>5</v>
      </c>
      <c r="AA86">
        <v>2</v>
      </c>
      <c r="AB86">
        <v>3</v>
      </c>
      <c r="AC86">
        <v>5</v>
      </c>
      <c r="AD86">
        <v>2</v>
      </c>
      <c r="AE86">
        <v>1</v>
      </c>
      <c r="AF86">
        <v>3</v>
      </c>
      <c r="AG86" t="s">
        <v>68</v>
      </c>
      <c r="AH86">
        <v>0</v>
      </c>
      <c r="AI86" t="s">
        <v>71</v>
      </c>
      <c r="AJ86" s="3" t="s">
        <v>83</v>
      </c>
      <c r="AK86" s="3">
        <v>1</v>
      </c>
      <c r="AL86" s="3" t="s">
        <v>83</v>
      </c>
    </row>
    <row r="87" spans="1:38" x14ac:dyDescent="0.3">
      <c r="A87">
        <v>56</v>
      </c>
      <c r="B87" t="s">
        <v>43</v>
      </c>
      <c r="C87" t="s">
        <v>36</v>
      </c>
      <c r="D87">
        <v>1400</v>
      </c>
      <c r="E87" t="s">
        <v>45</v>
      </c>
      <c r="F87">
        <v>7</v>
      </c>
      <c r="G87">
        <v>3</v>
      </c>
      <c r="H87" t="s">
        <v>38</v>
      </c>
      <c r="I87">
        <v>112</v>
      </c>
      <c r="J87">
        <v>4</v>
      </c>
      <c r="K87" t="s">
        <v>46</v>
      </c>
      <c r="L87">
        <v>49</v>
      </c>
      <c r="M87">
        <v>1</v>
      </c>
      <c r="N87">
        <v>3</v>
      </c>
      <c r="O87" t="s">
        <v>53</v>
      </c>
      <c r="P87">
        <v>4</v>
      </c>
      <c r="Q87" t="s">
        <v>41</v>
      </c>
      <c r="R87">
        <v>7260</v>
      </c>
      <c r="S87">
        <v>21698</v>
      </c>
      <c r="T87">
        <v>4</v>
      </c>
      <c r="U87" t="s">
        <v>43</v>
      </c>
      <c r="V87">
        <v>11</v>
      </c>
      <c r="W87">
        <v>3</v>
      </c>
      <c r="X87">
        <v>1</v>
      </c>
      <c r="Y87">
        <v>0</v>
      </c>
      <c r="Z87">
        <v>37</v>
      </c>
      <c r="AA87">
        <v>3</v>
      </c>
      <c r="AB87">
        <v>2</v>
      </c>
      <c r="AC87">
        <v>6</v>
      </c>
      <c r="AD87">
        <v>4</v>
      </c>
      <c r="AE87">
        <v>0</v>
      </c>
      <c r="AF87">
        <v>2</v>
      </c>
      <c r="AG87" t="s">
        <v>65</v>
      </c>
      <c r="AH87">
        <v>0</v>
      </c>
      <c r="AI87" t="s">
        <v>71</v>
      </c>
      <c r="AJ87" s="3" t="s">
        <v>82</v>
      </c>
      <c r="AK87" s="3">
        <v>0</v>
      </c>
      <c r="AL87" s="3" t="s">
        <v>83</v>
      </c>
    </row>
    <row r="88" spans="1:38" x14ac:dyDescent="0.3">
      <c r="A88">
        <v>23</v>
      </c>
      <c r="B88" t="s">
        <v>43</v>
      </c>
      <c r="C88" t="s">
        <v>36</v>
      </c>
      <c r="D88">
        <v>541</v>
      </c>
      <c r="E88" t="s">
        <v>37</v>
      </c>
      <c r="F88">
        <v>2</v>
      </c>
      <c r="G88">
        <v>1</v>
      </c>
      <c r="H88" t="s">
        <v>60</v>
      </c>
      <c r="I88">
        <v>113</v>
      </c>
      <c r="J88">
        <v>3</v>
      </c>
      <c r="K88" t="s">
        <v>46</v>
      </c>
      <c r="L88">
        <v>62</v>
      </c>
      <c r="M88">
        <v>3</v>
      </c>
      <c r="N88">
        <v>1</v>
      </c>
      <c r="O88" t="s">
        <v>57</v>
      </c>
      <c r="P88">
        <v>1</v>
      </c>
      <c r="Q88" t="s">
        <v>52</v>
      </c>
      <c r="R88">
        <v>2322</v>
      </c>
      <c r="S88">
        <v>9518</v>
      </c>
      <c r="T88">
        <v>3</v>
      </c>
      <c r="U88" t="s">
        <v>43</v>
      </c>
      <c r="V88">
        <v>13</v>
      </c>
      <c r="W88">
        <v>3</v>
      </c>
      <c r="X88">
        <v>3</v>
      </c>
      <c r="Y88">
        <v>1</v>
      </c>
      <c r="Z88">
        <v>3</v>
      </c>
      <c r="AA88">
        <v>3</v>
      </c>
      <c r="AB88">
        <v>3</v>
      </c>
      <c r="AC88">
        <v>0</v>
      </c>
      <c r="AD88">
        <v>0</v>
      </c>
      <c r="AE88">
        <v>0</v>
      </c>
      <c r="AF88">
        <v>0</v>
      </c>
      <c r="AG88" t="s">
        <v>66</v>
      </c>
      <c r="AH88">
        <v>0</v>
      </c>
      <c r="AI88" t="s">
        <v>69</v>
      </c>
      <c r="AJ88" s="3" t="s">
        <v>83</v>
      </c>
      <c r="AK88" s="3">
        <v>2</v>
      </c>
      <c r="AL88" s="3" t="s">
        <v>84</v>
      </c>
    </row>
    <row r="89" spans="1:38" x14ac:dyDescent="0.3">
      <c r="A89">
        <v>51</v>
      </c>
      <c r="B89" t="s">
        <v>43</v>
      </c>
      <c r="C89" t="s">
        <v>36</v>
      </c>
      <c r="D89">
        <v>432</v>
      </c>
      <c r="E89" t="s">
        <v>45</v>
      </c>
      <c r="F89">
        <v>9</v>
      </c>
      <c r="G89">
        <v>4</v>
      </c>
      <c r="H89" t="s">
        <v>38</v>
      </c>
      <c r="I89">
        <v>116</v>
      </c>
      <c r="J89">
        <v>4</v>
      </c>
      <c r="K89" t="s">
        <v>46</v>
      </c>
      <c r="L89">
        <v>96</v>
      </c>
      <c r="M89">
        <v>3</v>
      </c>
      <c r="N89">
        <v>1</v>
      </c>
      <c r="O89" t="s">
        <v>50</v>
      </c>
      <c r="P89">
        <v>4</v>
      </c>
      <c r="Q89" t="s">
        <v>48</v>
      </c>
      <c r="R89">
        <v>2075</v>
      </c>
      <c r="S89">
        <v>18725</v>
      </c>
      <c r="T89">
        <v>3</v>
      </c>
      <c r="U89" t="s">
        <v>43</v>
      </c>
      <c r="V89">
        <v>23</v>
      </c>
      <c r="W89">
        <v>4</v>
      </c>
      <c r="X89">
        <v>2</v>
      </c>
      <c r="Y89">
        <v>2</v>
      </c>
      <c r="Z89">
        <v>10</v>
      </c>
      <c r="AA89">
        <v>4</v>
      </c>
      <c r="AB89">
        <v>3</v>
      </c>
      <c r="AC89">
        <v>4</v>
      </c>
      <c r="AD89">
        <v>2</v>
      </c>
      <c r="AE89">
        <v>0</v>
      </c>
      <c r="AF89">
        <v>3</v>
      </c>
      <c r="AG89" t="s">
        <v>68</v>
      </c>
      <c r="AH89">
        <v>0</v>
      </c>
      <c r="AI89" t="s">
        <v>72</v>
      </c>
      <c r="AJ89" s="3" t="s">
        <v>82</v>
      </c>
      <c r="AK89" s="3">
        <v>0</v>
      </c>
      <c r="AL89" s="3" t="s">
        <v>83</v>
      </c>
    </row>
    <row r="90" spans="1:38" x14ac:dyDescent="0.3">
      <c r="A90">
        <v>30</v>
      </c>
      <c r="B90" t="s">
        <v>43</v>
      </c>
      <c r="C90" t="s">
        <v>36</v>
      </c>
      <c r="D90">
        <v>288</v>
      </c>
      <c r="E90" t="s">
        <v>45</v>
      </c>
      <c r="F90">
        <v>2</v>
      </c>
      <c r="G90">
        <v>3</v>
      </c>
      <c r="H90" t="s">
        <v>38</v>
      </c>
      <c r="I90">
        <v>117</v>
      </c>
      <c r="J90">
        <v>3</v>
      </c>
      <c r="K90" t="s">
        <v>46</v>
      </c>
      <c r="L90">
        <v>99</v>
      </c>
      <c r="M90">
        <v>2</v>
      </c>
      <c r="N90">
        <v>2</v>
      </c>
      <c r="O90" t="s">
        <v>54</v>
      </c>
      <c r="P90">
        <v>4</v>
      </c>
      <c r="Q90" t="s">
        <v>48</v>
      </c>
      <c r="R90">
        <v>4152</v>
      </c>
      <c r="S90">
        <v>15830</v>
      </c>
      <c r="T90">
        <v>1</v>
      </c>
      <c r="U90" t="s">
        <v>43</v>
      </c>
      <c r="V90">
        <v>19</v>
      </c>
      <c r="W90">
        <v>3</v>
      </c>
      <c r="X90">
        <v>1</v>
      </c>
      <c r="Y90">
        <v>3</v>
      </c>
      <c r="Z90">
        <v>11</v>
      </c>
      <c r="AA90">
        <v>3</v>
      </c>
      <c r="AB90">
        <v>3</v>
      </c>
      <c r="AC90">
        <v>11</v>
      </c>
      <c r="AD90">
        <v>10</v>
      </c>
      <c r="AE90">
        <v>10</v>
      </c>
      <c r="AF90">
        <v>8</v>
      </c>
      <c r="AG90" t="s">
        <v>65</v>
      </c>
      <c r="AH90">
        <v>0</v>
      </c>
      <c r="AI90" t="s">
        <v>69</v>
      </c>
      <c r="AJ90" s="3" t="s">
        <v>82</v>
      </c>
      <c r="AK90" s="3">
        <v>0</v>
      </c>
      <c r="AL90" s="3" t="s">
        <v>83</v>
      </c>
    </row>
    <row r="91" spans="1:38" x14ac:dyDescent="0.3">
      <c r="A91">
        <v>46</v>
      </c>
      <c r="B91" t="s">
        <v>35</v>
      </c>
      <c r="C91" t="s">
        <v>36</v>
      </c>
      <c r="D91">
        <v>669</v>
      </c>
      <c r="E91" t="s">
        <v>37</v>
      </c>
      <c r="F91">
        <v>9</v>
      </c>
      <c r="G91">
        <v>2</v>
      </c>
      <c r="H91" t="s">
        <v>51</v>
      </c>
      <c r="I91">
        <v>118</v>
      </c>
      <c r="J91">
        <v>3</v>
      </c>
      <c r="K91" t="s">
        <v>46</v>
      </c>
      <c r="L91">
        <v>64</v>
      </c>
      <c r="M91">
        <v>2</v>
      </c>
      <c r="N91">
        <v>3</v>
      </c>
      <c r="O91" t="s">
        <v>40</v>
      </c>
      <c r="P91">
        <v>4</v>
      </c>
      <c r="Q91" t="s">
        <v>41</v>
      </c>
      <c r="R91">
        <v>9619</v>
      </c>
      <c r="S91">
        <v>13596</v>
      </c>
      <c r="T91">
        <v>1</v>
      </c>
      <c r="U91" t="s">
        <v>43</v>
      </c>
      <c r="V91">
        <v>16</v>
      </c>
      <c r="W91">
        <v>3</v>
      </c>
      <c r="X91">
        <v>4</v>
      </c>
      <c r="Y91">
        <v>0</v>
      </c>
      <c r="Z91">
        <v>9</v>
      </c>
      <c r="AA91">
        <v>3</v>
      </c>
      <c r="AB91">
        <v>3</v>
      </c>
      <c r="AC91">
        <v>9</v>
      </c>
      <c r="AD91">
        <v>8</v>
      </c>
      <c r="AE91">
        <v>4</v>
      </c>
      <c r="AF91">
        <v>7</v>
      </c>
      <c r="AG91" t="s">
        <v>65</v>
      </c>
      <c r="AH91">
        <v>1</v>
      </c>
      <c r="AI91" t="s">
        <v>71</v>
      </c>
      <c r="AJ91" s="3" t="s">
        <v>82</v>
      </c>
      <c r="AK91" s="3">
        <v>0</v>
      </c>
      <c r="AL91" s="3" t="s">
        <v>83</v>
      </c>
    </row>
    <row r="92" spans="1:38" x14ac:dyDescent="0.3">
      <c r="A92">
        <v>40</v>
      </c>
      <c r="B92" t="s">
        <v>43</v>
      </c>
      <c r="C92" t="s">
        <v>44</v>
      </c>
      <c r="D92">
        <v>530</v>
      </c>
      <c r="E92" t="s">
        <v>45</v>
      </c>
      <c r="F92">
        <v>1</v>
      </c>
      <c r="G92">
        <v>4</v>
      </c>
      <c r="H92" t="s">
        <v>38</v>
      </c>
      <c r="I92">
        <v>119</v>
      </c>
      <c r="J92">
        <v>3</v>
      </c>
      <c r="K92" t="s">
        <v>46</v>
      </c>
      <c r="L92">
        <v>78</v>
      </c>
      <c r="M92">
        <v>2</v>
      </c>
      <c r="N92">
        <v>4</v>
      </c>
      <c r="O92" t="s">
        <v>54</v>
      </c>
      <c r="P92">
        <v>2</v>
      </c>
      <c r="Q92" t="s">
        <v>48</v>
      </c>
      <c r="R92">
        <v>13503</v>
      </c>
      <c r="S92">
        <v>14115</v>
      </c>
      <c r="T92">
        <v>1</v>
      </c>
      <c r="U92" t="s">
        <v>43</v>
      </c>
      <c r="V92">
        <v>22</v>
      </c>
      <c r="W92">
        <v>4</v>
      </c>
      <c r="X92">
        <v>4</v>
      </c>
      <c r="Y92">
        <v>1</v>
      </c>
      <c r="Z92">
        <v>22</v>
      </c>
      <c r="AA92">
        <v>3</v>
      </c>
      <c r="AB92">
        <v>2</v>
      </c>
      <c r="AC92">
        <v>22</v>
      </c>
      <c r="AD92">
        <v>3</v>
      </c>
      <c r="AE92">
        <v>11</v>
      </c>
      <c r="AF92">
        <v>11</v>
      </c>
      <c r="AG92" t="s">
        <v>65</v>
      </c>
      <c r="AH92">
        <v>0</v>
      </c>
      <c r="AI92" t="s">
        <v>70</v>
      </c>
      <c r="AJ92" s="3" t="s">
        <v>83</v>
      </c>
      <c r="AK92" s="3">
        <v>1</v>
      </c>
      <c r="AL92" s="3" t="s">
        <v>83</v>
      </c>
    </row>
    <row r="93" spans="1:38" x14ac:dyDescent="0.3">
      <c r="A93">
        <v>51</v>
      </c>
      <c r="B93" t="s">
        <v>43</v>
      </c>
      <c r="C93" t="s">
        <v>36</v>
      </c>
      <c r="D93">
        <v>632</v>
      </c>
      <c r="E93" t="s">
        <v>37</v>
      </c>
      <c r="F93">
        <v>21</v>
      </c>
      <c r="G93">
        <v>4</v>
      </c>
      <c r="H93" t="s">
        <v>59</v>
      </c>
      <c r="I93">
        <v>120</v>
      </c>
      <c r="J93">
        <v>3</v>
      </c>
      <c r="K93" t="s">
        <v>46</v>
      </c>
      <c r="L93">
        <v>71</v>
      </c>
      <c r="M93">
        <v>3</v>
      </c>
      <c r="N93">
        <v>2</v>
      </c>
      <c r="O93" t="s">
        <v>40</v>
      </c>
      <c r="P93">
        <v>4</v>
      </c>
      <c r="Q93" t="s">
        <v>41</v>
      </c>
      <c r="R93">
        <v>5441</v>
      </c>
      <c r="S93">
        <v>8423</v>
      </c>
      <c r="T93">
        <v>0</v>
      </c>
      <c r="U93" t="s">
        <v>35</v>
      </c>
      <c r="V93">
        <v>22</v>
      </c>
      <c r="W93">
        <v>4</v>
      </c>
      <c r="X93">
        <v>4</v>
      </c>
      <c r="Y93">
        <v>0</v>
      </c>
      <c r="Z93">
        <v>11</v>
      </c>
      <c r="AA93">
        <v>2</v>
      </c>
      <c r="AB93">
        <v>1</v>
      </c>
      <c r="AC93">
        <v>10</v>
      </c>
      <c r="AD93">
        <v>7</v>
      </c>
      <c r="AE93">
        <v>1</v>
      </c>
      <c r="AF93">
        <v>0</v>
      </c>
      <c r="AG93" t="s">
        <v>65</v>
      </c>
      <c r="AH93">
        <v>0</v>
      </c>
      <c r="AI93" t="s">
        <v>70</v>
      </c>
      <c r="AJ93" s="3" t="s">
        <v>82</v>
      </c>
      <c r="AK93" s="3">
        <v>1</v>
      </c>
      <c r="AL93" s="3" t="s">
        <v>83</v>
      </c>
    </row>
    <row r="94" spans="1:38" x14ac:dyDescent="0.3">
      <c r="A94">
        <v>30</v>
      </c>
      <c r="B94" t="s">
        <v>43</v>
      </c>
      <c r="C94" t="s">
        <v>36</v>
      </c>
      <c r="D94">
        <v>1334</v>
      </c>
      <c r="E94" t="s">
        <v>37</v>
      </c>
      <c r="F94">
        <v>4</v>
      </c>
      <c r="G94">
        <v>2</v>
      </c>
      <c r="H94" t="s">
        <v>51</v>
      </c>
      <c r="I94">
        <v>121</v>
      </c>
      <c r="J94">
        <v>3</v>
      </c>
      <c r="K94" t="s">
        <v>39</v>
      </c>
      <c r="L94">
        <v>63</v>
      </c>
      <c r="M94">
        <v>2</v>
      </c>
      <c r="N94">
        <v>2</v>
      </c>
      <c r="O94" t="s">
        <v>40</v>
      </c>
      <c r="P94">
        <v>2</v>
      </c>
      <c r="Q94" t="s">
        <v>52</v>
      </c>
      <c r="R94">
        <v>5209</v>
      </c>
      <c r="S94">
        <v>19760</v>
      </c>
      <c r="T94">
        <v>1</v>
      </c>
      <c r="U94" t="s">
        <v>35</v>
      </c>
      <c r="V94">
        <v>12</v>
      </c>
      <c r="W94">
        <v>3</v>
      </c>
      <c r="X94">
        <v>2</v>
      </c>
      <c r="Y94">
        <v>3</v>
      </c>
      <c r="Z94">
        <v>11</v>
      </c>
      <c r="AA94">
        <v>4</v>
      </c>
      <c r="AB94">
        <v>2</v>
      </c>
      <c r="AC94">
        <v>11</v>
      </c>
      <c r="AD94">
        <v>8</v>
      </c>
      <c r="AE94">
        <v>2</v>
      </c>
      <c r="AF94">
        <v>7</v>
      </c>
      <c r="AG94" t="s">
        <v>65</v>
      </c>
      <c r="AH94">
        <v>0</v>
      </c>
      <c r="AI94" t="s">
        <v>69</v>
      </c>
      <c r="AJ94" s="3" t="s">
        <v>83</v>
      </c>
      <c r="AK94" s="3">
        <v>2</v>
      </c>
      <c r="AL94" s="3" t="s">
        <v>84</v>
      </c>
    </row>
    <row r="95" spans="1:38" x14ac:dyDescent="0.3">
      <c r="A95">
        <v>46</v>
      </c>
      <c r="B95" t="s">
        <v>43</v>
      </c>
      <c r="C95" t="s">
        <v>44</v>
      </c>
      <c r="D95">
        <v>638</v>
      </c>
      <c r="E95" t="s">
        <v>45</v>
      </c>
      <c r="F95">
        <v>1</v>
      </c>
      <c r="G95">
        <v>3</v>
      </c>
      <c r="H95" t="s">
        <v>51</v>
      </c>
      <c r="I95">
        <v>124</v>
      </c>
      <c r="J95">
        <v>3</v>
      </c>
      <c r="K95" t="s">
        <v>46</v>
      </c>
      <c r="L95">
        <v>40</v>
      </c>
      <c r="M95">
        <v>2</v>
      </c>
      <c r="N95">
        <v>3</v>
      </c>
      <c r="O95" t="s">
        <v>54</v>
      </c>
      <c r="P95">
        <v>1</v>
      </c>
      <c r="Q95" t="s">
        <v>48</v>
      </c>
      <c r="R95">
        <v>10673</v>
      </c>
      <c r="S95">
        <v>3142</v>
      </c>
      <c r="T95">
        <v>2</v>
      </c>
      <c r="U95" t="s">
        <v>35</v>
      </c>
      <c r="V95">
        <v>13</v>
      </c>
      <c r="W95">
        <v>3</v>
      </c>
      <c r="X95">
        <v>3</v>
      </c>
      <c r="Y95">
        <v>1</v>
      </c>
      <c r="Z95">
        <v>21</v>
      </c>
      <c r="AA95">
        <v>5</v>
      </c>
      <c r="AB95">
        <v>2</v>
      </c>
      <c r="AC95">
        <v>10</v>
      </c>
      <c r="AD95">
        <v>9</v>
      </c>
      <c r="AE95">
        <v>9</v>
      </c>
      <c r="AF95">
        <v>5</v>
      </c>
      <c r="AG95" t="s">
        <v>65</v>
      </c>
      <c r="AH95">
        <v>0</v>
      </c>
      <c r="AI95" t="s">
        <v>71</v>
      </c>
      <c r="AJ95" s="3" t="s">
        <v>83</v>
      </c>
      <c r="AK95" s="3">
        <v>2</v>
      </c>
      <c r="AL95" s="3" t="s">
        <v>84</v>
      </c>
    </row>
    <row r="96" spans="1:38" x14ac:dyDescent="0.3">
      <c r="A96">
        <v>32</v>
      </c>
      <c r="B96" t="s">
        <v>43</v>
      </c>
      <c r="C96" t="s">
        <v>36</v>
      </c>
      <c r="D96">
        <v>1093</v>
      </c>
      <c r="E96" t="s">
        <v>37</v>
      </c>
      <c r="F96">
        <v>6</v>
      </c>
      <c r="G96">
        <v>4</v>
      </c>
      <c r="H96" t="s">
        <v>51</v>
      </c>
      <c r="I96">
        <v>125</v>
      </c>
      <c r="J96">
        <v>2</v>
      </c>
      <c r="K96" t="s">
        <v>46</v>
      </c>
      <c r="L96">
        <v>87</v>
      </c>
      <c r="M96">
        <v>3</v>
      </c>
      <c r="N96">
        <v>2</v>
      </c>
      <c r="O96" t="s">
        <v>40</v>
      </c>
      <c r="P96">
        <v>3</v>
      </c>
      <c r="Q96" t="s">
        <v>41</v>
      </c>
      <c r="R96">
        <v>5010</v>
      </c>
      <c r="S96">
        <v>24301</v>
      </c>
      <c r="T96">
        <v>1</v>
      </c>
      <c r="U96" t="s">
        <v>43</v>
      </c>
      <c r="V96">
        <v>16</v>
      </c>
      <c r="W96">
        <v>3</v>
      </c>
      <c r="X96">
        <v>1</v>
      </c>
      <c r="Y96">
        <v>0</v>
      </c>
      <c r="Z96">
        <v>12</v>
      </c>
      <c r="AA96">
        <v>0</v>
      </c>
      <c r="AB96">
        <v>3</v>
      </c>
      <c r="AC96">
        <v>11</v>
      </c>
      <c r="AD96">
        <v>8</v>
      </c>
      <c r="AE96">
        <v>5</v>
      </c>
      <c r="AF96">
        <v>7</v>
      </c>
      <c r="AG96" t="s">
        <v>65</v>
      </c>
      <c r="AH96">
        <v>0</v>
      </c>
      <c r="AI96" t="s">
        <v>70</v>
      </c>
      <c r="AJ96" s="3" t="s">
        <v>84</v>
      </c>
      <c r="AK96" s="3">
        <v>0</v>
      </c>
      <c r="AL96" s="3" t="s">
        <v>83</v>
      </c>
    </row>
    <row r="97" spans="1:38" x14ac:dyDescent="0.3">
      <c r="A97">
        <v>54</v>
      </c>
      <c r="B97" t="s">
        <v>43</v>
      </c>
      <c r="C97" t="s">
        <v>36</v>
      </c>
      <c r="D97">
        <v>1217</v>
      </c>
      <c r="E97" t="s">
        <v>45</v>
      </c>
      <c r="F97">
        <v>2</v>
      </c>
      <c r="G97">
        <v>4</v>
      </c>
      <c r="H97" t="s">
        <v>60</v>
      </c>
      <c r="I97">
        <v>126</v>
      </c>
      <c r="J97">
        <v>1</v>
      </c>
      <c r="K97" t="s">
        <v>39</v>
      </c>
      <c r="L97">
        <v>60</v>
      </c>
      <c r="M97">
        <v>3</v>
      </c>
      <c r="N97">
        <v>3</v>
      </c>
      <c r="O97" t="s">
        <v>58</v>
      </c>
      <c r="P97">
        <v>3</v>
      </c>
      <c r="Q97" t="s">
        <v>48</v>
      </c>
      <c r="R97">
        <v>13549</v>
      </c>
      <c r="S97">
        <v>24001</v>
      </c>
      <c r="T97">
        <v>9</v>
      </c>
      <c r="U97" t="s">
        <v>43</v>
      </c>
      <c r="V97">
        <v>12</v>
      </c>
      <c r="W97">
        <v>3</v>
      </c>
      <c r="X97">
        <v>1</v>
      </c>
      <c r="Y97">
        <v>1</v>
      </c>
      <c r="Z97">
        <v>16</v>
      </c>
      <c r="AA97">
        <v>5</v>
      </c>
      <c r="AB97">
        <v>1</v>
      </c>
      <c r="AC97">
        <v>4</v>
      </c>
      <c r="AD97">
        <v>3</v>
      </c>
      <c r="AE97">
        <v>0</v>
      </c>
      <c r="AF97">
        <v>3</v>
      </c>
      <c r="AG97" t="s">
        <v>68</v>
      </c>
      <c r="AH97">
        <v>0</v>
      </c>
      <c r="AI97" t="s">
        <v>71</v>
      </c>
      <c r="AJ97" s="3" t="s">
        <v>84</v>
      </c>
      <c r="AK97" s="3">
        <v>0</v>
      </c>
      <c r="AL97" s="3" t="s">
        <v>83</v>
      </c>
    </row>
    <row r="98" spans="1:38" x14ac:dyDescent="0.3">
      <c r="A98">
        <v>24</v>
      </c>
      <c r="B98" t="s">
        <v>43</v>
      </c>
      <c r="C98" t="s">
        <v>36</v>
      </c>
      <c r="D98">
        <v>1353</v>
      </c>
      <c r="E98" t="s">
        <v>37</v>
      </c>
      <c r="F98">
        <v>3</v>
      </c>
      <c r="G98">
        <v>2</v>
      </c>
      <c r="H98" t="s">
        <v>49</v>
      </c>
      <c r="I98">
        <v>128</v>
      </c>
      <c r="J98">
        <v>1</v>
      </c>
      <c r="K98" t="s">
        <v>39</v>
      </c>
      <c r="L98">
        <v>33</v>
      </c>
      <c r="M98">
        <v>3</v>
      </c>
      <c r="N98">
        <v>2</v>
      </c>
      <c r="O98" t="s">
        <v>40</v>
      </c>
      <c r="P98">
        <v>3</v>
      </c>
      <c r="Q98" t="s">
        <v>48</v>
      </c>
      <c r="R98">
        <v>4999</v>
      </c>
      <c r="S98">
        <v>17519</v>
      </c>
      <c r="T98">
        <v>0</v>
      </c>
      <c r="U98" t="s">
        <v>43</v>
      </c>
      <c r="V98">
        <v>21</v>
      </c>
      <c r="W98">
        <v>4</v>
      </c>
      <c r="X98">
        <v>1</v>
      </c>
      <c r="Y98">
        <v>1</v>
      </c>
      <c r="Z98">
        <v>4</v>
      </c>
      <c r="AA98">
        <v>2</v>
      </c>
      <c r="AB98">
        <v>2</v>
      </c>
      <c r="AC98">
        <v>3</v>
      </c>
      <c r="AD98">
        <v>2</v>
      </c>
      <c r="AE98">
        <v>0</v>
      </c>
      <c r="AF98">
        <v>2</v>
      </c>
      <c r="AG98" t="s">
        <v>67</v>
      </c>
      <c r="AH98">
        <v>0</v>
      </c>
      <c r="AI98" t="s">
        <v>69</v>
      </c>
      <c r="AJ98" s="3" t="s">
        <v>84</v>
      </c>
      <c r="AK98" s="3">
        <v>1</v>
      </c>
      <c r="AL98" s="3" t="s">
        <v>83</v>
      </c>
    </row>
    <row r="99" spans="1:38" x14ac:dyDescent="0.3">
      <c r="A99">
        <v>28</v>
      </c>
      <c r="B99" t="s">
        <v>43</v>
      </c>
      <c r="C99" t="s">
        <v>55</v>
      </c>
      <c r="D99">
        <v>120</v>
      </c>
      <c r="E99" t="s">
        <v>37</v>
      </c>
      <c r="F99">
        <v>4</v>
      </c>
      <c r="G99">
        <v>3</v>
      </c>
      <c r="H99" t="s">
        <v>51</v>
      </c>
      <c r="I99">
        <v>129</v>
      </c>
      <c r="J99">
        <v>2</v>
      </c>
      <c r="K99" t="s">
        <v>46</v>
      </c>
      <c r="L99">
        <v>43</v>
      </c>
      <c r="M99">
        <v>3</v>
      </c>
      <c r="N99">
        <v>2</v>
      </c>
      <c r="O99" t="s">
        <v>40</v>
      </c>
      <c r="P99">
        <v>3</v>
      </c>
      <c r="Q99" t="s">
        <v>48</v>
      </c>
      <c r="R99">
        <v>4221</v>
      </c>
      <c r="S99">
        <v>8863</v>
      </c>
      <c r="T99">
        <v>1</v>
      </c>
      <c r="U99" t="s">
        <v>43</v>
      </c>
      <c r="V99">
        <v>15</v>
      </c>
      <c r="W99">
        <v>3</v>
      </c>
      <c r="X99">
        <v>2</v>
      </c>
      <c r="Y99">
        <v>0</v>
      </c>
      <c r="Z99">
        <v>5</v>
      </c>
      <c r="AA99">
        <v>3</v>
      </c>
      <c r="AB99">
        <v>4</v>
      </c>
      <c r="AC99">
        <v>5</v>
      </c>
      <c r="AD99">
        <v>4</v>
      </c>
      <c r="AE99">
        <v>0</v>
      </c>
      <c r="AF99">
        <v>4</v>
      </c>
      <c r="AG99" t="s">
        <v>68</v>
      </c>
      <c r="AH99">
        <v>0</v>
      </c>
      <c r="AI99" t="s">
        <v>72</v>
      </c>
      <c r="AJ99" s="3" t="s">
        <v>84</v>
      </c>
      <c r="AK99" s="3">
        <v>0</v>
      </c>
      <c r="AL99" s="3" t="s">
        <v>83</v>
      </c>
    </row>
    <row r="100" spans="1:38" x14ac:dyDescent="0.3">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v>13872</v>
      </c>
      <c r="S100">
        <v>24409</v>
      </c>
      <c r="T100">
        <v>0</v>
      </c>
      <c r="U100" t="s">
        <v>43</v>
      </c>
      <c r="V100">
        <v>13</v>
      </c>
      <c r="W100">
        <v>3</v>
      </c>
      <c r="X100">
        <v>3</v>
      </c>
      <c r="Y100">
        <v>0</v>
      </c>
      <c r="Z100">
        <v>38</v>
      </c>
      <c r="AA100">
        <v>1</v>
      </c>
      <c r="AB100">
        <v>2</v>
      </c>
      <c r="AC100">
        <v>37</v>
      </c>
      <c r="AD100">
        <v>10</v>
      </c>
      <c r="AE100">
        <v>1</v>
      </c>
      <c r="AF100">
        <v>8</v>
      </c>
      <c r="AG100" t="s">
        <v>65</v>
      </c>
      <c r="AH100">
        <v>0</v>
      </c>
      <c r="AI100" t="s">
        <v>72</v>
      </c>
      <c r="AJ100" s="3" t="s">
        <v>84</v>
      </c>
      <c r="AK100" s="3">
        <v>0</v>
      </c>
      <c r="AL100" s="3" t="s">
        <v>83</v>
      </c>
    </row>
    <row r="101" spans="1:38" x14ac:dyDescent="0.3">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v>2042</v>
      </c>
      <c r="S101">
        <v>25043</v>
      </c>
      <c r="T101">
        <v>4</v>
      </c>
      <c r="U101" t="s">
        <v>43</v>
      </c>
      <c r="V101">
        <v>12</v>
      </c>
      <c r="W101">
        <v>3</v>
      </c>
      <c r="X101">
        <v>3</v>
      </c>
      <c r="Y101">
        <v>1</v>
      </c>
      <c r="Z101">
        <v>17</v>
      </c>
      <c r="AA101">
        <v>3</v>
      </c>
      <c r="AB101">
        <v>4</v>
      </c>
      <c r="AC101">
        <v>3</v>
      </c>
      <c r="AD101">
        <v>2</v>
      </c>
      <c r="AE101">
        <v>1</v>
      </c>
      <c r="AF101">
        <v>2</v>
      </c>
      <c r="AG101" t="s">
        <v>67</v>
      </c>
      <c r="AH101">
        <v>0</v>
      </c>
      <c r="AI101" t="s">
        <v>69</v>
      </c>
      <c r="AJ101" s="3" t="s">
        <v>83</v>
      </c>
      <c r="AK101" s="3">
        <v>2</v>
      </c>
      <c r="AL101" s="3" t="s">
        <v>84</v>
      </c>
    </row>
    <row r="102" spans="1:38" x14ac:dyDescent="0.3">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v>2073</v>
      </c>
      <c r="S102">
        <v>23648</v>
      </c>
      <c r="T102">
        <v>4</v>
      </c>
      <c r="U102" t="s">
        <v>35</v>
      </c>
      <c r="V102">
        <v>22</v>
      </c>
      <c r="W102">
        <v>4</v>
      </c>
      <c r="X102">
        <v>4</v>
      </c>
      <c r="Y102">
        <v>0</v>
      </c>
      <c r="Z102">
        <v>7</v>
      </c>
      <c r="AA102">
        <v>3</v>
      </c>
      <c r="AB102">
        <v>3</v>
      </c>
      <c r="AC102">
        <v>3</v>
      </c>
      <c r="AD102">
        <v>2</v>
      </c>
      <c r="AE102">
        <v>0</v>
      </c>
      <c r="AF102">
        <v>2</v>
      </c>
      <c r="AG102" t="s">
        <v>67</v>
      </c>
      <c r="AH102">
        <v>1</v>
      </c>
      <c r="AI102" t="s">
        <v>70</v>
      </c>
      <c r="AJ102" s="3" t="s">
        <v>83</v>
      </c>
      <c r="AK102" s="3">
        <v>3</v>
      </c>
      <c r="AL102" s="3" t="s">
        <v>82</v>
      </c>
    </row>
    <row r="103" spans="1:38" x14ac:dyDescent="0.3">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v>2956</v>
      </c>
      <c r="S103">
        <v>15178</v>
      </c>
      <c r="T103">
        <v>1</v>
      </c>
      <c r="U103" t="s">
        <v>43</v>
      </c>
      <c r="V103">
        <v>13</v>
      </c>
      <c r="W103">
        <v>3</v>
      </c>
      <c r="X103">
        <v>4</v>
      </c>
      <c r="Y103">
        <v>0</v>
      </c>
      <c r="Z103">
        <v>1</v>
      </c>
      <c r="AA103">
        <v>2</v>
      </c>
      <c r="AB103">
        <v>3</v>
      </c>
      <c r="AC103">
        <v>1</v>
      </c>
      <c r="AD103">
        <v>0</v>
      </c>
      <c r="AE103">
        <v>0</v>
      </c>
      <c r="AF103">
        <v>0</v>
      </c>
      <c r="AG103" t="s">
        <v>67</v>
      </c>
      <c r="AH103">
        <v>0</v>
      </c>
      <c r="AI103" t="s">
        <v>71</v>
      </c>
      <c r="AJ103" s="3" t="s">
        <v>83</v>
      </c>
      <c r="AK103" s="3">
        <v>2</v>
      </c>
      <c r="AL103" s="3" t="s">
        <v>84</v>
      </c>
    </row>
    <row r="104" spans="1:38" x14ac:dyDescent="0.3">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v>2926</v>
      </c>
      <c r="S104">
        <v>19783</v>
      </c>
      <c r="T104">
        <v>1</v>
      </c>
      <c r="U104" t="s">
        <v>35</v>
      </c>
      <c r="V104">
        <v>18</v>
      </c>
      <c r="W104">
        <v>3</v>
      </c>
      <c r="X104">
        <v>2</v>
      </c>
      <c r="Y104">
        <v>0</v>
      </c>
      <c r="Z104">
        <v>1</v>
      </c>
      <c r="AA104">
        <v>5</v>
      </c>
      <c r="AB104">
        <v>3</v>
      </c>
      <c r="AC104">
        <v>1</v>
      </c>
      <c r="AD104">
        <v>0</v>
      </c>
      <c r="AE104">
        <v>1</v>
      </c>
      <c r="AF104">
        <v>0</v>
      </c>
      <c r="AG104" t="s">
        <v>67</v>
      </c>
      <c r="AH104">
        <v>1</v>
      </c>
      <c r="AI104" t="s">
        <v>71</v>
      </c>
      <c r="AJ104" s="3" t="s">
        <v>82</v>
      </c>
      <c r="AK104" s="3">
        <v>2</v>
      </c>
      <c r="AL104" s="3" t="s">
        <v>84</v>
      </c>
    </row>
    <row r="105" spans="1:38" x14ac:dyDescent="0.3">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v>4809</v>
      </c>
      <c r="S105">
        <v>12482</v>
      </c>
      <c r="T105">
        <v>1</v>
      </c>
      <c r="U105" t="s">
        <v>43</v>
      </c>
      <c r="V105">
        <v>14</v>
      </c>
      <c r="W105">
        <v>3</v>
      </c>
      <c r="X105">
        <v>3</v>
      </c>
      <c r="Y105">
        <v>0</v>
      </c>
      <c r="Z105">
        <v>16</v>
      </c>
      <c r="AA105">
        <v>3</v>
      </c>
      <c r="AB105">
        <v>3</v>
      </c>
      <c r="AC105">
        <v>16</v>
      </c>
      <c r="AD105">
        <v>13</v>
      </c>
      <c r="AE105">
        <v>2</v>
      </c>
      <c r="AF105">
        <v>10</v>
      </c>
      <c r="AG105" t="s">
        <v>65</v>
      </c>
      <c r="AH105">
        <v>0</v>
      </c>
      <c r="AI105" t="s">
        <v>72</v>
      </c>
      <c r="AJ105" s="3" t="s">
        <v>84</v>
      </c>
      <c r="AK105" s="3">
        <v>0</v>
      </c>
      <c r="AL105" s="3" t="s">
        <v>83</v>
      </c>
    </row>
    <row r="106" spans="1:38" x14ac:dyDescent="0.3">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v>5163</v>
      </c>
      <c r="S106">
        <v>15850</v>
      </c>
      <c r="T106">
        <v>5</v>
      </c>
      <c r="U106" t="s">
        <v>43</v>
      </c>
      <c r="V106">
        <v>14</v>
      </c>
      <c r="W106">
        <v>3</v>
      </c>
      <c r="X106">
        <v>4</v>
      </c>
      <c r="Y106">
        <v>1</v>
      </c>
      <c r="Z106">
        <v>17</v>
      </c>
      <c r="AA106">
        <v>2</v>
      </c>
      <c r="AB106">
        <v>4</v>
      </c>
      <c r="AC106">
        <v>1</v>
      </c>
      <c r="AD106">
        <v>0</v>
      </c>
      <c r="AE106">
        <v>0</v>
      </c>
      <c r="AF106">
        <v>0</v>
      </c>
      <c r="AG106" t="s">
        <v>67</v>
      </c>
      <c r="AH106">
        <v>0</v>
      </c>
      <c r="AI106" t="s">
        <v>71</v>
      </c>
      <c r="AJ106" s="3" t="s">
        <v>82</v>
      </c>
      <c r="AK106" s="3">
        <v>1</v>
      </c>
      <c r="AL106" s="3" t="s">
        <v>83</v>
      </c>
    </row>
    <row r="107" spans="1:38" x14ac:dyDescent="0.3">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v>18844</v>
      </c>
      <c r="S107">
        <v>21922</v>
      </c>
      <c r="T107">
        <v>9</v>
      </c>
      <c r="U107" t="s">
        <v>43</v>
      </c>
      <c r="V107">
        <v>21</v>
      </c>
      <c r="W107">
        <v>4</v>
      </c>
      <c r="X107">
        <v>4</v>
      </c>
      <c r="Y107">
        <v>1</v>
      </c>
      <c r="Z107">
        <v>30</v>
      </c>
      <c r="AA107">
        <v>3</v>
      </c>
      <c r="AB107">
        <v>3</v>
      </c>
      <c r="AC107">
        <v>3</v>
      </c>
      <c r="AD107">
        <v>2</v>
      </c>
      <c r="AE107">
        <v>2</v>
      </c>
      <c r="AF107">
        <v>2</v>
      </c>
      <c r="AG107" t="s">
        <v>67</v>
      </c>
      <c r="AH107">
        <v>0</v>
      </c>
      <c r="AI107" t="s">
        <v>71</v>
      </c>
      <c r="AJ107" s="3" t="s">
        <v>82</v>
      </c>
      <c r="AK107" s="3">
        <v>1</v>
      </c>
      <c r="AL107" s="3" t="s">
        <v>83</v>
      </c>
    </row>
    <row r="108" spans="1:38" x14ac:dyDescent="0.3">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v>18172</v>
      </c>
      <c r="S108">
        <v>9755</v>
      </c>
      <c r="T108">
        <v>3</v>
      </c>
      <c r="U108" t="s">
        <v>35</v>
      </c>
      <c r="V108">
        <v>19</v>
      </c>
      <c r="W108">
        <v>3</v>
      </c>
      <c r="X108">
        <v>1</v>
      </c>
      <c r="Y108">
        <v>0</v>
      </c>
      <c r="Z108">
        <v>28</v>
      </c>
      <c r="AA108">
        <v>1</v>
      </c>
      <c r="AB108">
        <v>2</v>
      </c>
      <c r="AC108">
        <v>8</v>
      </c>
      <c r="AD108">
        <v>3</v>
      </c>
      <c r="AE108">
        <v>0</v>
      </c>
      <c r="AF108">
        <v>7</v>
      </c>
      <c r="AG108" t="s">
        <v>65</v>
      </c>
      <c r="AH108">
        <v>0</v>
      </c>
      <c r="AI108" t="s">
        <v>69</v>
      </c>
      <c r="AJ108" s="3" t="s">
        <v>83</v>
      </c>
      <c r="AK108" s="3">
        <v>2</v>
      </c>
      <c r="AL108" s="3" t="s">
        <v>84</v>
      </c>
    </row>
    <row r="109" spans="1:38" x14ac:dyDescent="0.3">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v>5744</v>
      </c>
      <c r="S109">
        <v>26959</v>
      </c>
      <c r="T109">
        <v>1</v>
      </c>
      <c r="U109" t="s">
        <v>35</v>
      </c>
      <c r="V109">
        <v>11</v>
      </c>
      <c r="W109">
        <v>3</v>
      </c>
      <c r="X109">
        <v>4</v>
      </c>
      <c r="Y109">
        <v>0</v>
      </c>
      <c r="Z109">
        <v>6</v>
      </c>
      <c r="AA109">
        <v>1</v>
      </c>
      <c r="AB109">
        <v>3</v>
      </c>
      <c r="AC109">
        <v>6</v>
      </c>
      <c r="AD109">
        <v>4</v>
      </c>
      <c r="AE109">
        <v>0</v>
      </c>
      <c r="AF109">
        <v>3</v>
      </c>
      <c r="AG109" t="s">
        <v>65</v>
      </c>
      <c r="AH109">
        <v>1</v>
      </c>
      <c r="AI109" t="s">
        <v>69</v>
      </c>
      <c r="AJ109" s="3" t="s">
        <v>84</v>
      </c>
      <c r="AK109" s="3">
        <v>1</v>
      </c>
      <c r="AL109" s="3" t="s">
        <v>83</v>
      </c>
    </row>
    <row r="110" spans="1:38" x14ac:dyDescent="0.3">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v>2889</v>
      </c>
      <c r="S110">
        <v>26897</v>
      </c>
      <c r="T110">
        <v>1</v>
      </c>
      <c r="U110" t="s">
        <v>43</v>
      </c>
      <c r="V110">
        <v>11</v>
      </c>
      <c r="W110">
        <v>3</v>
      </c>
      <c r="X110">
        <v>3</v>
      </c>
      <c r="Y110">
        <v>2</v>
      </c>
      <c r="Z110">
        <v>2</v>
      </c>
      <c r="AA110">
        <v>2</v>
      </c>
      <c r="AB110">
        <v>3</v>
      </c>
      <c r="AC110">
        <v>2</v>
      </c>
      <c r="AD110">
        <v>2</v>
      </c>
      <c r="AE110">
        <v>2</v>
      </c>
      <c r="AF110">
        <v>1</v>
      </c>
      <c r="AG110" t="s">
        <v>67</v>
      </c>
      <c r="AH110">
        <v>0</v>
      </c>
      <c r="AI110" t="s">
        <v>72</v>
      </c>
      <c r="AJ110" s="3" t="s">
        <v>82</v>
      </c>
      <c r="AK110" s="3">
        <v>1</v>
      </c>
      <c r="AL110" s="3" t="s">
        <v>83</v>
      </c>
    </row>
    <row r="111" spans="1:38" x14ac:dyDescent="0.3">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v>2871</v>
      </c>
      <c r="S111">
        <v>23785</v>
      </c>
      <c r="T111">
        <v>1</v>
      </c>
      <c r="U111" t="s">
        <v>43</v>
      </c>
      <c r="V111">
        <v>15</v>
      </c>
      <c r="W111">
        <v>3</v>
      </c>
      <c r="X111">
        <v>3</v>
      </c>
      <c r="Y111">
        <v>0</v>
      </c>
      <c r="Z111">
        <v>1</v>
      </c>
      <c r="AA111">
        <v>5</v>
      </c>
      <c r="AB111">
        <v>3</v>
      </c>
      <c r="AC111">
        <v>0</v>
      </c>
      <c r="AD111">
        <v>0</v>
      </c>
      <c r="AE111">
        <v>0</v>
      </c>
      <c r="AF111">
        <v>0</v>
      </c>
      <c r="AG111" t="s">
        <v>66</v>
      </c>
      <c r="AH111">
        <v>0</v>
      </c>
      <c r="AI111" t="s">
        <v>72</v>
      </c>
      <c r="AJ111" s="3" t="s">
        <v>82</v>
      </c>
      <c r="AK111" s="3">
        <v>1</v>
      </c>
      <c r="AL111" s="3" t="s">
        <v>83</v>
      </c>
    </row>
    <row r="112" spans="1:38" x14ac:dyDescent="0.3">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v>7484</v>
      </c>
      <c r="S112">
        <v>25796</v>
      </c>
      <c r="T112">
        <v>3</v>
      </c>
      <c r="U112" t="s">
        <v>43</v>
      </c>
      <c r="V112">
        <v>20</v>
      </c>
      <c r="W112">
        <v>4</v>
      </c>
      <c r="X112">
        <v>3</v>
      </c>
      <c r="Y112">
        <v>0</v>
      </c>
      <c r="Z112">
        <v>23</v>
      </c>
      <c r="AA112">
        <v>1</v>
      </c>
      <c r="AB112">
        <v>2</v>
      </c>
      <c r="AC112">
        <v>13</v>
      </c>
      <c r="AD112">
        <v>12</v>
      </c>
      <c r="AE112">
        <v>12</v>
      </c>
      <c r="AF112">
        <v>8</v>
      </c>
      <c r="AG112" t="s">
        <v>65</v>
      </c>
      <c r="AH112">
        <v>0</v>
      </c>
      <c r="AI112" t="s">
        <v>72</v>
      </c>
      <c r="AJ112" s="3" t="s">
        <v>83</v>
      </c>
      <c r="AK112" s="3">
        <v>1</v>
      </c>
      <c r="AL112" s="3" t="s">
        <v>83</v>
      </c>
    </row>
    <row r="113" spans="1:38" x14ac:dyDescent="0.3">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v>6074</v>
      </c>
      <c r="S113">
        <v>22887</v>
      </c>
      <c r="T113">
        <v>1</v>
      </c>
      <c r="U113" t="s">
        <v>35</v>
      </c>
      <c r="V113">
        <v>24</v>
      </c>
      <c r="W113">
        <v>4</v>
      </c>
      <c r="X113">
        <v>4</v>
      </c>
      <c r="Y113">
        <v>0</v>
      </c>
      <c r="Z113">
        <v>9</v>
      </c>
      <c r="AA113">
        <v>3</v>
      </c>
      <c r="AB113">
        <v>3</v>
      </c>
      <c r="AC113">
        <v>9</v>
      </c>
      <c r="AD113">
        <v>7</v>
      </c>
      <c r="AE113">
        <v>0</v>
      </c>
      <c r="AF113">
        <v>6</v>
      </c>
      <c r="AG113" t="s">
        <v>65</v>
      </c>
      <c r="AH113">
        <v>1</v>
      </c>
      <c r="AI113" t="s">
        <v>69</v>
      </c>
      <c r="AJ113" s="3" t="s">
        <v>84</v>
      </c>
      <c r="AK113" s="3">
        <v>1</v>
      </c>
      <c r="AL113" s="3" t="s">
        <v>83</v>
      </c>
    </row>
    <row r="114" spans="1:38" x14ac:dyDescent="0.3">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v>17328</v>
      </c>
      <c r="S114">
        <v>13871</v>
      </c>
      <c r="T114">
        <v>2</v>
      </c>
      <c r="U114" t="s">
        <v>35</v>
      </c>
      <c r="V114">
        <v>12</v>
      </c>
      <c r="W114">
        <v>3</v>
      </c>
      <c r="X114">
        <v>3</v>
      </c>
      <c r="Y114">
        <v>0</v>
      </c>
      <c r="Z114">
        <v>23</v>
      </c>
      <c r="AA114">
        <v>3</v>
      </c>
      <c r="AB114">
        <v>3</v>
      </c>
      <c r="AC114">
        <v>5</v>
      </c>
      <c r="AD114">
        <v>3</v>
      </c>
      <c r="AE114">
        <v>4</v>
      </c>
      <c r="AF114">
        <v>4</v>
      </c>
      <c r="AG114" t="s">
        <v>68</v>
      </c>
      <c r="AH114">
        <v>0</v>
      </c>
      <c r="AI114" t="s">
        <v>71</v>
      </c>
      <c r="AJ114" s="3" t="s">
        <v>82</v>
      </c>
      <c r="AK114" s="3">
        <v>1</v>
      </c>
      <c r="AL114" s="3" t="s">
        <v>83</v>
      </c>
    </row>
    <row r="115" spans="1:38" x14ac:dyDescent="0.3">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v>2774</v>
      </c>
      <c r="S115">
        <v>13257</v>
      </c>
      <c r="T115">
        <v>0</v>
      </c>
      <c r="U115" t="s">
        <v>43</v>
      </c>
      <c r="V115">
        <v>12</v>
      </c>
      <c r="W115">
        <v>3</v>
      </c>
      <c r="X115">
        <v>3</v>
      </c>
      <c r="Y115">
        <v>1</v>
      </c>
      <c r="Z115">
        <v>6</v>
      </c>
      <c r="AA115">
        <v>2</v>
      </c>
      <c r="AB115">
        <v>3</v>
      </c>
      <c r="AC115">
        <v>5</v>
      </c>
      <c r="AD115">
        <v>3</v>
      </c>
      <c r="AE115">
        <v>1</v>
      </c>
      <c r="AF115">
        <v>2</v>
      </c>
      <c r="AG115" t="s">
        <v>68</v>
      </c>
      <c r="AH115">
        <v>0</v>
      </c>
      <c r="AI115" t="s">
        <v>69</v>
      </c>
      <c r="AJ115" s="3" t="s">
        <v>84</v>
      </c>
      <c r="AK115" s="3">
        <v>0</v>
      </c>
      <c r="AL115" s="3" t="s">
        <v>83</v>
      </c>
    </row>
    <row r="116" spans="1:38" x14ac:dyDescent="0.3">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v>4505</v>
      </c>
      <c r="S116">
        <v>15000</v>
      </c>
      <c r="T116">
        <v>6</v>
      </c>
      <c r="U116" t="s">
        <v>43</v>
      </c>
      <c r="V116">
        <v>15</v>
      </c>
      <c r="W116">
        <v>3</v>
      </c>
      <c r="X116">
        <v>3</v>
      </c>
      <c r="Y116">
        <v>1</v>
      </c>
      <c r="Z116">
        <v>12</v>
      </c>
      <c r="AA116">
        <v>3</v>
      </c>
      <c r="AB116">
        <v>3</v>
      </c>
      <c r="AC116">
        <v>1</v>
      </c>
      <c r="AD116">
        <v>0</v>
      </c>
      <c r="AE116">
        <v>0</v>
      </c>
      <c r="AF116">
        <v>0</v>
      </c>
      <c r="AG116" t="s">
        <v>67</v>
      </c>
      <c r="AH116">
        <v>0</v>
      </c>
      <c r="AI116" t="s">
        <v>72</v>
      </c>
      <c r="AJ116" s="3" t="s">
        <v>83</v>
      </c>
      <c r="AK116" s="3">
        <v>2</v>
      </c>
      <c r="AL116" s="3" t="s">
        <v>84</v>
      </c>
    </row>
    <row r="117" spans="1:38" x14ac:dyDescent="0.3">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v>7428</v>
      </c>
      <c r="S117">
        <v>14506</v>
      </c>
      <c r="T117">
        <v>2</v>
      </c>
      <c r="U117" t="s">
        <v>43</v>
      </c>
      <c r="V117">
        <v>12</v>
      </c>
      <c r="W117">
        <v>3</v>
      </c>
      <c r="X117">
        <v>1</v>
      </c>
      <c r="Y117">
        <v>0</v>
      </c>
      <c r="Z117">
        <v>12</v>
      </c>
      <c r="AA117">
        <v>3</v>
      </c>
      <c r="AB117">
        <v>3</v>
      </c>
      <c r="AC117">
        <v>5</v>
      </c>
      <c r="AD117">
        <v>3</v>
      </c>
      <c r="AE117">
        <v>1</v>
      </c>
      <c r="AF117">
        <v>3</v>
      </c>
      <c r="AG117" t="s">
        <v>68</v>
      </c>
      <c r="AH117">
        <v>0</v>
      </c>
      <c r="AI117" t="s">
        <v>71</v>
      </c>
      <c r="AJ117" s="3" t="s">
        <v>82</v>
      </c>
      <c r="AK117" s="3">
        <v>0</v>
      </c>
      <c r="AL117" s="3" t="s">
        <v>83</v>
      </c>
    </row>
    <row r="118" spans="1:38" x14ac:dyDescent="0.3">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v>11631</v>
      </c>
      <c r="S118">
        <v>5615</v>
      </c>
      <c r="T118">
        <v>2</v>
      </c>
      <c r="U118" t="s">
        <v>43</v>
      </c>
      <c r="V118">
        <v>12</v>
      </c>
      <c r="W118">
        <v>3</v>
      </c>
      <c r="X118">
        <v>4</v>
      </c>
      <c r="Y118">
        <v>0</v>
      </c>
      <c r="Z118">
        <v>14</v>
      </c>
      <c r="AA118">
        <v>6</v>
      </c>
      <c r="AB118">
        <v>3</v>
      </c>
      <c r="AC118">
        <v>11</v>
      </c>
      <c r="AD118">
        <v>10</v>
      </c>
      <c r="AE118">
        <v>5</v>
      </c>
      <c r="AF118">
        <v>8</v>
      </c>
      <c r="AG118" t="s">
        <v>65</v>
      </c>
      <c r="AH118">
        <v>0</v>
      </c>
      <c r="AI118" t="s">
        <v>71</v>
      </c>
      <c r="AJ118" s="3" t="s">
        <v>83</v>
      </c>
      <c r="AK118" s="3">
        <v>1</v>
      </c>
      <c r="AL118" s="3" t="s">
        <v>83</v>
      </c>
    </row>
    <row r="119" spans="1:38" x14ac:dyDescent="0.3">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v>9738</v>
      </c>
      <c r="S119">
        <v>22952</v>
      </c>
      <c r="T119">
        <v>0</v>
      </c>
      <c r="U119" t="s">
        <v>43</v>
      </c>
      <c r="V119">
        <v>14</v>
      </c>
      <c r="W119">
        <v>3</v>
      </c>
      <c r="X119">
        <v>3</v>
      </c>
      <c r="Y119">
        <v>1</v>
      </c>
      <c r="Z119">
        <v>10</v>
      </c>
      <c r="AA119">
        <v>6</v>
      </c>
      <c r="AB119">
        <v>3</v>
      </c>
      <c r="AC119">
        <v>9</v>
      </c>
      <c r="AD119">
        <v>7</v>
      </c>
      <c r="AE119">
        <v>2</v>
      </c>
      <c r="AF119">
        <v>8</v>
      </c>
      <c r="AG119" t="s">
        <v>65</v>
      </c>
      <c r="AH119">
        <v>0</v>
      </c>
      <c r="AI119" t="s">
        <v>71</v>
      </c>
      <c r="AJ119" s="3" t="s">
        <v>82</v>
      </c>
      <c r="AK119" s="3">
        <v>0</v>
      </c>
      <c r="AL119" s="3" t="s">
        <v>83</v>
      </c>
    </row>
    <row r="120" spans="1:38" x14ac:dyDescent="0.3">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v>2835</v>
      </c>
      <c r="S120">
        <v>2561</v>
      </c>
      <c r="T120">
        <v>5</v>
      </c>
      <c r="U120" t="s">
        <v>43</v>
      </c>
      <c r="V120">
        <v>22</v>
      </c>
      <c r="W120">
        <v>4</v>
      </c>
      <c r="X120">
        <v>1</v>
      </c>
      <c r="Y120">
        <v>1</v>
      </c>
      <c r="Z120">
        <v>7</v>
      </c>
      <c r="AA120">
        <v>2</v>
      </c>
      <c r="AB120">
        <v>3</v>
      </c>
      <c r="AC120">
        <v>1</v>
      </c>
      <c r="AD120">
        <v>0</v>
      </c>
      <c r="AE120">
        <v>0</v>
      </c>
      <c r="AF120">
        <v>0</v>
      </c>
      <c r="AG120" t="s">
        <v>67</v>
      </c>
      <c r="AH120">
        <v>0</v>
      </c>
      <c r="AI120" t="s">
        <v>71</v>
      </c>
      <c r="AJ120" s="3" t="s">
        <v>82</v>
      </c>
      <c r="AK120" s="3">
        <v>1</v>
      </c>
      <c r="AL120" s="3" t="s">
        <v>83</v>
      </c>
    </row>
    <row r="121" spans="1:38" x14ac:dyDescent="0.3">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v>16959</v>
      </c>
      <c r="S121">
        <v>19494</v>
      </c>
      <c r="T121">
        <v>1</v>
      </c>
      <c r="U121" t="s">
        <v>35</v>
      </c>
      <c r="V121">
        <v>12</v>
      </c>
      <c r="W121">
        <v>3</v>
      </c>
      <c r="X121">
        <v>4</v>
      </c>
      <c r="Y121">
        <v>2</v>
      </c>
      <c r="Z121">
        <v>25</v>
      </c>
      <c r="AA121">
        <v>3</v>
      </c>
      <c r="AB121">
        <v>4</v>
      </c>
      <c r="AC121">
        <v>25</v>
      </c>
      <c r="AD121">
        <v>12</v>
      </c>
      <c r="AE121">
        <v>4</v>
      </c>
      <c r="AF121">
        <v>12</v>
      </c>
      <c r="AG121" t="s">
        <v>65</v>
      </c>
      <c r="AH121">
        <v>0</v>
      </c>
      <c r="AI121" t="s">
        <v>71</v>
      </c>
      <c r="AJ121" s="3" t="s">
        <v>82</v>
      </c>
      <c r="AK121" s="3">
        <v>1</v>
      </c>
      <c r="AL121" s="3" t="s">
        <v>83</v>
      </c>
    </row>
    <row r="122" spans="1:38" x14ac:dyDescent="0.3">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v>2613</v>
      </c>
      <c r="S122">
        <v>22310</v>
      </c>
      <c r="T122">
        <v>1</v>
      </c>
      <c r="U122" t="s">
        <v>43</v>
      </c>
      <c r="V122">
        <v>25</v>
      </c>
      <c r="W122">
        <v>4</v>
      </c>
      <c r="X122">
        <v>3</v>
      </c>
      <c r="Y122">
        <v>3</v>
      </c>
      <c r="Z122">
        <v>10</v>
      </c>
      <c r="AA122">
        <v>2</v>
      </c>
      <c r="AB122">
        <v>2</v>
      </c>
      <c r="AC122">
        <v>10</v>
      </c>
      <c r="AD122">
        <v>7</v>
      </c>
      <c r="AE122">
        <v>0</v>
      </c>
      <c r="AF122">
        <v>9</v>
      </c>
      <c r="AG122" t="s">
        <v>65</v>
      </c>
      <c r="AH122">
        <v>0</v>
      </c>
      <c r="AI122" t="s">
        <v>70</v>
      </c>
      <c r="AJ122" s="3" t="s">
        <v>84</v>
      </c>
      <c r="AK122" s="3">
        <v>0</v>
      </c>
      <c r="AL122" s="3" t="s">
        <v>83</v>
      </c>
    </row>
    <row r="123" spans="1:38" x14ac:dyDescent="0.3">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v>6146</v>
      </c>
      <c r="S123">
        <v>15480</v>
      </c>
      <c r="T123">
        <v>0</v>
      </c>
      <c r="U123" t="s">
        <v>43</v>
      </c>
      <c r="V123">
        <v>13</v>
      </c>
      <c r="W123">
        <v>3</v>
      </c>
      <c r="X123">
        <v>1</v>
      </c>
      <c r="Y123">
        <v>1</v>
      </c>
      <c r="Z123">
        <v>8</v>
      </c>
      <c r="AA123">
        <v>2</v>
      </c>
      <c r="AB123">
        <v>4</v>
      </c>
      <c r="AC123">
        <v>7</v>
      </c>
      <c r="AD123">
        <v>7</v>
      </c>
      <c r="AE123">
        <v>0</v>
      </c>
      <c r="AF123">
        <v>7</v>
      </c>
      <c r="AG123" t="s">
        <v>65</v>
      </c>
      <c r="AH123">
        <v>0</v>
      </c>
      <c r="AI123" t="s">
        <v>71</v>
      </c>
      <c r="AJ123" s="3" t="s">
        <v>83</v>
      </c>
      <c r="AK123" s="3">
        <v>1</v>
      </c>
      <c r="AL123" s="3" t="s">
        <v>83</v>
      </c>
    </row>
    <row r="124" spans="1:38" x14ac:dyDescent="0.3">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v>4963</v>
      </c>
      <c r="S124">
        <v>4510</v>
      </c>
      <c r="T124">
        <v>9</v>
      </c>
      <c r="U124" t="s">
        <v>35</v>
      </c>
      <c r="V124">
        <v>18</v>
      </c>
      <c r="W124">
        <v>3</v>
      </c>
      <c r="X124">
        <v>1</v>
      </c>
      <c r="Y124">
        <v>3</v>
      </c>
      <c r="Z124">
        <v>7</v>
      </c>
      <c r="AA124">
        <v>2</v>
      </c>
      <c r="AB124">
        <v>3</v>
      </c>
      <c r="AC124">
        <v>5</v>
      </c>
      <c r="AD124">
        <v>4</v>
      </c>
      <c r="AE124">
        <v>4</v>
      </c>
      <c r="AF124">
        <v>3</v>
      </c>
      <c r="AG124" t="s">
        <v>68</v>
      </c>
      <c r="AH124">
        <v>1</v>
      </c>
      <c r="AI124" t="s">
        <v>71</v>
      </c>
      <c r="AJ124" s="3" t="s">
        <v>83</v>
      </c>
      <c r="AK124" s="3">
        <v>2</v>
      </c>
      <c r="AL124" s="3" t="s">
        <v>84</v>
      </c>
    </row>
    <row r="125" spans="1:38" x14ac:dyDescent="0.3">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v>19537</v>
      </c>
      <c r="S125">
        <v>6462</v>
      </c>
      <c r="T125">
        <v>7</v>
      </c>
      <c r="U125" t="s">
        <v>43</v>
      </c>
      <c r="V125">
        <v>13</v>
      </c>
      <c r="W125">
        <v>3</v>
      </c>
      <c r="X125">
        <v>3</v>
      </c>
      <c r="Y125">
        <v>0</v>
      </c>
      <c r="Z125">
        <v>23</v>
      </c>
      <c r="AA125">
        <v>5</v>
      </c>
      <c r="AB125">
        <v>3</v>
      </c>
      <c r="AC125">
        <v>20</v>
      </c>
      <c r="AD125">
        <v>18</v>
      </c>
      <c r="AE125">
        <v>15</v>
      </c>
      <c r="AF125">
        <v>15</v>
      </c>
      <c r="AG125" t="s">
        <v>65</v>
      </c>
      <c r="AH125">
        <v>0</v>
      </c>
      <c r="AI125" t="s">
        <v>69</v>
      </c>
      <c r="AJ125" s="3" t="s">
        <v>84</v>
      </c>
      <c r="AK125" s="3">
        <v>0</v>
      </c>
      <c r="AL125" s="3" t="s">
        <v>83</v>
      </c>
    </row>
    <row r="126" spans="1:38" x14ac:dyDescent="0.3">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v>6172</v>
      </c>
      <c r="S126">
        <v>20739</v>
      </c>
      <c r="T126">
        <v>4</v>
      </c>
      <c r="U126" t="s">
        <v>35</v>
      </c>
      <c r="V126">
        <v>18</v>
      </c>
      <c r="W126">
        <v>3</v>
      </c>
      <c r="X126">
        <v>2</v>
      </c>
      <c r="Y126">
        <v>0</v>
      </c>
      <c r="Z126">
        <v>12</v>
      </c>
      <c r="AA126">
        <v>3</v>
      </c>
      <c r="AB126">
        <v>2</v>
      </c>
      <c r="AC126">
        <v>7</v>
      </c>
      <c r="AD126">
        <v>7</v>
      </c>
      <c r="AE126">
        <v>7</v>
      </c>
      <c r="AF126">
        <v>7</v>
      </c>
      <c r="AG126" t="s">
        <v>65</v>
      </c>
      <c r="AH126">
        <v>1</v>
      </c>
      <c r="AI126" t="s">
        <v>69</v>
      </c>
      <c r="AJ126" s="3" t="s">
        <v>84</v>
      </c>
      <c r="AK126" s="3">
        <v>1</v>
      </c>
      <c r="AL126" s="3" t="s">
        <v>83</v>
      </c>
    </row>
    <row r="127" spans="1:38" x14ac:dyDescent="0.3">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v>2368</v>
      </c>
      <c r="S127">
        <v>23300</v>
      </c>
      <c r="T127">
        <v>1</v>
      </c>
      <c r="U127" t="s">
        <v>43</v>
      </c>
      <c r="V127">
        <v>19</v>
      </c>
      <c r="W127">
        <v>3</v>
      </c>
      <c r="X127">
        <v>3</v>
      </c>
      <c r="Y127">
        <v>0</v>
      </c>
      <c r="Z127">
        <v>5</v>
      </c>
      <c r="AA127">
        <v>3</v>
      </c>
      <c r="AB127">
        <v>2</v>
      </c>
      <c r="AC127">
        <v>5</v>
      </c>
      <c r="AD127">
        <v>4</v>
      </c>
      <c r="AE127">
        <v>4</v>
      </c>
      <c r="AF127">
        <v>3</v>
      </c>
      <c r="AG127" t="s">
        <v>68</v>
      </c>
      <c r="AH127">
        <v>0</v>
      </c>
      <c r="AI127" t="s">
        <v>71</v>
      </c>
      <c r="AJ127" s="3" t="s">
        <v>83</v>
      </c>
      <c r="AK127" s="3">
        <v>1</v>
      </c>
      <c r="AL127" s="3" t="s">
        <v>83</v>
      </c>
    </row>
    <row r="128" spans="1:38" x14ac:dyDescent="0.3">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v>10312</v>
      </c>
      <c r="S128">
        <v>3465</v>
      </c>
      <c r="T128">
        <v>1</v>
      </c>
      <c r="U128" t="s">
        <v>43</v>
      </c>
      <c r="V128">
        <v>12</v>
      </c>
      <c r="W128">
        <v>3</v>
      </c>
      <c r="X128">
        <v>4</v>
      </c>
      <c r="Y128">
        <v>1</v>
      </c>
      <c r="Z128">
        <v>40</v>
      </c>
      <c r="AA128">
        <v>3</v>
      </c>
      <c r="AB128">
        <v>2</v>
      </c>
      <c r="AC128">
        <v>40</v>
      </c>
      <c r="AD128">
        <v>10</v>
      </c>
      <c r="AE128">
        <v>15</v>
      </c>
      <c r="AF128">
        <v>6</v>
      </c>
      <c r="AG128" t="s">
        <v>65</v>
      </c>
      <c r="AH128">
        <v>1</v>
      </c>
      <c r="AI128" t="s">
        <v>72</v>
      </c>
      <c r="AJ128" s="3" t="s">
        <v>82</v>
      </c>
      <c r="AK128" s="3">
        <v>0</v>
      </c>
      <c r="AL128" s="3" t="s">
        <v>83</v>
      </c>
    </row>
    <row r="129" spans="1:38" x14ac:dyDescent="0.3">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v>1675</v>
      </c>
      <c r="S129">
        <v>26820</v>
      </c>
      <c r="T129">
        <v>1</v>
      </c>
      <c r="U129" t="s">
        <v>35</v>
      </c>
      <c r="V129">
        <v>19</v>
      </c>
      <c r="W129">
        <v>3</v>
      </c>
      <c r="X129">
        <v>4</v>
      </c>
      <c r="Y129">
        <v>0</v>
      </c>
      <c r="Z129">
        <v>0</v>
      </c>
      <c r="AA129">
        <v>2</v>
      </c>
      <c r="AB129">
        <v>2</v>
      </c>
      <c r="AC129">
        <v>0</v>
      </c>
      <c r="AD129">
        <v>0</v>
      </c>
      <c r="AE129">
        <v>0</v>
      </c>
      <c r="AF129">
        <v>0</v>
      </c>
      <c r="AG129" t="s">
        <v>66</v>
      </c>
      <c r="AH129">
        <v>1</v>
      </c>
      <c r="AI129" t="s">
        <v>69</v>
      </c>
      <c r="AJ129" s="3" t="s">
        <v>84</v>
      </c>
      <c r="AK129" s="3">
        <v>2</v>
      </c>
      <c r="AL129" s="3" t="s">
        <v>84</v>
      </c>
    </row>
    <row r="130" spans="1:38" x14ac:dyDescent="0.3">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v>2523</v>
      </c>
      <c r="S130">
        <v>19299</v>
      </c>
      <c r="T130">
        <v>0</v>
      </c>
      <c r="U130" t="s">
        <v>43</v>
      </c>
      <c r="V130">
        <v>14</v>
      </c>
      <c r="W130">
        <v>3</v>
      </c>
      <c r="X130">
        <v>3</v>
      </c>
      <c r="Y130">
        <v>1</v>
      </c>
      <c r="Z130">
        <v>3</v>
      </c>
      <c r="AA130">
        <v>2</v>
      </c>
      <c r="AB130">
        <v>3</v>
      </c>
      <c r="AC130">
        <v>2</v>
      </c>
      <c r="AD130">
        <v>1</v>
      </c>
      <c r="AE130">
        <v>2</v>
      </c>
      <c r="AF130">
        <v>1</v>
      </c>
      <c r="AG130" t="s">
        <v>67</v>
      </c>
      <c r="AH130">
        <v>0</v>
      </c>
      <c r="AI130" t="s">
        <v>72</v>
      </c>
      <c r="AJ130" s="3" t="s">
        <v>82</v>
      </c>
      <c r="AK130" s="3">
        <v>1</v>
      </c>
      <c r="AL130" s="3" t="s">
        <v>83</v>
      </c>
    </row>
    <row r="131" spans="1:38" x14ac:dyDescent="0.3">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v>6567</v>
      </c>
      <c r="S131">
        <v>5549</v>
      </c>
      <c r="T131">
        <v>1</v>
      </c>
      <c r="U131" t="s">
        <v>43</v>
      </c>
      <c r="V131">
        <v>14</v>
      </c>
      <c r="W131">
        <v>3</v>
      </c>
      <c r="X131">
        <v>3</v>
      </c>
      <c r="Y131">
        <v>0</v>
      </c>
      <c r="Z131">
        <v>16</v>
      </c>
      <c r="AA131">
        <v>2</v>
      </c>
      <c r="AB131">
        <v>2</v>
      </c>
      <c r="AC131">
        <v>15</v>
      </c>
      <c r="AD131">
        <v>11</v>
      </c>
      <c r="AE131">
        <v>5</v>
      </c>
      <c r="AF131">
        <v>11</v>
      </c>
      <c r="AG131" t="s">
        <v>65</v>
      </c>
      <c r="AH131">
        <v>0</v>
      </c>
      <c r="AI131" t="s">
        <v>72</v>
      </c>
      <c r="AJ131" s="3" t="s">
        <v>83</v>
      </c>
      <c r="AK131" s="3">
        <v>1</v>
      </c>
      <c r="AL131" s="3" t="s">
        <v>83</v>
      </c>
    </row>
    <row r="132" spans="1:38" x14ac:dyDescent="0.3">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v>4739</v>
      </c>
      <c r="S132">
        <v>16090</v>
      </c>
      <c r="T132">
        <v>4</v>
      </c>
      <c r="U132" t="s">
        <v>43</v>
      </c>
      <c r="V132">
        <v>12</v>
      </c>
      <c r="W132">
        <v>3</v>
      </c>
      <c r="X132">
        <v>4</v>
      </c>
      <c r="Y132">
        <v>0</v>
      </c>
      <c r="Z132">
        <v>18</v>
      </c>
      <c r="AA132">
        <v>2</v>
      </c>
      <c r="AB132">
        <v>3</v>
      </c>
      <c r="AC132">
        <v>3</v>
      </c>
      <c r="AD132">
        <v>2</v>
      </c>
      <c r="AE132">
        <v>1</v>
      </c>
      <c r="AF132">
        <v>2</v>
      </c>
      <c r="AG132" t="s">
        <v>67</v>
      </c>
      <c r="AH132">
        <v>0</v>
      </c>
      <c r="AI132" t="s">
        <v>70</v>
      </c>
      <c r="AJ132" s="3" t="s">
        <v>84</v>
      </c>
      <c r="AK132" s="3">
        <v>1</v>
      </c>
      <c r="AL132" s="3" t="s">
        <v>83</v>
      </c>
    </row>
    <row r="133" spans="1:38" x14ac:dyDescent="0.3">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v>9208</v>
      </c>
      <c r="S133">
        <v>6645</v>
      </c>
      <c r="T133">
        <v>4</v>
      </c>
      <c r="U133" t="s">
        <v>43</v>
      </c>
      <c r="V133">
        <v>11</v>
      </c>
      <c r="W133">
        <v>3</v>
      </c>
      <c r="X133">
        <v>4</v>
      </c>
      <c r="Y133">
        <v>0</v>
      </c>
      <c r="Z133">
        <v>16</v>
      </c>
      <c r="AA133">
        <v>3</v>
      </c>
      <c r="AB133">
        <v>3</v>
      </c>
      <c r="AC133">
        <v>2</v>
      </c>
      <c r="AD133">
        <v>2</v>
      </c>
      <c r="AE133">
        <v>2</v>
      </c>
      <c r="AF133">
        <v>1</v>
      </c>
      <c r="AG133" t="s">
        <v>67</v>
      </c>
      <c r="AH133">
        <v>0</v>
      </c>
      <c r="AI133" t="s">
        <v>70</v>
      </c>
      <c r="AJ133" s="3" t="s">
        <v>82</v>
      </c>
      <c r="AK133" s="3">
        <v>1</v>
      </c>
      <c r="AL133" s="3" t="s">
        <v>83</v>
      </c>
    </row>
    <row r="134" spans="1:38" x14ac:dyDescent="0.3">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v>4559</v>
      </c>
      <c r="S134">
        <v>24788</v>
      </c>
      <c r="T134">
        <v>3</v>
      </c>
      <c r="U134" t="s">
        <v>35</v>
      </c>
      <c r="V134">
        <v>11</v>
      </c>
      <c r="W134">
        <v>3</v>
      </c>
      <c r="X134">
        <v>3</v>
      </c>
      <c r="Y134">
        <v>1</v>
      </c>
      <c r="Z134">
        <v>4</v>
      </c>
      <c r="AA134">
        <v>2</v>
      </c>
      <c r="AB134">
        <v>3</v>
      </c>
      <c r="AC134">
        <v>2</v>
      </c>
      <c r="AD134">
        <v>2</v>
      </c>
      <c r="AE134">
        <v>2</v>
      </c>
      <c r="AF134">
        <v>2</v>
      </c>
      <c r="AG134" t="s">
        <v>67</v>
      </c>
      <c r="AH134">
        <v>1</v>
      </c>
      <c r="AI134" t="s">
        <v>69</v>
      </c>
      <c r="AJ134" s="3" t="s">
        <v>84</v>
      </c>
      <c r="AK134" s="3">
        <v>2</v>
      </c>
      <c r="AL134" s="3" t="s">
        <v>84</v>
      </c>
    </row>
    <row r="135" spans="1:38" x14ac:dyDescent="0.3">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v>8189</v>
      </c>
      <c r="S135">
        <v>21196</v>
      </c>
      <c r="T135">
        <v>3</v>
      </c>
      <c r="U135" t="s">
        <v>35</v>
      </c>
      <c r="V135">
        <v>13</v>
      </c>
      <c r="W135">
        <v>3</v>
      </c>
      <c r="X135">
        <v>3</v>
      </c>
      <c r="Y135">
        <v>1</v>
      </c>
      <c r="Z135">
        <v>12</v>
      </c>
      <c r="AA135">
        <v>2</v>
      </c>
      <c r="AB135">
        <v>3</v>
      </c>
      <c r="AC135">
        <v>9</v>
      </c>
      <c r="AD135">
        <v>7</v>
      </c>
      <c r="AE135">
        <v>0</v>
      </c>
      <c r="AF135">
        <v>7</v>
      </c>
      <c r="AG135" t="s">
        <v>65</v>
      </c>
      <c r="AH135">
        <v>0</v>
      </c>
      <c r="AI135" t="s">
        <v>71</v>
      </c>
      <c r="AJ135" s="3" t="s">
        <v>84</v>
      </c>
      <c r="AK135" s="3">
        <v>1</v>
      </c>
      <c r="AL135" s="3" t="s">
        <v>83</v>
      </c>
    </row>
    <row r="136" spans="1:38" x14ac:dyDescent="0.3">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v>2942</v>
      </c>
      <c r="S136">
        <v>8916</v>
      </c>
      <c r="T136">
        <v>1</v>
      </c>
      <c r="U136" t="s">
        <v>43</v>
      </c>
      <c r="V136">
        <v>23</v>
      </c>
      <c r="W136">
        <v>4</v>
      </c>
      <c r="X136">
        <v>4</v>
      </c>
      <c r="Y136">
        <v>1</v>
      </c>
      <c r="Z136">
        <v>8</v>
      </c>
      <c r="AA136">
        <v>3</v>
      </c>
      <c r="AB136">
        <v>3</v>
      </c>
      <c r="AC136">
        <v>8</v>
      </c>
      <c r="AD136">
        <v>7</v>
      </c>
      <c r="AE136">
        <v>5</v>
      </c>
      <c r="AF136">
        <v>7</v>
      </c>
      <c r="AG136" t="s">
        <v>65</v>
      </c>
      <c r="AH136">
        <v>0</v>
      </c>
      <c r="AI136" t="s">
        <v>70</v>
      </c>
      <c r="AJ136" s="3" t="s">
        <v>84</v>
      </c>
      <c r="AK136" s="3">
        <v>0</v>
      </c>
      <c r="AL136" s="3" t="s">
        <v>83</v>
      </c>
    </row>
    <row r="137" spans="1:38" x14ac:dyDescent="0.3">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v>4941</v>
      </c>
      <c r="S137">
        <v>2819</v>
      </c>
      <c r="T137">
        <v>6</v>
      </c>
      <c r="U137" t="s">
        <v>43</v>
      </c>
      <c r="V137">
        <v>20</v>
      </c>
      <c r="W137">
        <v>4</v>
      </c>
      <c r="X137">
        <v>4</v>
      </c>
      <c r="Y137">
        <v>2</v>
      </c>
      <c r="Z137">
        <v>7</v>
      </c>
      <c r="AA137">
        <v>0</v>
      </c>
      <c r="AB137">
        <v>3</v>
      </c>
      <c r="AC137">
        <v>3</v>
      </c>
      <c r="AD137">
        <v>2</v>
      </c>
      <c r="AE137">
        <v>0</v>
      </c>
      <c r="AF137">
        <v>1</v>
      </c>
      <c r="AG137" t="s">
        <v>67</v>
      </c>
      <c r="AH137">
        <v>0</v>
      </c>
      <c r="AI137" t="s">
        <v>72</v>
      </c>
      <c r="AJ137" s="3" t="s">
        <v>83</v>
      </c>
      <c r="AK137" s="3">
        <v>2</v>
      </c>
      <c r="AL137" s="3" t="s">
        <v>84</v>
      </c>
    </row>
    <row r="138" spans="1:38" x14ac:dyDescent="0.3">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v>10650</v>
      </c>
      <c r="S138">
        <v>25150</v>
      </c>
      <c r="T138">
        <v>2</v>
      </c>
      <c r="U138" t="s">
        <v>43</v>
      </c>
      <c r="V138">
        <v>15</v>
      </c>
      <c r="W138">
        <v>3</v>
      </c>
      <c r="X138">
        <v>4</v>
      </c>
      <c r="Y138">
        <v>0</v>
      </c>
      <c r="Z138">
        <v>18</v>
      </c>
      <c r="AA138">
        <v>2</v>
      </c>
      <c r="AB138">
        <v>3</v>
      </c>
      <c r="AC138">
        <v>4</v>
      </c>
      <c r="AD138">
        <v>2</v>
      </c>
      <c r="AE138">
        <v>0</v>
      </c>
      <c r="AF138">
        <v>3</v>
      </c>
      <c r="AG138" t="s">
        <v>68</v>
      </c>
      <c r="AH138">
        <v>1</v>
      </c>
      <c r="AI138" t="s">
        <v>71</v>
      </c>
      <c r="AJ138" s="3" t="s">
        <v>82</v>
      </c>
      <c r="AK138" s="3">
        <v>0</v>
      </c>
      <c r="AL138" s="3" t="s">
        <v>83</v>
      </c>
    </row>
    <row r="139" spans="1:38" x14ac:dyDescent="0.3">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v>5902</v>
      </c>
      <c r="S139">
        <v>14590</v>
      </c>
      <c r="T139">
        <v>4</v>
      </c>
      <c r="U139" t="s">
        <v>43</v>
      </c>
      <c r="V139">
        <v>14</v>
      </c>
      <c r="W139">
        <v>3</v>
      </c>
      <c r="X139">
        <v>3</v>
      </c>
      <c r="Y139">
        <v>1</v>
      </c>
      <c r="Z139">
        <v>17</v>
      </c>
      <c r="AA139">
        <v>1</v>
      </c>
      <c r="AB139">
        <v>4</v>
      </c>
      <c r="AC139">
        <v>15</v>
      </c>
      <c r="AD139">
        <v>11</v>
      </c>
      <c r="AE139">
        <v>5</v>
      </c>
      <c r="AF139">
        <v>9</v>
      </c>
      <c r="AG139" t="s">
        <v>65</v>
      </c>
      <c r="AH139">
        <v>0</v>
      </c>
      <c r="AI139" t="s">
        <v>69</v>
      </c>
      <c r="AJ139" s="3" t="s">
        <v>84</v>
      </c>
      <c r="AK139" s="3">
        <v>0</v>
      </c>
      <c r="AL139" s="3" t="s">
        <v>83</v>
      </c>
    </row>
    <row r="140" spans="1:38" x14ac:dyDescent="0.3">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v>8639</v>
      </c>
      <c r="S140">
        <v>24835</v>
      </c>
      <c r="T140">
        <v>2</v>
      </c>
      <c r="U140" t="s">
        <v>43</v>
      </c>
      <c r="V140">
        <v>18</v>
      </c>
      <c r="W140">
        <v>3</v>
      </c>
      <c r="X140">
        <v>4</v>
      </c>
      <c r="Y140">
        <v>0</v>
      </c>
      <c r="Z140">
        <v>6</v>
      </c>
      <c r="AA140">
        <v>3</v>
      </c>
      <c r="AB140">
        <v>3</v>
      </c>
      <c r="AC140">
        <v>2</v>
      </c>
      <c r="AD140">
        <v>2</v>
      </c>
      <c r="AE140">
        <v>2</v>
      </c>
      <c r="AF140">
        <v>2</v>
      </c>
      <c r="AG140" t="s">
        <v>67</v>
      </c>
      <c r="AH140">
        <v>0</v>
      </c>
      <c r="AI140" t="s">
        <v>71</v>
      </c>
      <c r="AJ140" s="3" t="s">
        <v>84</v>
      </c>
      <c r="AK140" s="3">
        <v>1</v>
      </c>
      <c r="AL140" s="3" t="s">
        <v>83</v>
      </c>
    </row>
    <row r="141" spans="1:38" x14ac:dyDescent="0.3">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v>6347</v>
      </c>
      <c r="S141">
        <v>13982</v>
      </c>
      <c r="T141">
        <v>0</v>
      </c>
      <c r="U141" t="s">
        <v>35</v>
      </c>
      <c r="V141">
        <v>19</v>
      </c>
      <c r="W141">
        <v>3</v>
      </c>
      <c r="X141">
        <v>4</v>
      </c>
      <c r="Y141">
        <v>0</v>
      </c>
      <c r="Z141">
        <v>12</v>
      </c>
      <c r="AA141">
        <v>2</v>
      </c>
      <c r="AB141">
        <v>1</v>
      </c>
      <c r="AC141">
        <v>11</v>
      </c>
      <c r="AD141">
        <v>9</v>
      </c>
      <c r="AE141">
        <v>4</v>
      </c>
      <c r="AF141">
        <v>7</v>
      </c>
      <c r="AG141" t="s">
        <v>65</v>
      </c>
      <c r="AH141">
        <v>0</v>
      </c>
      <c r="AI141" t="s">
        <v>72</v>
      </c>
      <c r="AJ141" s="3" t="s">
        <v>82</v>
      </c>
      <c r="AK141" s="3">
        <v>1</v>
      </c>
      <c r="AL141" s="3" t="s">
        <v>83</v>
      </c>
    </row>
    <row r="142" spans="1:38" x14ac:dyDescent="0.3">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v>4200</v>
      </c>
      <c r="S142">
        <v>10224</v>
      </c>
      <c r="T142">
        <v>7</v>
      </c>
      <c r="U142" t="s">
        <v>43</v>
      </c>
      <c r="V142">
        <v>22</v>
      </c>
      <c r="W142">
        <v>4</v>
      </c>
      <c r="X142">
        <v>1</v>
      </c>
      <c r="Y142">
        <v>0</v>
      </c>
      <c r="Z142">
        <v>10</v>
      </c>
      <c r="AA142">
        <v>2</v>
      </c>
      <c r="AB142">
        <v>4</v>
      </c>
      <c r="AC142">
        <v>5</v>
      </c>
      <c r="AD142">
        <v>4</v>
      </c>
      <c r="AE142">
        <v>0</v>
      </c>
      <c r="AF142">
        <v>4</v>
      </c>
      <c r="AG142" t="s">
        <v>68</v>
      </c>
      <c r="AH142">
        <v>1</v>
      </c>
      <c r="AI142" t="s">
        <v>71</v>
      </c>
      <c r="AJ142" s="3" t="s">
        <v>83</v>
      </c>
      <c r="AK142" s="3">
        <v>1</v>
      </c>
      <c r="AL142" s="3" t="s">
        <v>83</v>
      </c>
    </row>
    <row r="143" spans="1:38" x14ac:dyDescent="0.3">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v>3452</v>
      </c>
      <c r="S143">
        <v>9752</v>
      </c>
      <c r="T143">
        <v>5</v>
      </c>
      <c r="U143" t="s">
        <v>43</v>
      </c>
      <c r="V143">
        <v>13</v>
      </c>
      <c r="W143">
        <v>3</v>
      </c>
      <c r="X143">
        <v>2</v>
      </c>
      <c r="Y143">
        <v>0</v>
      </c>
      <c r="Z143">
        <v>9</v>
      </c>
      <c r="AA143">
        <v>2</v>
      </c>
      <c r="AB143">
        <v>2</v>
      </c>
      <c r="AC143">
        <v>6</v>
      </c>
      <c r="AD143">
        <v>5</v>
      </c>
      <c r="AE143">
        <v>0</v>
      </c>
      <c r="AF143">
        <v>3</v>
      </c>
      <c r="AG143" t="s">
        <v>65</v>
      </c>
      <c r="AH143">
        <v>0</v>
      </c>
      <c r="AI143" t="s">
        <v>71</v>
      </c>
      <c r="AJ143" s="3" t="s">
        <v>82</v>
      </c>
      <c r="AK143" s="3">
        <v>0</v>
      </c>
      <c r="AL143" s="3" t="s">
        <v>83</v>
      </c>
    </row>
    <row r="144" spans="1:38" x14ac:dyDescent="0.3">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v>4317</v>
      </c>
      <c r="S144">
        <v>2302</v>
      </c>
      <c r="T144">
        <v>3</v>
      </c>
      <c r="U144" t="s">
        <v>35</v>
      </c>
      <c r="V144">
        <v>20</v>
      </c>
      <c r="W144">
        <v>4</v>
      </c>
      <c r="X144">
        <v>2</v>
      </c>
      <c r="Y144">
        <v>0</v>
      </c>
      <c r="Z144">
        <v>19</v>
      </c>
      <c r="AA144">
        <v>2</v>
      </c>
      <c r="AB144">
        <v>3</v>
      </c>
      <c r="AC144">
        <v>3</v>
      </c>
      <c r="AD144">
        <v>2</v>
      </c>
      <c r="AE144">
        <v>2</v>
      </c>
      <c r="AF144">
        <v>2</v>
      </c>
      <c r="AG144" t="s">
        <v>67</v>
      </c>
      <c r="AH144">
        <v>0</v>
      </c>
      <c r="AI144" t="s">
        <v>70</v>
      </c>
      <c r="AJ144" s="3" t="s">
        <v>84</v>
      </c>
      <c r="AK144" s="3">
        <v>2</v>
      </c>
      <c r="AL144" s="3" t="s">
        <v>84</v>
      </c>
    </row>
    <row r="145" spans="1:38" x14ac:dyDescent="0.3">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v>2632</v>
      </c>
      <c r="S145">
        <v>23910</v>
      </c>
      <c r="T145">
        <v>1</v>
      </c>
      <c r="U145" t="s">
        <v>43</v>
      </c>
      <c r="V145">
        <v>14</v>
      </c>
      <c r="W145">
        <v>3</v>
      </c>
      <c r="X145">
        <v>3</v>
      </c>
      <c r="Y145">
        <v>0</v>
      </c>
      <c r="Z145">
        <v>5</v>
      </c>
      <c r="AA145">
        <v>4</v>
      </c>
      <c r="AB145">
        <v>2</v>
      </c>
      <c r="AC145">
        <v>5</v>
      </c>
      <c r="AD145">
        <v>4</v>
      </c>
      <c r="AE145">
        <v>0</v>
      </c>
      <c r="AF145">
        <v>4</v>
      </c>
      <c r="AG145" t="s">
        <v>68</v>
      </c>
      <c r="AH145">
        <v>0</v>
      </c>
      <c r="AI145" t="s">
        <v>71</v>
      </c>
      <c r="AJ145" s="3" t="s">
        <v>84</v>
      </c>
      <c r="AK145" s="3">
        <v>0</v>
      </c>
      <c r="AL145" s="3" t="s">
        <v>83</v>
      </c>
    </row>
    <row r="146" spans="1:38" x14ac:dyDescent="0.3">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v>4668</v>
      </c>
      <c r="S146">
        <v>22812</v>
      </c>
      <c r="T146">
        <v>0</v>
      </c>
      <c r="U146" t="s">
        <v>43</v>
      </c>
      <c r="V146">
        <v>17</v>
      </c>
      <c r="W146">
        <v>3</v>
      </c>
      <c r="X146">
        <v>4</v>
      </c>
      <c r="Y146">
        <v>3</v>
      </c>
      <c r="Z146">
        <v>9</v>
      </c>
      <c r="AA146">
        <v>2</v>
      </c>
      <c r="AB146">
        <v>4</v>
      </c>
      <c r="AC146">
        <v>8</v>
      </c>
      <c r="AD146">
        <v>7</v>
      </c>
      <c r="AE146">
        <v>0</v>
      </c>
      <c r="AF146">
        <v>7</v>
      </c>
      <c r="AG146" t="s">
        <v>65</v>
      </c>
      <c r="AH146">
        <v>0</v>
      </c>
      <c r="AI146" t="s">
        <v>71</v>
      </c>
      <c r="AJ146" s="3" t="s">
        <v>82</v>
      </c>
      <c r="AK146" s="3">
        <v>0</v>
      </c>
      <c r="AL146" s="3" t="s">
        <v>83</v>
      </c>
    </row>
    <row r="147" spans="1:38" x14ac:dyDescent="0.3">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v>3204</v>
      </c>
      <c r="S147">
        <v>10415</v>
      </c>
      <c r="T147">
        <v>5</v>
      </c>
      <c r="U147" t="s">
        <v>43</v>
      </c>
      <c r="V147">
        <v>14</v>
      </c>
      <c r="W147">
        <v>3</v>
      </c>
      <c r="X147">
        <v>4</v>
      </c>
      <c r="Y147">
        <v>1</v>
      </c>
      <c r="Z147">
        <v>8</v>
      </c>
      <c r="AA147">
        <v>3</v>
      </c>
      <c r="AB147">
        <v>3</v>
      </c>
      <c r="AC147">
        <v>3</v>
      </c>
      <c r="AD147">
        <v>2</v>
      </c>
      <c r="AE147">
        <v>2</v>
      </c>
      <c r="AF147">
        <v>2</v>
      </c>
      <c r="AG147" t="s">
        <v>67</v>
      </c>
      <c r="AH147">
        <v>0</v>
      </c>
      <c r="AI147" t="s">
        <v>71</v>
      </c>
      <c r="AJ147" s="3" t="s">
        <v>83</v>
      </c>
      <c r="AK147" s="3">
        <v>2</v>
      </c>
      <c r="AL147" s="3" t="s">
        <v>84</v>
      </c>
    </row>
    <row r="148" spans="1:38" x14ac:dyDescent="0.3">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v>2720</v>
      </c>
      <c r="S148">
        <v>11162</v>
      </c>
      <c r="T148">
        <v>0</v>
      </c>
      <c r="U148" t="s">
        <v>43</v>
      </c>
      <c r="V148">
        <v>13</v>
      </c>
      <c r="W148">
        <v>3</v>
      </c>
      <c r="X148">
        <v>4</v>
      </c>
      <c r="Y148">
        <v>0</v>
      </c>
      <c r="Z148">
        <v>6</v>
      </c>
      <c r="AA148">
        <v>3</v>
      </c>
      <c r="AB148">
        <v>3</v>
      </c>
      <c r="AC148">
        <v>5</v>
      </c>
      <c r="AD148">
        <v>3</v>
      </c>
      <c r="AE148">
        <v>1</v>
      </c>
      <c r="AF148">
        <v>2</v>
      </c>
      <c r="AG148" t="s">
        <v>68</v>
      </c>
      <c r="AH148">
        <v>0</v>
      </c>
      <c r="AI148" t="s">
        <v>71</v>
      </c>
      <c r="AJ148" s="3" t="s">
        <v>82</v>
      </c>
      <c r="AK148" s="3">
        <v>0</v>
      </c>
      <c r="AL148" s="3" t="s">
        <v>83</v>
      </c>
    </row>
    <row r="149" spans="1:38" x14ac:dyDescent="0.3">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v>17181</v>
      </c>
      <c r="S149">
        <v>12888</v>
      </c>
      <c r="T149">
        <v>4</v>
      </c>
      <c r="U149" t="s">
        <v>43</v>
      </c>
      <c r="V149">
        <v>13</v>
      </c>
      <c r="W149">
        <v>3</v>
      </c>
      <c r="X149">
        <v>2</v>
      </c>
      <c r="Y149">
        <v>1</v>
      </c>
      <c r="Z149">
        <v>21</v>
      </c>
      <c r="AA149">
        <v>2</v>
      </c>
      <c r="AB149">
        <v>2</v>
      </c>
      <c r="AC149">
        <v>7</v>
      </c>
      <c r="AD149">
        <v>6</v>
      </c>
      <c r="AE149">
        <v>7</v>
      </c>
      <c r="AF149">
        <v>7</v>
      </c>
      <c r="AG149" t="s">
        <v>65</v>
      </c>
      <c r="AH149">
        <v>0</v>
      </c>
      <c r="AI149" t="s">
        <v>71</v>
      </c>
      <c r="AJ149" s="3" t="s">
        <v>83</v>
      </c>
      <c r="AK149" s="3">
        <v>1</v>
      </c>
      <c r="AL149" s="3" t="s">
        <v>83</v>
      </c>
    </row>
    <row r="150" spans="1:38" x14ac:dyDescent="0.3">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v>2238</v>
      </c>
      <c r="S150">
        <v>6961</v>
      </c>
      <c r="T150">
        <v>2</v>
      </c>
      <c r="U150" t="s">
        <v>43</v>
      </c>
      <c r="V150">
        <v>21</v>
      </c>
      <c r="W150">
        <v>4</v>
      </c>
      <c r="X150">
        <v>4</v>
      </c>
      <c r="Y150">
        <v>1</v>
      </c>
      <c r="Z150">
        <v>7</v>
      </c>
      <c r="AA150">
        <v>2</v>
      </c>
      <c r="AB150">
        <v>3</v>
      </c>
      <c r="AC150">
        <v>5</v>
      </c>
      <c r="AD150">
        <v>0</v>
      </c>
      <c r="AE150">
        <v>1</v>
      </c>
      <c r="AF150">
        <v>4</v>
      </c>
      <c r="AG150" t="s">
        <v>68</v>
      </c>
      <c r="AH150">
        <v>0</v>
      </c>
      <c r="AI150" t="s">
        <v>70</v>
      </c>
      <c r="AJ150" s="3" t="s">
        <v>83</v>
      </c>
      <c r="AK150" s="3">
        <v>1</v>
      </c>
      <c r="AL150" s="3" t="s">
        <v>83</v>
      </c>
    </row>
    <row r="151" spans="1:38" x14ac:dyDescent="0.3">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v>1483</v>
      </c>
      <c r="S151">
        <v>16102</v>
      </c>
      <c r="T151">
        <v>1</v>
      </c>
      <c r="U151" t="s">
        <v>43</v>
      </c>
      <c r="V151">
        <v>14</v>
      </c>
      <c r="W151">
        <v>3</v>
      </c>
      <c r="X151">
        <v>4</v>
      </c>
      <c r="Y151">
        <v>0</v>
      </c>
      <c r="Z151">
        <v>1</v>
      </c>
      <c r="AA151">
        <v>3</v>
      </c>
      <c r="AB151">
        <v>3</v>
      </c>
      <c r="AC151">
        <v>1</v>
      </c>
      <c r="AD151">
        <v>0</v>
      </c>
      <c r="AE151">
        <v>0</v>
      </c>
      <c r="AF151">
        <v>0</v>
      </c>
      <c r="AG151" t="s">
        <v>67</v>
      </c>
      <c r="AH151">
        <v>0</v>
      </c>
      <c r="AI151" t="s">
        <v>70</v>
      </c>
      <c r="AJ151" s="3" t="s">
        <v>83</v>
      </c>
      <c r="AK151" s="3">
        <v>2</v>
      </c>
      <c r="AL151" s="3" t="s">
        <v>84</v>
      </c>
    </row>
    <row r="152" spans="1:38" x14ac:dyDescent="0.3">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v>5605</v>
      </c>
      <c r="S152">
        <v>8504</v>
      </c>
      <c r="T152">
        <v>1</v>
      </c>
      <c r="U152" t="s">
        <v>43</v>
      </c>
      <c r="V152">
        <v>11</v>
      </c>
      <c r="W152">
        <v>3</v>
      </c>
      <c r="X152">
        <v>1</v>
      </c>
      <c r="Y152">
        <v>1</v>
      </c>
      <c r="Z152">
        <v>20</v>
      </c>
      <c r="AA152">
        <v>2</v>
      </c>
      <c r="AB152">
        <v>3</v>
      </c>
      <c r="AC152">
        <v>20</v>
      </c>
      <c r="AD152">
        <v>7</v>
      </c>
      <c r="AE152">
        <v>2</v>
      </c>
      <c r="AF152">
        <v>13</v>
      </c>
      <c r="AG152" t="s">
        <v>65</v>
      </c>
      <c r="AH152">
        <v>0</v>
      </c>
      <c r="AI152" t="s">
        <v>72</v>
      </c>
      <c r="AJ152" s="3" t="s">
        <v>83</v>
      </c>
      <c r="AK152" s="3">
        <v>1</v>
      </c>
      <c r="AL152" s="3" t="s">
        <v>83</v>
      </c>
    </row>
    <row r="153" spans="1:38" x14ac:dyDescent="0.3">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v>7295</v>
      </c>
      <c r="S153">
        <v>11439</v>
      </c>
      <c r="T153">
        <v>1</v>
      </c>
      <c r="U153" t="s">
        <v>43</v>
      </c>
      <c r="V153">
        <v>13</v>
      </c>
      <c r="W153">
        <v>3</v>
      </c>
      <c r="X153">
        <v>1</v>
      </c>
      <c r="Y153">
        <v>2</v>
      </c>
      <c r="Z153">
        <v>10</v>
      </c>
      <c r="AA153">
        <v>3</v>
      </c>
      <c r="AB153">
        <v>3</v>
      </c>
      <c r="AC153">
        <v>10</v>
      </c>
      <c r="AD153">
        <v>8</v>
      </c>
      <c r="AE153">
        <v>0</v>
      </c>
      <c r="AF153">
        <v>6</v>
      </c>
      <c r="AG153" t="s">
        <v>65</v>
      </c>
      <c r="AH153">
        <v>0</v>
      </c>
      <c r="AI153" t="s">
        <v>70</v>
      </c>
      <c r="AJ153" s="3" t="s">
        <v>83</v>
      </c>
      <c r="AK153" s="3">
        <v>1</v>
      </c>
      <c r="AL153" s="3" t="s">
        <v>83</v>
      </c>
    </row>
    <row r="154" spans="1:38" x14ac:dyDescent="0.3">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v>2306</v>
      </c>
      <c r="S154">
        <v>16047</v>
      </c>
      <c r="T154">
        <v>2</v>
      </c>
      <c r="U154" t="s">
        <v>35</v>
      </c>
      <c r="V154">
        <v>20</v>
      </c>
      <c r="W154">
        <v>4</v>
      </c>
      <c r="X154">
        <v>4</v>
      </c>
      <c r="Y154">
        <v>1</v>
      </c>
      <c r="Z154">
        <v>13</v>
      </c>
      <c r="AA154">
        <v>3</v>
      </c>
      <c r="AB154">
        <v>1</v>
      </c>
      <c r="AC154">
        <v>7</v>
      </c>
      <c r="AD154">
        <v>7</v>
      </c>
      <c r="AE154">
        <v>4</v>
      </c>
      <c r="AF154">
        <v>5</v>
      </c>
      <c r="AG154" t="s">
        <v>65</v>
      </c>
      <c r="AH154">
        <v>0</v>
      </c>
      <c r="AI154" t="s">
        <v>71</v>
      </c>
      <c r="AJ154" s="3" t="s">
        <v>84</v>
      </c>
      <c r="AK154" s="3">
        <v>1</v>
      </c>
      <c r="AL154" s="3" t="s">
        <v>83</v>
      </c>
    </row>
    <row r="155" spans="1:38" x14ac:dyDescent="0.3">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v>2348</v>
      </c>
      <c r="S155">
        <v>10901</v>
      </c>
      <c r="T155">
        <v>8</v>
      </c>
      <c r="U155" t="s">
        <v>43</v>
      </c>
      <c r="V155">
        <v>18</v>
      </c>
      <c r="W155">
        <v>3</v>
      </c>
      <c r="X155">
        <v>3</v>
      </c>
      <c r="Y155">
        <v>1</v>
      </c>
      <c r="Z155">
        <v>20</v>
      </c>
      <c r="AA155">
        <v>2</v>
      </c>
      <c r="AB155">
        <v>1</v>
      </c>
      <c r="AC155">
        <v>17</v>
      </c>
      <c r="AD155">
        <v>9</v>
      </c>
      <c r="AE155">
        <v>0</v>
      </c>
      <c r="AF155">
        <v>15</v>
      </c>
      <c r="AG155" t="s">
        <v>65</v>
      </c>
      <c r="AH155">
        <v>0</v>
      </c>
      <c r="AI155" t="s">
        <v>69</v>
      </c>
      <c r="AJ155" s="3" t="s">
        <v>83</v>
      </c>
      <c r="AK155" s="3">
        <v>1</v>
      </c>
      <c r="AL155" s="3" t="s">
        <v>83</v>
      </c>
    </row>
    <row r="156" spans="1:38" x14ac:dyDescent="0.3">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v>8998</v>
      </c>
      <c r="S156">
        <v>15589</v>
      </c>
      <c r="T156">
        <v>1</v>
      </c>
      <c r="U156" t="s">
        <v>43</v>
      </c>
      <c r="V156">
        <v>14</v>
      </c>
      <c r="W156">
        <v>3</v>
      </c>
      <c r="X156">
        <v>4</v>
      </c>
      <c r="Y156">
        <v>0</v>
      </c>
      <c r="Z156">
        <v>9</v>
      </c>
      <c r="AA156">
        <v>2</v>
      </c>
      <c r="AB156">
        <v>3</v>
      </c>
      <c r="AC156">
        <v>9</v>
      </c>
      <c r="AD156">
        <v>8</v>
      </c>
      <c r="AE156">
        <v>3</v>
      </c>
      <c r="AF156">
        <v>7</v>
      </c>
      <c r="AG156" t="s">
        <v>65</v>
      </c>
      <c r="AH156">
        <v>0</v>
      </c>
      <c r="AI156" t="s">
        <v>70</v>
      </c>
      <c r="AJ156" s="3" t="s">
        <v>82</v>
      </c>
      <c r="AK156" s="3">
        <v>0</v>
      </c>
      <c r="AL156" s="3" t="s">
        <v>83</v>
      </c>
    </row>
    <row r="157" spans="1:38" x14ac:dyDescent="0.3">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v>4319</v>
      </c>
      <c r="S157">
        <v>26283</v>
      </c>
      <c r="T157">
        <v>1</v>
      </c>
      <c r="U157" t="s">
        <v>43</v>
      </c>
      <c r="V157">
        <v>13</v>
      </c>
      <c r="W157">
        <v>3</v>
      </c>
      <c r="X157">
        <v>1</v>
      </c>
      <c r="Y157">
        <v>1</v>
      </c>
      <c r="Z157">
        <v>10</v>
      </c>
      <c r="AA157">
        <v>1</v>
      </c>
      <c r="AB157">
        <v>3</v>
      </c>
      <c r="AC157">
        <v>10</v>
      </c>
      <c r="AD157">
        <v>7</v>
      </c>
      <c r="AE157">
        <v>0</v>
      </c>
      <c r="AF157">
        <v>9</v>
      </c>
      <c r="AG157" t="s">
        <v>65</v>
      </c>
      <c r="AH157">
        <v>0</v>
      </c>
      <c r="AI157" t="s">
        <v>71</v>
      </c>
      <c r="AJ157" s="3" t="s">
        <v>84</v>
      </c>
      <c r="AK157" s="3">
        <v>0</v>
      </c>
      <c r="AL157" s="3" t="s">
        <v>83</v>
      </c>
    </row>
    <row r="158" spans="1:38" x14ac:dyDescent="0.3">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v>6132</v>
      </c>
      <c r="S158">
        <v>13983</v>
      </c>
      <c r="T158">
        <v>2</v>
      </c>
      <c r="U158" t="s">
        <v>43</v>
      </c>
      <c r="V158">
        <v>17</v>
      </c>
      <c r="W158">
        <v>3</v>
      </c>
      <c r="X158">
        <v>3</v>
      </c>
      <c r="Y158">
        <v>0</v>
      </c>
      <c r="Z158">
        <v>10</v>
      </c>
      <c r="AA158">
        <v>2</v>
      </c>
      <c r="AB158">
        <v>3</v>
      </c>
      <c r="AC158">
        <v>1</v>
      </c>
      <c r="AD158">
        <v>0</v>
      </c>
      <c r="AE158">
        <v>0</v>
      </c>
      <c r="AF158">
        <v>0</v>
      </c>
      <c r="AG158" t="s">
        <v>67</v>
      </c>
      <c r="AH158">
        <v>0</v>
      </c>
      <c r="AI158" t="s">
        <v>72</v>
      </c>
      <c r="AJ158" s="3" t="s">
        <v>84</v>
      </c>
      <c r="AK158" s="3">
        <v>1</v>
      </c>
      <c r="AL158" s="3" t="s">
        <v>83</v>
      </c>
    </row>
    <row r="159" spans="1:38" x14ac:dyDescent="0.3">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v>3346</v>
      </c>
      <c r="S159">
        <v>11873</v>
      </c>
      <c r="T159">
        <v>4</v>
      </c>
      <c r="U159" t="s">
        <v>35</v>
      </c>
      <c r="V159">
        <v>20</v>
      </c>
      <c r="W159">
        <v>4</v>
      </c>
      <c r="X159">
        <v>2</v>
      </c>
      <c r="Y159">
        <v>1</v>
      </c>
      <c r="Z159">
        <v>9</v>
      </c>
      <c r="AA159">
        <v>3</v>
      </c>
      <c r="AB159">
        <v>2</v>
      </c>
      <c r="AC159">
        <v>1</v>
      </c>
      <c r="AD159">
        <v>0</v>
      </c>
      <c r="AE159">
        <v>0</v>
      </c>
      <c r="AF159">
        <v>0</v>
      </c>
      <c r="AG159" t="s">
        <v>67</v>
      </c>
      <c r="AH159">
        <v>0</v>
      </c>
      <c r="AI159" t="s">
        <v>69</v>
      </c>
      <c r="AJ159" s="3" t="s">
        <v>83</v>
      </c>
      <c r="AK159" s="3">
        <v>3</v>
      </c>
      <c r="AL159" s="3" t="s">
        <v>82</v>
      </c>
    </row>
    <row r="160" spans="1:38" x14ac:dyDescent="0.3">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v>10855</v>
      </c>
      <c r="S160">
        <v>8552</v>
      </c>
      <c r="T160">
        <v>7</v>
      </c>
      <c r="U160" t="s">
        <v>43</v>
      </c>
      <c r="V160">
        <v>11</v>
      </c>
      <c r="W160">
        <v>3</v>
      </c>
      <c r="X160">
        <v>1</v>
      </c>
      <c r="Y160">
        <v>1</v>
      </c>
      <c r="Z160">
        <v>15</v>
      </c>
      <c r="AA160">
        <v>2</v>
      </c>
      <c r="AB160">
        <v>2</v>
      </c>
      <c r="AC160">
        <v>12</v>
      </c>
      <c r="AD160">
        <v>11</v>
      </c>
      <c r="AE160">
        <v>2</v>
      </c>
      <c r="AF160">
        <v>11</v>
      </c>
      <c r="AG160" t="s">
        <v>65</v>
      </c>
      <c r="AH160">
        <v>0</v>
      </c>
      <c r="AI160" t="s">
        <v>69</v>
      </c>
      <c r="AJ160" s="3" t="s">
        <v>82</v>
      </c>
      <c r="AK160" s="3">
        <v>0</v>
      </c>
      <c r="AL160" s="3" t="s">
        <v>83</v>
      </c>
    </row>
    <row r="161" spans="1:38" x14ac:dyDescent="0.3">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v>2231</v>
      </c>
      <c r="S161">
        <v>11314</v>
      </c>
      <c r="T161">
        <v>6</v>
      </c>
      <c r="U161" t="s">
        <v>43</v>
      </c>
      <c r="V161">
        <v>18</v>
      </c>
      <c r="W161">
        <v>3</v>
      </c>
      <c r="X161">
        <v>4</v>
      </c>
      <c r="Y161">
        <v>1</v>
      </c>
      <c r="Z161">
        <v>6</v>
      </c>
      <c r="AA161">
        <v>3</v>
      </c>
      <c r="AB161">
        <v>3</v>
      </c>
      <c r="AC161">
        <v>4</v>
      </c>
      <c r="AD161">
        <v>3</v>
      </c>
      <c r="AE161">
        <v>1</v>
      </c>
      <c r="AF161">
        <v>2</v>
      </c>
      <c r="AG161" t="s">
        <v>68</v>
      </c>
      <c r="AH161">
        <v>0</v>
      </c>
      <c r="AI161" t="s">
        <v>70</v>
      </c>
      <c r="AJ161" s="3" t="s">
        <v>84</v>
      </c>
      <c r="AK161" s="3">
        <v>0</v>
      </c>
      <c r="AL161" s="3" t="s">
        <v>83</v>
      </c>
    </row>
    <row r="162" spans="1:38" x14ac:dyDescent="0.3">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v>2323</v>
      </c>
      <c r="S162">
        <v>11992</v>
      </c>
      <c r="T162">
        <v>1</v>
      </c>
      <c r="U162" t="s">
        <v>43</v>
      </c>
      <c r="V162">
        <v>24</v>
      </c>
      <c r="W162">
        <v>4</v>
      </c>
      <c r="X162">
        <v>1</v>
      </c>
      <c r="Y162">
        <v>2</v>
      </c>
      <c r="Z162">
        <v>2</v>
      </c>
      <c r="AA162">
        <v>6</v>
      </c>
      <c r="AB162">
        <v>3</v>
      </c>
      <c r="AC162">
        <v>2</v>
      </c>
      <c r="AD162">
        <v>2</v>
      </c>
      <c r="AE162">
        <v>2</v>
      </c>
      <c r="AF162">
        <v>2</v>
      </c>
      <c r="AG162" t="s">
        <v>67</v>
      </c>
      <c r="AH162">
        <v>0</v>
      </c>
      <c r="AI162" t="s">
        <v>71</v>
      </c>
      <c r="AJ162" s="3" t="s">
        <v>82</v>
      </c>
      <c r="AK162" s="3">
        <v>1</v>
      </c>
      <c r="AL162" s="3" t="s">
        <v>83</v>
      </c>
    </row>
    <row r="163" spans="1:38" x14ac:dyDescent="0.3">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v>2024</v>
      </c>
      <c r="S163">
        <v>5970</v>
      </c>
      <c r="T163">
        <v>6</v>
      </c>
      <c r="U163" t="s">
        <v>43</v>
      </c>
      <c r="V163">
        <v>18</v>
      </c>
      <c r="W163">
        <v>3</v>
      </c>
      <c r="X163">
        <v>4</v>
      </c>
      <c r="Y163">
        <v>1</v>
      </c>
      <c r="Z163">
        <v>6</v>
      </c>
      <c r="AA163">
        <v>1</v>
      </c>
      <c r="AB163">
        <v>1</v>
      </c>
      <c r="AC163">
        <v>2</v>
      </c>
      <c r="AD163">
        <v>2</v>
      </c>
      <c r="AE163">
        <v>2</v>
      </c>
      <c r="AF163">
        <v>2</v>
      </c>
      <c r="AG163" t="s">
        <v>67</v>
      </c>
      <c r="AH163">
        <v>0</v>
      </c>
      <c r="AI163" t="s">
        <v>72</v>
      </c>
      <c r="AJ163" s="3" t="s">
        <v>83</v>
      </c>
      <c r="AK163" s="3">
        <v>2</v>
      </c>
      <c r="AL163" s="3" t="s">
        <v>84</v>
      </c>
    </row>
    <row r="164" spans="1:38" x14ac:dyDescent="0.3">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v>2713</v>
      </c>
      <c r="S164">
        <v>6672</v>
      </c>
      <c r="T164">
        <v>1</v>
      </c>
      <c r="U164" t="s">
        <v>43</v>
      </c>
      <c r="V164">
        <v>11</v>
      </c>
      <c r="W164">
        <v>3</v>
      </c>
      <c r="X164">
        <v>3</v>
      </c>
      <c r="Y164">
        <v>1</v>
      </c>
      <c r="Z164">
        <v>5</v>
      </c>
      <c r="AA164">
        <v>2</v>
      </c>
      <c r="AB164">
        <v>1</v>
      </c>
      <c r="AC164">
        <v>5</v>
      </c>
      <c r="AD164">
        <v>2</v>
      </c>
      <c r="AE164">
        <v>0</v>
      </c>
      <c r="AF164">
        <v>2</v>
      </c>
      <c r="AG164" t="s">
        <v>68</v>
      </c>
      <c r="AH164">
        <v>0</v>
      </c>
      <c r="AI164" t="s">
        <v>72</v>
      </c>
      <c r="AJ164" s="3" t="s">
        <v>82</v>
      </c>
      <c r="AK164" s="3">
        <v>0</v>
      </c>
      <c r="AL164" s="3" t="s">
        <v>83</v>
      </c>
    </row>
    <row r="165" spans="1:38" x14ac:dyDescent="0.3">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v>9439</v>
      </c>
      <c r="S165">
        <v>23402</v>
      </c>
      <c r="T165">
        <v>3</v>
      </c>
      <c r="U165" t="s">
        <v>35</v>
      </c>
      <c r="V165">
        <v>16</v>
      </c>
      <c r="W165">
        <v>3</v>
      </c>
      <c r="X165">
        <v>2</v>
      </c>
      <c r="Y165">
        <v>1</v>
      </c>
      <c r="Z165">
        <v>12</v>
      </c>
      <c r="AA165">
        <v>2</v>
      </c>
      <c r="AB165">
        <v>1</v>
      </c>
      <c r="AC165">
        <v>5</v>
      </c>
      <c r="AD165">
        <v>3</v>
      </c>
      <c r="AE165">
        <v>1</v>
      </c>
      <c r="AF165">
        <v>4</v>
      </c>
      <c r="AG165" t="s">
        <v>68</v>
      </c>
      <c r="AH165">
        <v>0</v>
      </c>
      <c r="AI165" t="s">
        <v>72</v>
      </c>
      <c r="AJ165" s="3" t="s">
        <v>82</v>
      </c>
      <c r="AK165" s="3">
        <v>1</v>
      </c>
      <c r="AL165" s="3" t="s">
        <v>83</v>
      </c>
    </row>
    <row r="166" spans="1:38" x14ac:dyDescent="0.3">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v>2566</v>
      </c>
      <c r="S166">
        <v>25326</v>
      </c>
      <c r="T166">
        <v>1</v>
      </c>
      <c r="U166" t="s">
        <v>35</v>
      </c>
      <c r="V166">
        <v>15</v>
      </c>
      <c r="W166">
        <v>3</v>
      </c>
      <c r="X166">
        <v>4</v>
      </c>
      <c r="Y166">
        <v>1</v>
      </c>
      <c r="Z166">
        <v>1</v>
      </c>
      <c r="AA166">
        <v>2</v>
      </c>
      <c r="AB166">
        <v>2</v>
      </c>
      <c r="AC166">
        <v>1</v>
      </c>
      <c r="AD166">
        <v>1</v>
      </c>
      <c r="AE166">
        <v>0</v>
      </c>
      <c r="AF166">
        <v>1</v>
      </c>
      <c r="AG166" t="s">
        <v>67</v>
      </c>
      <c r="AH166">
        <v>0</v>
      </c>
      <c r="AI166" t="s">
        <v>69</v>
      </c>
      <c r="AJ166" s="3" t="s">
        <v>84</v>
      </c>
      <c r="AK166" s="3">
        <v>2</v>
      </c>
      <c r="AL166" s="3" t="s">
        <v>84</v>
      </c>
    </row>
    <row r="167" spans="1:38" x14ac:dyDescent="0.3">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v>19926</v>
      </c>
      <c r="S167">
        <v>17053</v>
      </c>
      <c r="T167">
        <v>3</v>
      </c>
      <c r="U167" t="s">
        <v>43</v>
      </c>
      <c r="V167">
        <v>15</v>
      </c>
      <c r="W167">
        <v>3</v>
      </c>
      <c r="X167">
        <v>2</v>
      </c>
      <c r="Y167">
        <v>0</v>
      </c>
      <c r="Z167">
        <v>21</v>
      </c>
      <c r="AA167">
        <v>5</v>
      </c>
      <c r="AB167">
        <v>3</v>
      </c>
      <c r="AC167">
        <v>5</v>
      </c>
      <c r="AD167">
        <v>4</v>
      </c>
      <c r="AE167">
        <v>4</v>
      </c>
      <c r="AF167">
        <v>4</v>
      </c>
      <c r="AG167" t="s">
        <v>68</v>
      </c>
      <c r="AH167">
        <v>0</v>
      </c>
      <c r="AI167" t="s">
        <v>72</v>
      </c>
      <c r="AJ167" s="3" t="s">
        <v>83</v>
      </c>
      <c r="AK167" s="3">
        <v>1</v>
      </c>
      <c r="AL167" s="3" t="s">
        <v>83</v>
      </c>
    </row>
    <row r="168" spans="1:38" x14ac:dyDescent="0.3">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v>2451</v>
      </c>
      <c r="S168">
        <v>4609</v>
      </c>
      <c r="T168">
        <v>4</v>
      </c>
      <c r="U168" t="s">
        <v>43</v>
      </c>
      <c r="V168">
        <v>12</v>
      </c>
      <c r="W168">
        <v>3</v>
      </c>
      <c r="X168">
        <v>1</v>
      </c>
      <c r="Y168">
        <v>1</v>
      </c>
      <c r="Z168">
        <v>13</v>
      </c>
      <c r="AA168">
        <v>2</v>
      </c>
      <c r="AB168">
        <v>3</v>
      </c>
      <c r="AC168">
        <v>9</v>
      </c>
      <c r="AD168">
        <v>8</v>
      </c>
      <c r="AE168">
        <v>1</v>
      </c>
      <c r="AF168">
        <v>8</v>
      </c>
      <c r="AG168" t="s">
        <v>65</v>
      </c>
      <c r="AH168">
        <v>0</v>
      </c>
      <c r="AI168" t="s">
        <v>69</v>
      </c>
      <c r="AJ168" s="3" t="s">
        <v>84</v>
      </c>
      <c r="AK168" s="3">
        <v>0</v>
      </c>
      <c r="AL168" s="3" t="s">
        <v>83</v>
      </c>
    </row>
    <row r="169" spans="1:38" x14ac:dyDescent="0.3">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v>9419</v>
      </c>
      <c r="S169">
        <v>8053</v>
      </c>
      <c r="T169">
        <v>2</v>
      </c>
      <c r="U169" t="s">
        <v>43</v>
      </c>
      <c r="V169">
        <v>12</v>
      </c>
      <c r="W169">
        <v>3</v>
      </c>
      <c r="X169">
        <v>3</v>
      </c>
      <c r="Y169">
        <v>1</v>
      </c>
      <c r="Z169">
        <v>12</v>
      </c>
      <c r="AA169">
        <v>2</v>
      </c>
      <c r="AB169">
        <v>3</v>
      </c>
      <c r="AC169">
        <v>10</v>
      </c>
      <c r="AD169">
        <v>9</v>
      </c>
      <c r="AE169">
        <v>7</v>
      </c>
      <c r="AF169">
        <v>4</v>
      </c>
      <c r="AG169" t="s">
        <v>65</v>
      </c>
      <c r="AH169">
        <v>0</v>
      </c>
      <c r="AI169" t="s">
        <v>70</v>
      </c>
      <c r="AJ169" s="3" t="s">
        <v>82</v>
      </c>
      <c r="AK169" s="3">
        <v>0</v>
      </c>
      <c r="AL169" s="3" t="s">
        <v>83</v>
      </c>
    </row>
    <row r="170" spans="1:38" x14ac:dyDescent="0.3">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v>8686</v>
      </c>
      <c r="S170">
        <v>12930</v>
      </c>
      <c r="T170">
        <v>4</v>
      </c>
      <c r="U170" t="s">
        <v>43</v>
      </c>
      <c r="V170">
        <v>22</v>
      </c>
      <c r="W170">
        <v>4</v>
      </c>
      <c r="X170">
        <v>3</v>
      </c>
      <c r="Y170">
        <v>0</v>
      </c>
      <c r="Z170">
        <v>12</v>
      </c>
      <c r="AA170">
        <v>2</v>
      </c>
      <c r="AB170">
        <v>4</v>
      </c>
      <c r="AC170">
        <v>8</v>
      </c>
      <c r="AD170">
        <v>3</v>
      </c>
      <c r="AE170">
        <v>0</v>
      </c>
      <c r="AF170">
        <v>7</v>
      </c>
      <c r="AG170" t="s">
        <v>65</v>
      </c>
      <c r="AH170">
        <v>0</v>
      </c>
      <c r="AI170" t="s">
        <v>71</v>
      </c>
      <c r="AJ170" s="3" t="s">
        <v>82</v>
      </c>
      <c r="AK170" s="3">
        <v>0</v>
      </c>
      <c r="AL170" s="3" t="s">
        <v>83</v>
      </c>
    </row>
    <row r="171" spans="1:38" x14ac:dyDescent="0.3">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v>3038</v>
      </c>
      <c r="S171">
        <v>12430</v>
      </c>
      <c r="T171">
        <v>3</v>
      </c>
      <c r="U171" t="s">
        <v>43</v>
      </c>
      <c r="V171">
        <v>20</v>
      </c>
      <c r="W171">
        <v>4</v>
      </c>
      <c r="X171">
        <v>1</v>
      </c>
      <c r="Y171">
        <v>0</v>
      </c>
      <c r="Z171">
        <v>8</v>
      </c>
      <c r="AA171">
        <v>2</v>
      </c>
      <c r="AB171">
        <v>3</v>
      </c>
      <c r="AC171">
        <v>5</v>
      </c>
      <c r="AD171">
        <v>4</v>
      </c>
      <c r="AE171">
        <v>1</v>
      </c>
      <c r="AF171">
        <v>4</v>
      </c>
      <c r="AG171" t="s">
        <v>68</v>
      </c>
      <c r="AH171">
        <v>0</v>
      </c>
      <c r="AI171" t="s">
        <v>71</v>
      </c>
      <c r="AJ171" s="3" t="s">
        <v>84</v>
      </c>
      <c r="AK171" s="3">
        <v>0</v>
      </c>
      <c r="AL171" s="3" t="s">
        <v>83</v>
      </c>
    </row>
    <row r="172" spans="1:38" x14ac:dyDescent="0.3">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v>3058</v>
      </c>
      <c r="S172">
        <v>13364</v>
      </c>
      <c r="T172">
        <v>0</v>
      </c>
      <c r="U172" t="s">
        <v>35</v>
      </c>
      <c r="V172">
        <v>16</v>
      </c>
      <c r="W172">
        <v>3</v>
      </c>
      <c r="X172">
        <v>4</v>
      </c>
      <c r="Y172">
        <v>1</v>
      </c>
      <c r="Z172">
        <v>6</v>
      </c>
      <c r="AA172">
        <v>3</v>
      </c>
      <c r="AB172">
        <v>2</v>
      </c>
      <c r="AC172">
        <v>5</v>
      </c>
      <c r="AD172">
        <v>2</v>
      </c>
      <c r="AE172">
        <v>1</v>
      </c>
      <c r="AF172">
        <v>1</v>
      </c>
      <c r="AG172" t="s">
        <v>68</v>
      </c>
      <c r="AH172">
        <v>0</v>
      </c>
      <c r="AI172" t="s">
        <v>71</v>
      </c>
      <c r="AJ172" s="3" t="s">
        <v>83</v>
      </c>
      <c r="AK172" s="3">
        <v>2</v>
      </c>
      <c r="AL172" s="3" t="s">
        <v>84</v>
      </c>
    </row>
    <row r="173" spans="1:38" x14ac:dyDescent="0.3">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v>2325</v>
      </c>
      <c r="S173">
        <v>20989</v>
      </c>
      <c r="T173">
        <v>0</v>
      </c>
      <c r="U173" t="s">
        <v>43</v>
      </c>
      <c r="V173">
        <v>21</v>
      </c>
      <c r="W173">
        <v>4</v>
      </c>
      <c r="X173">
        <v>1</v>
      </c>
      <c r="Y173">
        <v>0</v>
      </c>
      <c r="Z173">
        <v>1</v>
      </c>
      <c r="AA173">
        <v>5</v>
      </c>
      <c r="AB173">
        <v>4</v>
      </c>
      <c r="AC173">
        <v>0</v>
      </c>
      <c r="AD173">
        <v>0</v>
      </c>
      <c r="AE173">
        <v>0</v>
      </c>
      <c r="AF173">
        <v>0</v>
      </c>
      <c r="AG173" t="s">
        <v>66</v>
      </c>
      <c r="AH173">
        <v>1</v>
      </c>
      <c r="AI173" t="s">
        <v>72</v>
      </c>
      <c r="AJ173" s="3" t="s">
        <v>83</v>
      </c>
      <c r="AK173" s="3">
        <v>2</v>
      </c>
      <c r="AL173" s="3" t="s">
        <v>84</v>
      </c>
    </row>
    <row r="174" spans="1:38" x14ac:dyDescent="0.3">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v>2088</v>
      </c>
      <c r="S174">
        <v>15062</v>
      </c>
      <c r="T174">
        <v>4</v>
      </c>
      <c r="U174" t="s">
        <v>43</v>
      </c>
      <c r="V174">
        <v>12</v>
      </c>
      <c r="W174">
        <v>3</v>
      </c>
      <c r="X174">
        <v>3</v>
      </c>
      <c r="Y174">
        <v>0</v>
      </c>
      <c r="Z174">
        <v>13</v>
      </c>
      <c r="AA174">
        <v>3</v>
      </c>
      <c r="AB174">
        <v>2</v>
      </c>
      <c r="AC174">
        <v>8</v>
      </c>
      <c r="AD174">
        <v>7</v>
      </c>
      <c r="AE174">
        <v>7</v>
      </c>
      <c r="AF174">
        <v>2</v>
      </c>
      <c r="AG174" t="s">
        <v>65</v>
      </c>
      <c r="AH174">
        <v>0</v>
      </c>
      <c r="AI174" t="s">
        <v>72</v>
      </c>
      <c r="AJ174" s="3" t="s">
        <v>83</v>
      </c>
      <c r="AK174" s="3">
        <v>1</v>
      </c>
      <c r="AL174" s="3" t="s">
        <v>83</v>
      </c>
    </row>
    <row r="175" spans="1:38" x14ac:dyDescent="0.3">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v>3072</v>
      </c>
      <c r="S175">
        <v>11012</v>
      </c>
      <c r="T175">
        <v>1</v>
      </c>
      <c r="U175" t="s">
        <v>43</v>
      </c>
      <c r="V175">
        <v>11</v>
      </c>
      <c r="W175">
        <v>3</v>
      </c>
      <c r="X175">
        <v>3</v>
      </c>
      <c r="Y175">
        <v>2</v>
      </c>
      <c r="Z175">
        <v>12</v>
      </c>
      <c r="AA175">
        <v>4</v>
      </c>
      <c r="AB175">
        <v>3</v>
      </c>
      <c r="AC175">
        <v>12</v>
      </c>
      <c r="AD175">
        <v>9</v>
      </c>
      <c r="AE175">
        <v>6</v>
      </c>
      <c r="AF175">
        <v>10</v>
      </c>
      <c r="AG175" t="s">
        <v>65</v>
      </c>
      <c r="AH175">
        <v>0</v>
      </c>
      <c r="AI175" t="s">
        <v>71</v>
      </c>
      <c r="AJ175" s="3" t="s">
        <v>83</v>
      </c>
      <c r="AK175" s="3">
        <v>1</v>
      </c>
      <c r="AL175" s="3" t="s">
        <v>83</v>
      </c>
    </row>
    <row r="176" spans="1:38" x14ac:dyDescent="0.3">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v>5006</v>
      </c>
      <c r="S176">
        <v>6319</v>
      </c>
      <c r="T176">
        <v>4</v>
      </c>
      <c r="U176" t="s">
        <v>35</v>
      </c>
      <c r="V176">
        <v>11</v>
      </c>
      <c r="W176">
        <v>3</v>
      </c>
      <c r="X176">
        <v>1</v>
      </c>
      <c r="Y176">
        <v>1</v>
      </c>
      <c r="Z176">
        <v>9</v>
      </c>
      <c r="AA176">
        <v>3</v>
      </c>
      <c r="AB176">
        <v>4</v>
      </c>
      <c r="AC176">
        <v>5</v>
      </c>
      <c r="AD176">
        <v>4</v>
      </c>
      <c r="AE176">
        <v>0</v>
      </c>
      <c r="AF176">
        <v>3</v>
      </c>
      <c r="AG176" t="s">
        <v>68</v>
      </c>
      <c r="AH176">
        <v>0</v>
      </c>
      <c r="AI176" t="s">
        <v>71</v>
      </c>
      <c r="AJ176" s="3" t="s">
        <v>83</v>
      </c>
      <c r="AK176" s="3">
        <v>2</v>
      </c>
      <c r="AL176" s="3" t="s">
        <v>84</v>
      </c>
    </row>
    <row r="177" spans="1:38" x14ac:dyDescent="0.3">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v>4257</v>
      </c>
      <c r="S177">
        <v>13939</v>
      </c>
      <c r="T177">
        <v>4</v>
      </c>
      <c r="U177" t="s">
        <v>35</v>
      </c>
      <c r="V177">
        <v>18</v>
      </c>
      <c r="W177">
        <v>3</v>
      </c>
      <c r="X177">
        <v>3</v>
      </c>
      <c r="Y177">
        <v>1</v>
      </c>
      <c r="Z177">
        <v>19</v>
      </c>
      <c r="AA177">
        <v>3</v>
      </c>
      <c r="AB177">
        <v>3</v>
      </c>
      <c r="AC177">
        <v>2</v>
      </c>
      <c r="AD177">
        <v>2</v>
      </c>
      <c r="AE177">
        <v>2</v>
      </c>
      <c r="AF177">
        <v>2</v>
      </c>
      <c r="AG177" t="s">
        <v>67</v>
      </c>
      <c r="AH177">
        <v>0</v>
      </c>
      <c r="AI177" t="s">
        <v>70</v>
      </c>
      <c r="AJ177" s="3" t="s">
        <v>83</v>
      </c>
      <c r="AK177" s="3">
        <v>3</v>
      </c>
      <c r="AL177" s="3" t="s">
        <v>82</v>
      </c>
    </row>
    <row r="178" spans="1:38" x14ac:dyDescent="0.3">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v>2500</v>
      </c>
      <c r="S178">
        <v>10515</v>
      </c>
      <c r="T178">
        <v>0</v>
      </c>
      <c r="U178" t="s">
        <v>43</v>
      </c>
      <c r="V178">
        <v>14</v>
      </c>
      <c r="W178">
        <v>3</v>
      </c>
      <c r="X178">
        <v>1</v>
      </c>
      <c r="Y178">
        <v>0</v>
      </c>
      <c r="Z178">
        <v>4</v>
      </c>
      <c r="AA178">
        <v>2</v>
      </c>
      <c r="AB178">
        <v>4</v>
      </c>
      <c r="AC178">
        <v>3</v>
      </c>
      <c r="AD178">
        <v>1</v>
      </c>
      <c r="AE178">
        <v>0</v>
      </c>
      <c r="AF178">
        <v>2</v>
      </c>
      <c r="AG178" t="s">
        <v>67</v>
      </c>
      <c r="AH178">
        <v>0</v>
      </c>
      <c r="AI178" t="s">
        <v>69</v>
      </c>
      <c r="AJ178" s="3" t="s">
        <v>82</v>
      </c>
      <c r="AK178" s="3">
        <v>1</v>
      </c>
      <c r="AL178" s="3" t="s">
        <v>83</v>
      </c>
    </row>
    <row r="179" spans="1:38" x14ac:dyDescent="0.3">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v>1102</v>
      </c>
      <c r="S179">
        <v>9241</v>
      </c>
      <c r="T179">
        <v>1</v>
      </c>
      <c r="U179" t="s">
        <v>43</v>
      </c>
      <c r="V179">
        <v>22</v>
      </c>
      <c r="W179">
        <v>4</v>
      </c>
      <c r="X179">
        <v>3</v>
      </c>
      <c r="Y179">
        <v>0</v>
      </c>
      <c r="Z179">
        <v>1</v>
      </c>
      <c r="AA179">
        <v>3</v>
      </c>
      <c r="AB179">
        <v>2</v>
      </c>
      <c r="AC179">
        <v>1</v>
      </c>
      <c r="AD179">
        <v>0</v>
      </c>
      <c r="AE179">
        <v>1</v>
      </c>
      <c r="AF179">
        <v>0</v>
      </c>
      <c r="AG179" t="s">
        <v>67</v>
      </c>
      <c r="AH179">
        <v>1</v>
      </c>
      <c r="AI179" t="s">
        <v>71</v>
      </c>
      <c r="AJ179" s="3" t="s">
        <v>82</v>
      </c>
      <c r="AK179" s="3">
        <v>1</v>
      </c>
      <c r="AL179" s="3" t="s">
        <v>83</v>
      </c>
    </row>
    <row r="180" spans="1:38" x14ac:dyDescent="0.3">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v>10453</v>
      </c>
      <c r="S180">
        <v>2137</v>
      </c>
      <c r="T180">
        <v>1</v>
      </c>
      <c r="U180" t="s">
        <v>43</v>
      </c>
      <c r="V180">
        <v>25</v>
      </c>
      <c r="W180">
        <v>4</v>
      </c>
      <c r="X180">
        <v>3</v>
      </c>
      <c r="Y180">
        <v>3</v>
      </c>
      <c r="Z180">
        <v>24</v>
      </c>
      <c r="AA180">
        <v>2</v>
      </c>
      <c r="AB180">
        <v>3</v>
      </c>
      <c r="AC180">
        <v>24</v>
      </c>
      <c r="AD180">
        <v>13</v>
      </c>
      <c r="AE180">
        <v>15</v>
      </c>
      <c r="AF180">
        <v>7</v>
      </c>
      <c r="AG180" t="s">
        <v>65</v>
      </c>
      <c r="AH180">
        <v>0</v>
      </c>
      <c r="AI180" t="s">
        <v>72</v>
      </c>
      <c r="AJ180" s="3" t="s">
        <v>83</v>
      </c>
      <c r="AK180" s="3">
        <v>1</v>
      </c>
      <c r="AL180" s="3" t="s">
        <v>83</v>
      </c>
    </row>
    <row r="181" spans="1:38" x14ac:dyDescent="0.3">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v>2288</v>
      </c>
      <c r="S181">
        <v>6319</v>
      </c>
      <c r="T181">
        <v>1</v>
      </c>
      <c r="U181" t="s">
        <v>43</v>
      </c>
      <c r="V181">
        <v>12</v>
      </c>
      <c r="W181">
        <v>3</v>
      </c>
      <c r="X181">
        <v>3</v>
      </c>
      <c r="Y181">
        <v>0</v>
      </c>
      <c r="Z181">
        <v>2</v>
      </c>
      <c r="AA181">
        <v>3</v>
      </c>
      <c r="AB181">
        <v>3</v>
      </c>
      <c r="AC181">
        <v>2</v>
      </c>
      <c r="AD181">
        <v>2</v>
      </c>
      <c r="AE181">
        <v>2</v>
      </c>
      <c r="AF181">
        <v>1</v>
      </c>
      <c r="AG181" t="s">
        <v>67</v>
      </c>
      <c r="AH181">
        <v>0</v>
      </c>
      <c r="AI181" t="s">
        <v>70</v>
      </c>
      <c r="AJ181" s="3" t="s">
        <v>82</v>
      </c>
      <c r="AK181" s="3">
        <v>1</v>
      </c>
      <c r="AL181" s="3" t="s">
        <v>83</v>
      </c>
    </row>
    <row r="182" spans="1:38" x14ac:dyDescent="0.3">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v>3929</v>
      </c>
      <c r="S182">
        <v>6984</v>
      </c>
      <c r="T182">
        <v>8</v>
      </c>
      <c r="U182" t="s">
        <v>35</v>
      </c>
      <c r="V182">
        <v>23</v>
      </c>
      <c r="W182">
        <v>4</v>
      </c>
      <c r="X182">
        <v>3</v>
      </c>
      <c r="Y182">
        <v>1</v>
      </c>
      <c r="Z182">
        <v>7</v>
      </c>
      <c r="AA182">
        <v>0</v>
      </c>
      <c r="AB182">
        <v>3</v>
      </c>
      <c r="AC182">
        <v>4</v>
      </c>
      <c r="AD182">
        <v>2</v>
      </c>
      <c r="AE182">
        <v>0</v>
      </c>
      <c r="AF182">
        <v>2</v>
      </c>
      <c r="AG182" t="s">
        <v>68</v>
      </c>
      <c r="AH182">
        <v>0</v>
      </c>
      <c r="AI182" t="s">
        <v>71</v>
      </c>
      <c r="AJ182" s="3" t="s">
        <v>82</v>
      </c>
      <c r="AK182" s="3">
        <v>1</v>
      </c>
      <c r="AL182" s="3" t="s">
        <v>83</v>
      </c>
    </row>
    <row r="183" spans="1:38" x14ac:dyDescent="0.3">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v>2311</v>
      </c>
      <c r="S183">
        <v>5711</v>
      </c>
      <c r="T183">
        <v>2</v>
      </c>
      <c r="U183" t="s">
        <v>43</v>
      </c>
      <c r="V183">
        <v>15</v>
      </c>
      <c r="W183">
        <v>3</v>
      </c>
      <c r="X183">
        <v>4</v>
      </c>
      <c r="Y183">
        <v>0</v>
      </c>
      <c r="Z183">
        <v>9</v>
      </c>
      <c r="AA183">
        <v>3</v>
      </c>
      <c r="AB183">
        <v>3</v>
      </c>
      <c r="AC183">
        <v>3</v>
      </c>
      <c r="AD183">
        <v>2</v>
      </c>
      <c r="AE183">
        <v>1</v>
      </c>
      <c r="AF183">
        <v>2</v>
      </c>
      <c r="AG183" t="s">
        <v>67</v>
      </c>
      <c r="AH183">
        <v>0</v>
      </c>
      <c r="AI183" t="s">
        <v>71</v>
      </c>
      <c r="AJ183" s="3" t="s">
        <v>83</v>
      </c>
      <c r="AK183" s="3">
        <v>2</v>
      </c>
      <c r="AL183" s="3" t="s">
        <v>84</v>
      </c>
    </row>
    <row r="184" spans="1:38" x14ac:dyDescent="0.3">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v>3140</v>
      </c>
      <c r="S184">
        <v>21728</v>
      </c>
      <c r="T184">
        <v>1</v>
      </c>
      <c r="U184" t="s">
        <v>35</v>
      </c>
      <c r="V184">
        <v>22</v>
      </c>
      <c r="W184">
        <v>4</v>
      </c>
      <c r="X184">
        <v>4</v>
      </c>
      <c r="Y184">
        <v>0</v>
      </c>
      <c r="Z184">
        <v>4</v>
      </c>
      <c r="AA184">
        <v>5</v>
      </c>
      <c r="AB184">
        <v>2</v>
      </c>
      <c r="AC184">
        <v>4</v>
      </c>
      <c r="AD184">
        <v>3</v>
      </c>
      <c r="AE184">
        <v>0</v>
      </c>
      <c r="AF184">
        <v>2</v>
      </c>
      <c r="AG184" t="s">
        <v>68</v>
      </c>
      <c r="AH184">
        <v>1</v>
      </c>
      <c r="AI184" t="s">
        <v>71</v>
      </c>
      <c r="AJ184" s="3" t="s">
        <v>83</v>
      </c>
      <c r="AK184" s="3">
        <v>2</v>
      </c>
      <c r="AL184" s="3" t="s">
        <v>84</v>
      </c>
    </row>
    <row r="185" spans="1:38" x14ac:dyDescent="0.3">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v>3690</v>
      </c>
      <c r="S185">
        <v>3425</v>
      </c>
      <c r="T185">
        <v>2</v>
      </c>
      <c r="U185" t="s">
        <v>43</v>
      </c>
      <c r="V185">
        <v>15</v>
      </c>
      <c r="W185">
        <v>3</v>
      </c>
      <c r="X185">
        <v>4</v>
      </c>
      <c r="Y185">
        <v>1</v>
      </c>
      <c r="Z185">
        <v>5</v>
      </c>
      <c r="AA185">
        <v>2</v>
      </c>
      <c r="AB185">
        <v>2</v>
      </c>
      <c r="AC185">
        <v>3</v>
      </c>
      <c r="AD185">
        <v>2</v>
      </c>
      <c r="AE185">
        <v>0</v>
      </c>
      <c r="AF185">
        <v>2</v>
      </c>
      <c r="AG185" t="s">
        <v>67</v>
      </c>
      <c r="AH185">
        <v>0</v>
      </c>
      <c r="AI185" t="s">
        <v>70</v>
      </c>
      <c r="AJ185" s="3" t="s">
        <v>84</v>
      </c>
      <c r="AK185" s="3">
        <v>1</v>
      </c>
      <c r="AL185" s="3" t="s">
        <v>83</v>
      </c>
    </row>
    <row r="186" spans="1:38" x14ac:dyDescent="0.3">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v>4450</v>
      </c>
      <c r="S186">
        <v>26250</v>
      </c>
      <c r="T186">
        <v>1</v>
      </c>
      <c r="U186" t="s">
        <v>43</v>
      </c>
      <c r="V186">
        <v>11</v>
      </c>
      <c r="W186">
        <v>3</v>
      </c>
      <c r="X186">
        <v>3</v>
      </c>
      <c r="Y186">
        <v>2</v>
      </c>
      <c r="Z186">
        <v>5</v>
      </c>
      <c r="AA186">
        <v>3</v>
      </c>
      <c r="AB186">
        <v>3</v>
      </c>
      <c r="AC186">
        <v>4</v>
      </c>
      <c r="AD186">
        <v>2</v>
      </c>
      <c r="AE186">
        <v>1</v>
      </c>
      <c r="AF186">
        <v>3</v>
      </c>
      <c r="AG186" t="s">
        <v>68</v>
      </c>
      <c r="AH186">
        <v>0</v>
      </c>
      <c r="AI186" t="s">
        <v>69</v>
      </c>
      <c r="AJ186" s="3" t="s">
        <v>83</v>
      </c>
      <c r="AK186" s="3">
        <v>1</v>
      </c>
      <c r="AL186" s="3" t="s">
        <v>83</v>
      </c>
    </row>
    <row r="187" spans="1:38" x14ac:dyDescent="0.3">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v>2756</v>
      </c>
      <c r="S187">
        <v>4673</v>
      </c>
      <c r="T187">
        <v>1</v>
      </c>
      <c r="U187" t="s">
        <v>43</v>
      </c>
      <c r="V187">
        <v>13</v>
      </c>
      <c r="W187">
        <v>3</v>
      </c>
      <c r="X187">
        <v>4</v>
      </c>
      <c r="Y187">
        <v>1</v>
      </c>
      <c r="Z187">
        <v>8</v>
      </c>
      <c r="AA187">
        <v>5</v>
      </c>
      <c r="AB187">
        <v>3</v>
      </c>
      <c r="AC187">
        <v>8</v>
      </c>
      <c r="AD187">
        <v>7</v>
      </c>
      <c r="AE187">
        <v>1</v>
      </c>
      <c r="AF187">
        <v>6</v>
      </c>
      <c r="AG187" t="s">
        <v>65</v>
      </c>
      <c r="AH187">
        <v>0</v>
      </c>
      <c r="AI187" t="s">
        <v>69</v>
      </c>
      <c r="AJ187" s="3" t="s">
        <v>83</v>
      </c>
      <c r="AK187" s="3">
        <v>1</v>
      </c>
      <c r="AL187" s="3" t="s">
        <v>83</v>
      </c>
    </row>
    <row r="188" spans="1:38" x14ac:dyDescent="0.3">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v>19033</v>
      </c>
      <c r="S188">
        <v>6499</v>
      </c>
      <c r="T188">
        <v>1</v>
      </c>
      <c r="U188" t="s">
        <v>43</v>
      </c>
      <c r="V188">
        <v>14</v>
      </c>
      <c r="W188">
        <v>3</v>
      </c>
      <c r="X188">
        <v>2</v>
      </c>
      <c r="Y188">
        <v>1</v>
      </c>
      <c r="Z188">
        <v>21</v>
      </c>
      <c r="AA188">
        <v>2</v>
      </c>
      <c r="AB188">
        <v>3</v>
      </c>
      <c r="AC188">
        <v>20</v>
      </c>
      <c r="AD188">
        <v>8</v>
      </c>
      <c r="AE188">
        <v>9</v>
      </c>
      <c r="AF188">
        <v>9</v>
      </c>
      <c r="AG188" t="s">
        <v>65</v>
      </c>
      <c r="AH188">
        <v>0</v>
      </c>
      <c r="AI188" t="s">
        <v>71</v>
      </c>
      <c r="AJ188" s="3" t="s">
        <v>84</v>
      </c>
      <c r="AK188" s="3">
        <v>0</v>
      </c>
      <c r="AL188" s="3" t="s">
        <v>83</v>
      </c>
    </row>
    <row r="189" spans="1:38" x14ac:dyDescent="0.3">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v>18722</v>
      </c>
      <c r="S189">
        <v>13339</v>
      </c>
      <c r="T189">
        <v>8</v>
      </c>
      <c r="U189" t="s">
        <v>43</v>
      </c>
      <c r="V189">
        <v>11</v>
      </c>
      <c r="W189">
        <v>3</v>
      </c>
      <c r="X189">
        <v>4</v>
      </c>
      <c r="Y189">
        <v>0</v>
      </c>
      <c r="Z189">
        <v>36</v>
      </c>
      <c r="AA189">
        <v>3</v>
      </c>
      <c r="AB189">
        <v>3</v>
      </c>
      <c r="AC189">
        <v>24</v>
      </c>
      <c r="AD189">
        <v>15</v>
      </c>
      <c r="AE189">
        <v>2</v>
      </c>
      <c r="AF189">
        <v>15</v>
      </c>
      <c r="AG189" t="s">
        <v>65</v>
      </c>
      <c r="AH189">
        <v>0</v>
      </c>
      <c r="AI189" t="s">
        <v>70</v>
      </c>
      <c r="AJ189" s="3" t="s">
        <v>83</v>
      </c>
      <c r="AK189" s="3">
        <v>1</v>
      </c>
      <c r="AL189" s="3" t="s">
        <v>83</v>
      </c>
    </row>
    <row r="190" spans="1:38" x14ac:dyDescent="0.3">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v>9547</v>
      </c>
      <c r="S190">
        <v>14074</v>
      </c>
      <c r="T190">
        <v>1</v>
      </c>
      <c r="U190" t="s">
        <v>43</v>
      </c>
      <c r="V190">
        <v>17</v>
      </c>
      <c r="W190">
        <v>3</v>
      </c>
      <c r="X190">
        <v>3</v>
      </c>
      <c r="Y190">
        <v>0</v>
      </c>
      <c r="Z190">
        <v>10</v>
      </c>
      <c r="AA190">
        <v>2</v>
      </c>
      <c r="AB190">
        <v>2</v>
      </c>
      <c r="AC190">
        <v>10</v>
      </c>
      <c r="AD190">
        <v>9</v>
      </c>
      <c r="AE190">
        <v>1</v>
      </c>
      <c r="AF190">
        <v>9</v>
      </c>
      <c r="AG190" t="s">
        <v>65</v>
      </c>
      <c r="AH190">
        <v>0</v>
      </c>
      <c r="AI190" t="s">
        <v>69</v>
      </c>
      <c r="AJ190" s="3" t="s">
        <v>84</v>
      </c>
      <c r="AK190" s="3">
        <v>0</v>
      </c>
      <c r="AL190" s="3" t="s">
        <v>83</v>
      </c>
    </row>
    <row r="191" spans="1:38" x14ac:dyDescent="0.3">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v>13734</v>
      </c>
      <c r="S191">
        <v>7192</v>
      </c>
      <c r="T191">
        <v>3</v>
      </c>
      <c r="U191" t="s">
        <v>43</v>
      </c>
      <c r="V191">
        <v>18</v>
      </c>
      <c r="W191">
        <v>3</v>
      </c>
      <c r="X191">
        <v>3</v>
      </c>
      <c r="Y191">
        <v>0</v>
      </c>
      <c r="Z191">
        <v>21</v>
      </c>
      <c r="AA191">
        <v>6</v>
      </c>
      <c r="AB191">
        <v>3</v>
      </c>
      <c r="AC191">
        <v>7</v>
      </c>
      <c r="AD191">
        <v>7</v>
      </c>
      <c r="AE191">
        <v>1</v>
      </c>
      <c r="AF191">
        <v>0</v>
      </c>
      <c r="AG191" t="s">
        <v>65</v>
      </c>
      <c r="AH191">
        <v>0</v>
      </c>
      <c r="AI191" t="s">
        <v>71</v>
      </c>
      <c r="AJ191" s="3" t="s">
        <v>83</v>
      </c>
      <c r="AK191" s="3">
        <v>1</v>
      </c>
      <c r="AL191" s="3" t="s">
        <v>83</v>
      </c>
    </row>
    <row r="192" spans="1:38" x14ac:dyDescent="0.3">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v>19999</v>
      </c>
      <c r="S192">
        <v>5678</v>
      </c>
      <c r="T192">
        <v>0</v>
      </c>
      <c r="U192" t="s">
        <v>43</v>
      </c>
      <c r="V192">
        <v>14</v>
      </c>
      <c r="W192">
        <v>3</v>
      </c>
      <c r="X192">
        <v>1</v>
      </c>
      <c r="Y192">
        <v>1</v>
      </c>
      <c r="Z192">
        <v>34</v>
      </c>
      <c r="AA192">
        <v>5</v>
      </c>
      <c r="AB192">
        <v>3</v>
      </c>
      <c r="AC192">
        <v>33</v>
      </c>
      <c r="AD192">
        <v>18</v>
      </c>
      <c r="AE192">
        <v>11</v>
      </c>
      <c r="AF192">
        <v>9</v>
      </c>
      <c r="AG192" t="s">
        <v>65</v>
      </c>
      <c r="AH192">
        <v>0</v>
      </c>
      <c r="AI192" t="s">
        <v>69</v>
      </c>
      <c r="AJ192" s="3" t="s">
        <v>84</v>
      </c>
      <c r="AK192" s="3">
        <v>0</v>
      </c>
      <c r="AL192" s="3" t="s">
        <v>83</v>
      </c>
    </row>
    <row r="193" spans="1:38" x14ac:dyDescent="0.3">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v>2279</v>
      </c>
      <c r="S193">
        <v>11781</v>
      </c>
      <c r="T193">
        <v>1</v>
      </c>
      <c r="U193" t="s">
        <v>43</v>
      </c>
      <c r="V193">
        <v>16</v>
      </c>
      <c r="W193">
        <v>3</v>
      </c>
      <c r="X193">
        <v>4</v>
      </c>
      <c r="Y193">
        <v>0</v>
      </c>
      <c r="Z193">
        <v>7</v>
      </c>
      <c r="AA193">
        <v>2</v>
      </c>
      <c r="AB193">
        <v>2</v>
      </c>
      <c r="AC193">
        <v>7</v>
      </c>
      <c r="AD193">
        <v>7</v>
      </c>
      <c r="AE193">
        <v>0</v>
      </c>
      <c r="AF193">
        <v>3</v>
      </c>
      <c r="AG193" t="s">
        <v>65</v>
      </c>
      <c r="AH193">
        <v>0</v>
      </c>
      <c r="AI193" t="s">
        <v>69</v>
      </c>
      <c r="AJ193" s="3" t="s">
        <v>83</v>
      </c>
      <c r="AK193" s="3">
        <v>1</v>
      </c>
      <c r="AL193" s="3" t="s">
        <v>83</v>
      </c>
    </row>
    <row r="194" spans="1:38" x14ac:dyDescent="0.3">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v>5916</v>
      </c>
      <c r="S194">
        <v>15497</v>
      </c>
      <c r="T194">
        <v>3</v>
      </c>
      <c r="U194" t="s">
        <v>35</v>
      </c>
      <c r="V194">
        <v>13</v>
      </c>
      <c r="W194">
        <v>3</v>
      </c>
      <c r="X194">
        <v>1</v>
      </c>
      <c r="Y194">
        <v>0</v>
      </c>
      <c r="Z194">
        <v>8</v>
      </c>
      <c r="AA194">
        <v>1</v>
      </c>
      <c r="AB194">
        <v>3</v>
      </c>
      <c r="AC194">
        <v>1</v>
      </c>
      <c r="AD194">
        <v>0</v>
      </c>
      <c r="AE194">
        <v>0</v>
      </c>
      <c r="AF194">
        <v>1</v>
      </c>
      <c r="AG194" t="s">
        <v>67</v>
      </c>
      <c r="AH194">
        <v>1</v>
      </c>
      <c r="AI194" t="s">
        <v>72</v>
      </c>
      <c r="AJ194" s="3" t="s">
        <v>84</v>
      </c>
      <c r="AK194" s="3">
        <v>2</v>
      </c>
      <c r="AL194" s="3" t="s">
        <v>84</v>
      </c>
    </row>
    <row r="195" spans="1:38" x14ac:dyDescent="0.3">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v>2089</v>
      </c>
      <c r="S195">
        <v>5228</v>
      </c>
      <c r="T195">
        <v>4</v>
      </c>
      <c r="U195" t="s">
        <v>43</v>
      </c>
      <c r="V195">
        <v>14</v>
      </c>
      <c r="W195">
        <v>3</v>
      </c>
      <c r="X195">
        <v>4</v>
      </c>
      <c r="Y195">
        <v>3</v>
      </c>
      <c r="Z195">
        <v>7</v>
      </c>
      <c r="AA195">
        <v>3</v>
      </c>
      <c r="AB195">
        <v>4</v>
      </c>
      <c r="AC195">
        <v>5</v>
      </c>
      <c r="AD195">
        <v>4</v>
      </c>
      <c r="AE195">
        <v>2</v>
      </c>
      <c r="AF195">
        <v>2</v>
      </c>
      <c r="AG195" t="s">
        <v>68</v>
      </c>
      <c r="AH195">
        <v>0</v>
      </c>
      <c r="AI195" t="s">
        <v>71</v>
      </c>
      <c r="AJ195" s="3" t="s">
        <v>82</v>
      </c>
      <c r="AK195" s="3">
        <v>0</v>
      </c>
      <c r="AL195" s="3" t="s">
        <v>83</v>
      </c>
    </row>
    <row r="196" spans="1:38" x14ac:dyDescent="0.3">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v>16792</v>
      </c>
      <c r="S196">
        <v>20462</v>
      </c>
      <c r="T196">
        <v>9</v>
      </c>
      <c r="U196" t="s">
        <v>43</v>
      </c>
      <c r="V196">
        <v>23</v>
      </c>
      <c r="W196">
        <v>4</v>
      </c>
      <c r="X196">
        <v>4</v>
      </c>
      <c r="Y196">
        <v>1</v>
      </c>
      <c r="Z196">
        <v>22</v>
      </c>
      <c r="AA196">
        <v>1</v>
      </c>
      <c r="AB196">
        <v>3</v>
      </c>
      <c r="AC196">
        <v>20</v>
      </c>
      <c r="AD196">
        <v>8</v>
      </c>
      <c r="AE196">
        <v>11</v>
      </c>
      <c r="AF196">
        <v>8</v>
      </c>
      <c r="AG196" t="s">
        <v>65</v>
      </c>
      <c r="AH196">
        <v>0</v>
      </c>
      <c r="AI196" t="s">
        <v>70</v>
      </c>
      <c r="AJ196" s="3" t="s">
        <v>82</v>
      </c>
      <c r="AK196" s="3">
        <v>0</v>
      </c>
      <c r="AL196" s="3" t="s">
        <v>83</v>
      </c>
    </row>
    <row r="197" spans="1:38" x14ac:dyDescent="0.3">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v>3564</v>
      </c>
      <c r="S197">
        <v>22977</v>
      </c>
      <c r="T197">
        <v>1</v>
      </c>
      <c r="U197" t="s">
        <v>35</v>
      </c>
      <c r="V197">
        <v>12</v>
      </c>
      <c r="W197">
        <v>3</v>
      </c>
      <c r="X197">
        <v>1</v>
      </c>
      <c r="Y197">
        <v>1</v>
      </c>
      <c r="Z197">
        <v>8</v>
      </c>
      <c r="AA197">
        <v>3</v>
      </c>
      <c r="AB197">
        <v>2</v>
      </c>
      <c r="AC197">
        <v>8</v>
      </c>
      <c r="AD197">
        <v>7</v>
      </c>
      <c r="AE197">
        <v>1</v>
      </c>
      <c r="AF197">
        <v>7</v>
      </c>
      <c r="AG197" t="s">
        <v>65</v>
      </c>
      <c r="AH197">
        <v>0</v>
      </c>
      <c r="AI197" t="s">
        <v>70</v>
      </c>
      <c r="AJ197" s="3" t="s">
        <v>83</v>
      </c>
      <c r="AK197" s="3">
        <v>2</v>
      </c>
      <c r="AL197" s="3" t="s">
        <v>84</v>
      </c>
    </row>
    <row r="198" spans="1:38" x14ac:dyDescent="0.3">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v>4425</v>
      </c>
      <c r="S198">
        <v>15986</v>
      </c>
      <c r="T198">
        <v>5</v>
      </c>
      <c r="U198" t="s">
        <v>43</v>
      </c>
      <c r="V198">
        <v>11</v>
      </c>
      <c r="W198">
        <v>3</v>
      </c>
      <c r="X198">
        <v>4</v>
      </c>
      <c r="Y198">
        <v>0</v>
      </c>
      <c r="Z198">
        <v>10</v>
      </c>
      <c r="AA198">
        <v>5</v>
      </c>
      <c r="AB198">
        <v>3</v>
      </c>
      <c r="AC198">
        <v>6</v>
      </c>
      <c r="AD198">
        <v>2</v>
      </c>
      <c r="AE198">
        <v>1</v>
      </c>
      <c r="AF198">
        <v>2</v>
      </c>
      <c r="AG198" t="s">
        <v>65</v>
      </c>
      <c r="AH198">
        <v>0</v>
      </c>
      <c r="AI198" t="s">
        <v>71</v>
      </c>
      <c r="AJ198" s="3" t="s">
        <v>83</v>
      </c>
      <c r="AK198" s="3">
        <v>1</v>
      </c>
      <c r="AL198" s="3" t="s">
        <v>83</v>
      </c>
    </row>
    <row r="199" spans="1:38" x14ac:dyDescent="0.3">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v>5265</v>
      </c>
      <c r="S199">
        <v>16439</v>
      </c>
      <c r="T199">
        <v>2</v>
      </c>
      <c r="U199" t="s">
        <v>43</v>
      </c>
      <c r="V199">
        <v>16</v>
      </c>
      <c r="W199">
        <v>3</v>
      </c>
      <c r="X199">
        <v>2</v>
      </c>
      <c r="Y199">
        <v>1</v>
      </c>
      <c r="Z199">
        <v>11</v>
      </c>
      <c r="AA199">
        <v>5</v>
      </c>
      <c r="AB199">
        <v>3</v>
      </c>
      <c r="AC199">
        <v>5</v>
      </c>
      <c r="AD199">
        <v>3</v>
      </c>
      <c r="AE199">
        <v>0</v>
      </c>
      <c r="AF199">
        <v>2</v>
      </c>
      <c r="AG199" t="s">
        <v>68</v>
      </c>
      <c r="AH199">
        <v>0</v>
      </c>
      <c r="AI199" t="s">
        <v>71</v>
      </c>
      <c r="AJ199" s="3" t="s">
        <v>84</v>
      </c>
      <c r="AK199" s="3">
        <v>0</v>
      </c>
      <c r="AL199" s="3" t="s">
        <v>83</v>
      </c>
    </row>
    <row r="200" spans="1:38" x14ac:dyDescent="0.3">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v>6553</v>
      </c>
      <c r="S200">
        <v>7259</v>
      </c>
      <c r="T200">
        <v>9</v>
      </c>
      <c r="U200" t="s">
        <v>43</v>
      </c>
      <c r="V200">
        <v>14</v>
      </c>
      <c r="W200">
        <v>3</v>
      </c>
      <c r="X200">
        <v>2</v>
      </c>
      <c r="Y200">
        <v>0</v>
      </c>
      <c r="Z200">
        <v>14</v>
      </c>
      <c r="AA200">
        <v>3</v>
      </c>
      <c r="AB200">
        <v>3</v>
      </c>
      <c r="AC200">
        <v>1</v>
      </c>
      <c r="AD200">
        <v>0</v>
      </c>
      <c r="AE200">
        <v>0</v>
      </c>
      <c r="AF200">
        <v>0</v>
      </c>
      <c r="AG200" t="s">
        <v>67</v>
      </c>
      <c r="AH200">
        <v>0</v>
      </c>
      <c r="AI200" t="s">
        <v>70</v>
      </c>
      <c r="AJ200" s="3" t="s">
        <v>84</v>
      </c>
      <c r="AK200" s="3">
        <v>1</v>
      </c>
      <c r="AL200" s="3" t="s">
        <v>83</v>
      </c>
    </row>
    <row r="201" spans="1:38" x14ac:dyDescent="0.3">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v>6261</v>
      </c>
      <c r="S201">
        <v>4185</v>
      </c>
      <c r="T201">
        <v>3</v>
      </c>
      <c r="U201" t="s">
        <v>43</v>
      </c>
      <c r="V201">
        <v>18</v>
      </c>
      <c r="W201">
        <v>3</v>
      </c>
      <c r="X201">
        <v>1</v>
      </c>
      <c r="Y201">
        <v>1</v>
      </c>
      <c r="Z201">
        <v>9</v>
      </c>
      <c r="AA201">
        <v>3</v>
      </c>
      <c r="AB201">
        <v>1</v>
      </c>
      <c r="AC201">
        <v>7</v>
      </c>
      <c r="AD201">
        <v>7</v>
      </c>
      <c r="AE201">
        <v>1</v>
      </c>
      <c r="AF201">
        <v>7</v>
      </c>
      <c r="AG201" t="s">
        <v>65</v>
      </c>
      <c r="AH201">
        <v>0</v>
      </c>
      <c r="AI201" t="s">
        <v>71</v>
      </c>
      <c r="AJ201" s="3" t="s">
        <v>82</v>
      </c>
      <c r="AK201" s="3">
        <v>0</v>
      </c>
      <c r="AL201" s="3" t="s">
        <v>83</v>
      </c>
    </row>
    <row r="202" spans="1:38" x14ac:dyDescent="0.3">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v>4298</v>
      </c>
      <c r="S202">
        <v>9679</v>
      </c>
      <c r="T202">
        <v>5</v>
      </c>
      <c r="U202" t="s">
        <v>43</v>
      </c>
      <c r="V202">
        <v>19</v>
      </c>
      <c r="W202">
        <v>3</v>
      </c>
      <c r="X202">
        <v>3</v>
      </c>
      <c r="Y202">
        <v>1</v>
      </c>
      <c r="Z202">
        <v>6</v>
      </c>
      <c r="AA202">
        <v>1</v>
      </c>
      <c r="AB202">
        <v>3</v>
      </c>
      <c r="AC202">
        <v>2</v>
      </c>
      <c r="AD202">
        <v>2</v>
      </c>
      <c r="AE202">
        <v>2</v>
      </c>
      <c r="AF202">
        <v>0</v>
      </c>
      <c r="AG202" t="s">
        <v>67</v>
      </c>
      <c r="AH202">
        <v>0</v>
      </c>
      <c r="AI202" t="s">
        <v>71</v>
      </c>
      <c r="AJ202" s="3" t="s">
        <v>83</v>
      </c>
      <c r="AK202" s="3">
        <v>2</v>
      </c>
      <c r="AL202" s="3" t="s">
        <v>84</v>
      </c>
    </row>
    <row r="203" spans="1:38" x14ac:dyDescent="0.3">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v>6804</v>
      </c>
      <c r="S203">
        <v>23793</v>
      </c>
      <c r="T203">
        <v>1</v>
      </c>
      <c r="U203" t="s">
        <v>35</v>
      </c>
      <c r="V203">
        <v>15</v>
      </c>
      <c r="W203">
        <v>3</v>
      </c>
      <c r="X203">
        <v>1</v>
      </c>
      <c r="Y203">
        <v>2</v>
      </c>
      <c r="Z203">
        <v>7</v>
      </c>
      <c r="AA203">
        <v>0</v>
      </c>
      <c r="AB203">
        <v>3</v>
      </c>
      <c r="AC203">
        <v>7</v>
      </c>
      <c r="AD203">
        <v>7</v>
      </c>
      <c r="AE203">
        <v>1</v>
      </c>
      <c r="AF203">
        <v>7</v>
      </c>
      <c r="AG203" t="s">
        <v>65</v>
      </c>
      <c r="AH203">
        <v>0</v>
      </c>
      <c r="AI203" t="s">
        <v>72</v>
      </c>
      <c r="AJ203" s="3" t="s">
        <v>82</v>
      </c>
      <c r="AK203" s="3">
        <v>1</v>
      </c>
      <c r="AL203" s="3" t="s">
        <v>83</v>
      </c>
    </row>
    <row r="204" spans="1:38" x14ac:dyDescent="0.3">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v>3815</v>
      </c>
      <c r="S204">
        <v>5972</v>
      </c>
      <c r="T204">
        <v>1</v>
      </c>
      <c r="U204" t="s">
        <v>35</v>
      </c>
      <c r="V204">
        <v>17</v>
      </c>
      <c r="W204">
        <v>3</v>
      </c>
      <c r="X204">
        <v>4</v>
      </c>
      <c r="Y204">
        <v>1</v>
      </c>
      <c r="Z204">
        <v>5</v>
      </c>
      <c r="AA204">
        <v>4</v>
      </c>
      <c r="AB204">
        <v>4</v>
      </c>
      <c r="AC204">
        <v>5</v>
      </c>
      <c r="AD204">
        <v>3</v>
      </c>
      <c r="AE204">
        <v>2</v>
      </c>
      <c r="AF204">
        <v>0</v>
      </c>
      <c r="AG204" t="s">
        <v>68</v>
      </c>
      <c r="AH204">
        <v>0</v>
      </c>
      <c r="AI204" t="s">
        <v>70</v>
      </c>
      <c r="AJ204" s="3" t="s">
        <v>84</v>
      </c>
      <c r="AK204" s="3">
        <v>1</v>
      </c>
      <c r="AL204" s="3" t="s">
        <v>83</v>
      </c>
    </row>
    <row r="205" spans="1:38" x14ac:dyDescent="0.3">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v>2741</v>
      </c>
      <c r="S205">
        <v>16523</v>
      </c>
      <c r="T205">
        <v>8</v>
      </c>
      <c r="U205" t="s">
        <v>35</v>
      </c>
      <c r="V205">
        <v>15</v>
      </c>
      <c r="W205">
        <v>3</v>
      </c>
      <c r="X205">
        <v>3</v>
      </c>
      <c r="Y205">
        <v>1</v>
      </c>
      <c r="Z205">
        <v>15</v>
      </c>
      <c r="AA205">
        <v>2</v>
      </c>
      <c r="AB205">
        <v>4</v>
      </c>
      <c r="AC205">
        <v>7</v>
      </c>
      <c r="AD205">
        <v>2</v>
      </c>
      <c r="AE205">
        <v>3</v>
      </c>
      <c r="AF205">
        <v>7</v>
      </c>
      <c r="AG205" t="s">
        <v>65</v>
      </c>
      <c r="AH205">
        <v>0</v>
      </c>
      <c r="AI205" t="s">
        <v>71</v>
      </c>
      <c r="AJ205" s="3" t="s">
        <v>82</v>
      </c>
      <c r="AK205" s="3">
        <v>1</v>
      </c>
      <c r="AL205" s="3" t="s">
        <v>83</v>
      </c>
    </row>
    <row r="206" spans="1:38" x14ac:dyDescent="0.3">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v>6673</v>
      </c>
      <c r="S206">
        <v>11354</v>
      </c>
      <c r="T206">
        <v>7</v>
      </c>
      <c r="U206" t="s">
        <v>35</v>
      </c>
      <c r="V206">
        <v>19</v>
      </c>
      <c r="W206">
        <v>3</v>
      </c>
      <c r="X206">
        <v>2</v>
      </c>
      <c r="Y206">
        <v>0</v>
      </c>
      <c r="Z206">
        <v>17</v>
      </c>
      <c r="AA206">
        <v>2</v>
      </c>
      <c r="AB206">
        <v>3</v>
      </c>
      <c r="AC206">
        <v>1</v>
      </c>
      <c r="AD206">
        <v>0</v>
      </c>
      <c r="AE206">
        <v>0</v>
      </c>
      <c r="AF206">
        <v>0</v>
      </c>
      <c r="AG206" t="s">
        <v>67</v>
      </c>
      <c r="AH206">
        <v>1</v>
      </c>
      <c r="AI206" t="s">
        <v>70</v>
      </c>
      <c r="AJ206" s="3" t="s">
        <v>83</v>
      </c>
      <c r="AK206" s="3">
        <v>3</v>
      </c>
      <c r="AL206" s="3" t="s">
        <v>82</v>
      </c>
    </row>
    <row r="207" spans="1:38" x14ac:dyDescent="0.3">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v>7639</v>
      </c>
      <c r="S207">
        <v>24525</v>
      </c>
      <c r="T207">
        <v>1</v>
      </c>
      <c r="U207" t="s">
        <v>43</v>
      </c>
      <c r="V207">
        <v>22</v>
      </c>
      <c r="W207">
        <v>4</v>
      </c>
      <c r="X207">
        <v>4</v>
      </c>
      <c r="Y207">
        <v>3</v>
      </c>
      <c r="Z207">
        <v>10</v>
      </c>
      <c r="AA207">
        <v>3</v>
      </c>
      <c r="AB207">
        <v>2</v>
      </c>
      <c r="AC207">
        <v>10</v>
      </c>
      <c r="AD207">
        <v>4</v>
      </c>
      <c r="AE207">
        <v>1</v>
      </c>
      <c r="AF207">
        <v>9</v>
      </c>
      <c r="AG207" t="s">
        <v>65</v>
      </c>
      <c r="AH207">
        <v>1</v>
      </c>
      <c r="AI207" t="s">
        <v>71</v>
      </c>
      <c r="AJ207" s="3" t="s">
        <v>82</v>
      </c>
      <c r="AK207" s="3">
        <v>0</v>
      </c>
      <c r="AL207" s="3" t="s">
        <v>83</v>
      </c>
    </row>
    <row r="208" spans="1:38" x14ac:dyDescent="0.3">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v>2328</v>
      </c>
      <c r="S208">
        <v>12392</v>
      </c>
      <c r="T208">
        <v>1</v>
      </c>
      <c r="U208" t="s">
        <v>35</v>
      </c>
      <c r="V208">
        <v>16</v>
      </c>
      <c r="W208">
        <v>3</v>
      </c>
      <c r="X208">
        <v>1</v>
      </c>
      <c r="Y208">
        <v>1</v>
      </c>
      <c r="Z208">
        <v>4</v>
      </c>
      <c r="AA208">
        <v>2</v>
      </c>
      <c r="AB208">
        <v>2</v>
      </c>
      <c r="AC208">
        <v>4</v>
      </c>
      <c r="AD208">
        <v>2</v>
      </c>
      <c r="AE208">
        <v>2</v>
      </c>
      <c r="AF208">
        <v>2</v>
      </c>
      <c r="AG208" t="s">
        <v>68</v>
      </c>
      <c r="AH208">
        <v>0</v>
      </c>
      <c r="AI208" t="s">
        <v>72</v>
      </c>
      <c r="AJ208" s="3" t="s">
        <v>83</v>
      </c>
      <c r="AK208" s="3">
        <v>2</v>
      </c>
      <c r="AL208" s="3" t="s">
        <v>84</v>
      </c>
    </row>
    <row r="209" spans="1:38" x14ac:dyDescent="0.3">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v>2153</v>
      </c>
      <c r="S209">
        <v>7703</v>
      </c>
      <c r="T209">
        <v>1</v>
      </c>
      <c r="U209" t="s">
        <v>43</v>
      </c>
      <c r="V209">
        <v>13</v>
      </c>
      <c r="W209">
        <v>3</v>
      </c>
      <c r="X209">
        <v>1</v>
      </c>
      <c r="Y209">
        <v>0</v>
      </c>
      <c r="Z209">
        <v>8</v>
      </c>
      <c r="AA209">
        <v>2</v>
      </c>
      <c r="AB209">
        <v>3</v>
      </c>
      <c r="AC209">
        <v>8</v>
      </c>
      <c r="AD209">
        <v>1</v>
      </c>
      <c r="AE209">
        <v>1</v>
      </c>
      <c r="AF209">
        <v>7</v>
      </c>
      <c r="AG209" t="s">
        <v>65</v>
      </c>
      <c r="AH209">
        <v>0</v>
      </c>
      <c r="AI209" t="s">
        <v>72</v>
      </c>
      <c r="AJ209" s="3" t="s">
        <v>82</v>
      </c>
      <c r="AK209" s="3">
        <v>0</v>
      </c>
      <c r="AL209" s="3" t="s">
        <v>83</v>
      </c>
    </row>
    <row r="210" spans="1:38" x14ac:dyDescent="0.3">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v>4876</v>
      </c>
      <c r="S210">
        <v>14242</v>
      </c>
      <c r="T210">
        <v>9</v>
      </c>
      <c r="U210" t="s">
        <v>43</v>
      </c>
      <c r="V210">
        <v>14</v>
      </c>
      <c r="W210">
        <v>3</v>
      </c>
      <c r="X210">
        <v>4</v>
      </c>
      <c r="Y210">
        <v>1</v>
      </c>
      <c r="Z210">
        <v>5</v>
      </c>
      <c r="AA210">
        <v>5</v>
      </c>
      <c r="AB210">
        <v>1</v>
      </c>
      <c r="AC210">
        <v>3</v>
      </c>
      <c r="AD210">
        <v>2</v>
      </c>
      <c r="AE210">
        <v>0</v>
      </c>
      <c r="AF210">
        <v>2</v>
      </c>
      <c r="AG210" t="s">
        <v>67</v>
      </c>
      <c r="AH210">
        <v>0</v>
      </c>
      <c r="AI210" t="s">
        <v>71</v>
      </c>
      <c r="AJ210" s="3" t="s">
        <v>82</v>
      </c>
      <c r="AK210" s="3">
        <v>1</v>
      </c>
      <c r="AL210" s="3" t="s">
        <v>83</v>
      </c>
    </row>
    <row r="211" spans="1:38" x14ac:dyDescent="0.3">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v>9396</v>
      </c>
      <c r="S211">
        <v>12368</v>
      </c>
      <c r="T211">
        <v>7</v>
      </c>
      <c r="U211" t="s">
        <v>43</v>
      </c>
      <c r="V211">
        <v>16</v>
      </c>
      <c r="W211">
        <v>3</v>
      </c>
      <c r="X211">
        <v>3</v>
      </c>
      <c r="Y211">
        <v>1</v>
      </c>
      <c r="Z211">
        <v>17</v>
      </c>
      <c r="AA211">
        <v>3</v>
      </c>
      <c r="AB211">
        <v>3</v>
      </c>
      <c r="AC211">
        <v>4</v>
      </c>
      <c r="AD211">
        <v>2</v>
      </c>
      <c r="AE211">
        <v>0</v>
      </c>
      <c r="AF211">
        <v>3</v>
      </c>
      <c r="AG211" t="s">
        <v>68</v>
      </c>
      <c r="AH211">
        <v>0</v>
      </c>
      <c r="AI211" t="s">
        <v>70</v>
      </c>
      <c r="AJ211" s="3" t="s">
        <v>83</v>
      </c>
      <c r="AK211" s="3">
        <v>1</v>
      </c>
      <c r="AL211" s="3" t="s">
        <v>83</v>
      </c>
    </row>
    <row r="212" spans="1:38" x14ac:dyDescent="0.3">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v>10400</v>
      </c>
      <c r="S212">
        <v>25812</v>
      </c>
      <c r="T212">
        <v>1</v>
      </c>
      <c r="U212" t="s">
        <v>43</v>
      </c>
      <c r="V212">
        <v>11</v>
      </c>
      <c r="W212">
        <v>3</v>
      </c>
      <c r="X212">
        <v>3</v>
      </c>
      <c r="Y212">
        <v>0</v>
      </c>
      <c r="Z212">
        <v>14</v>
      </c>
      <c r="AA212">
        <v>2</v>
      </c>
      <c r="AB212">
        <v>2</v>
      </c>
      <c r="AC212">
        <v>14</v>
      </c>
      <c r="AD212">
        <v>8</v>
      </c>
      <c r="AE212">
        <v>9</v>
      </c>
      <c r="AF212">
        <v>8</v>
      </c>
      <c r="AG212" t="s">
        <v>65</v>
      </c>
      <c r="AH212">
        <v>1</v>
      </c>
      <c r="AI212" t="s">
        <v>70</v>
      </c>
      <c r="AJ212" s="3" t="s">
        <v>82</v>
      </c>
      <c r="AK212" s="3">
        <v>0</v>
      </c>
      <c r="AL212" s="3" t="s">
        <v>83</v>
      </c>
    </row>
    <row r="213" spans="1:38" x14ac:dyDescent="0.3">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v>8474</v>
      </c>
      <c r="S213">
        <v>20925</v>
      </c>
      <c r="T213">
        <v>1</v>
      </c>
      <c r="U213" t="s">
        <v>43</v>
      </c>
      <c r="V213">
        <v>22</v>
      </c>
      <c r="W213">
        <v>4</v>
      </c>
      <c r="X213">
        <v>3</v>
      </c>
      <c r="Y213">
        <v>0</v>
      </c>
      <c r="Z213">
        <v>12</v>
      </c>
      <c r="AA213">
        <v>2</v>
      </c>
      <c r="AB213">
        <v>3</v>
      </c>
      <c r="AC213">
        <v>11</v>
      </c>
      <c r="AD213">
        <v>8</v>
      </c>
      <c r="AE213">
        <v>5</v>
      </c>
      <c r="AF213">
        <v>8</v>
      </c>
      <c r="AG213" t="s">
        <v>65</v>
      </c>
      <c r="AH213">
        <v>0</v>
      </c>
      <c r="AI213" t="s">
        <v>71</v>
      </c>
      <c r="AJ213" s="3" t="s">
        <v>84</v>
      </c>
      <c r="AK213" s="3">
        <v>0</v>
      </c>
      <c r="AL213" s="3" t="s">
        <v>83</v>
      </c>
    </row>
    <row r="214" spans="1:38" x14ac:dyDescent="0.3">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v>9981</v>
      </c>
      <c r="S214">
        <v>12916</v>
      </c>
      <c r="T214">
        <v>1</v>
      </c>
      <c r="U214" t="s">
        <v>43</v>
      </c>
      <c r="V214">
        <v>14</v>
      </c>
      <c r="W214">
        <v>3</v>
      </c>
      <c r="X214">
        <v>4</v>
      </c>
      <c r="Y214">
        <v>0</v>
      </c>
      <c r="Z214">
        <v>7</v>
      </c>
      <c r="AA214">
        <v>2</v>
      </c>
      <c r="AB214">
        <v>3</v>
      </c>
      <c r="AC214">
        <v>7</v>
      </c>
      <c r="AD214">
        <v>7</v>
      </c>
      <c r="AE214">
        <v>0</v>
      </c>
      <c r="AF214">
        <v>7</v>
      </c>
      <c r="AG214" t="s">
        <v>65</v>
      </c>
      <c r="AH214">
        <v>0</v>
      </c>
      <c r="AI214" t="s">
        <v>71</v>
      </c>
      <c r="AJ214" s="3" t="s">
        <v>84</v>
      </c>
      <c r="AK214" s="3">
        <v>0</v>
      </c>
      <c r="AL214" s="3" t="s">
        <v>83</v>
      </c>
    </row>
    <row r="215" spans="1:38" x14ac:dyDescent="0.3">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v>12490</v>
      </c>
      <c r="S215">
        <v>15736</v>
      </c>
      <c r="T215">
        <v>5</v>
      </c>
      <c r="U215" t="s">
        <v>43</v>
      </c>
      <c r="V215">
        <v>16</v>
      </c>
      <c r="W215">
        <v>3</v>
      </c>
      <c r="X215">
        <v>4</v>
      </c>
      <c r="Y215">
        <v>2</v>
      </c>
      <c r="Z215">
        <v>16</v>
      </c>
      <c r="AA215">
        <v>5</v>
      </c>
      <c r="AB215">
        <v>1</v>
      </c>
      <c r="AC215">
        <v>10</v>
      </c>
      <c r="AD215">
        <v>9</v>
      </c>
      <c r="AE215">
        <v>4</v>
      </c>
      <c r="AF215">
        <v>7</v>
      </c>
      <c r="AG215" t="s">
        <v>65</v>
      </c>
      <c r="AH215">
        <v>0</v>
      </c>
      <c r="AI215" t="s">
        <v>72</v>
      </c>
      <c r="AJ215" s="3" t="s">
        <v>83</v>
      </c>
      <c r="AK215" s="3">
        <v>1</v>
      </c>
      <c r="AL215" s="3" t="s">
        <v>83</v>
      </c>
    </row>
    <row r="216" spans="1:38" x14ac:dyDescent="0.3">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v>2657</v>
      </c>
      <c r="S216">
        <v>8556</v>
      </c>
      <c r="T216">
        <v>5</v>
      </c>
      <c r="U216" t="s">
        <v>35</v>
      </c>
      <c r="V216">
        <v>11</v>
      </c>
      <c r="W216">
        <v>3</v>
      </c>
      <c r="X216">
        <v>3</v>
      </c>
      <c r="Y216">
        <v>0</v>
      </c>
      <c r="Z216">
        <v>8</v>
      </c>
      <c r="AA216">
        <v>5</v>
      </c>
      <c r="AB216">
        <v>3</v>
      </c>
      <c r="AC216">
        <v>5</v>
      </c>
      <c r="AD216">
        <v>2</v>
      </c>
      <c r="AE216">
        <v>0</v>
      </c>
      <c r="AF216">
        <v>4</v>
      </c>
      <c r="AG216" t="s">
        <v>68</v>
      </c>
      <c r="AH216">
        <v>1</v>
      </c>
      <c r="AI216" t="s">
        <v>69</v>
      </c>
      <c r="AJ216" s="3" t="s">
        <v>83</v>
      </c>
      <c r="AK216" s="3">
        <v>2</v>
      </c>
      <c r="AL216" s="3" t="s">
        <v>84</v>
      </c>
    </row>
    <row r="217" spans="1:38" x14ac:dyDescent="0.3">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v>13591</v>
      </c>
      <c r="S217">
        <v>14674</v>
      </c>
      <c r="T217">
        <v>3</v>
      </c>
      <c r="U217" t="s">
        <v>35</v>
      </c>
      <c r="V217">
        <v>18</v>
      </c>
      <c r="W217">
        <v>3</v>
      </c>
      <c r="X217">
        <v>3</v>
      </c>
      <c r="Y217">
        <v>0</v>
      </c>
      <c r="Z217">
        <v>16</v>
      </c>
      <c r="AA217">
        <v>3</v>
      </c>
      <c r="AB217">
        <v>3</v>
      </c>
      <c r="AC217">
        <v>1</v>
      </c>
      <c r="AD217">
        <v>0</v>
      </c>
      <c r="AE217">
        <v>0</v>
      </c>
      <c r="AF217">
        <v>0</v>
      </c>
      <c r="AG217" t="s">
        <v>67</v>
      </c>
      <c r="AH217">
        <v>0</v>
      </c>
      <c r="AI217" t="s">
        <v>71</v>
      </c>
      <c r="AJ217" s="3" t="s">
        <v>82</v>
      </c>
      <c r="AK217" s="3">
        <v>2</v>
      </c>
      <c r="AL217" s="3" t="s">
        <v>84</v>
      </c>
    </row>
    <row r="218" spans="1:38" x14ac:dyDescent="0.3">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v>6696</v>
      </c>
      <c r="S218">
        <v>22967</v>
      </c>
      <c r="T218">
        <v>5</v>
      </c>
      <c r="U218" t="s">
        <v>43</v>
      </c>
      <c r="V218">
        <v>15</v>
      </c>
      <c r="W218">
        <v>3</v>
      </c>
      <c r="X218">
        <v>3</v>
      </c>
      <c r="Y218">
        <v>0</v>
      </c>
      <c r="Z218">
        <v>9</v>
      </c>
      <c r="AA218">
        <v>5</v>
      </c>
      <c r="AB218">
        <v>2</v>
      </c>
      <c r="AC218">
        <v>6</v>
      </c>
      <c r="AD218">
        <v>3</v>
      </c>
      <c r="AE218">
        <v>0</v>
      </c>
      <c r="AF218">
        <v>1</v>
      </c>
      <c r="AG218" t="s">
        <v>65</v>
      </c>
      <c r="AH218">
        <v>1</v>
      </c>
      <c r="AI218" t="s">
        <v>70</v>
      </c>
      <c r="AJ218" s="3" t="s">
        <v>83</v>
      </c>
      <c r="AK218" s="3">
        <v>1</v>
      </c>
      <c r="AL218" s="3" t="s">
        <v>83</v>
      </c>
    </row>
    <row r="219" spans="1:38" x14ac:dyDescent="0.3">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v>2058</v>
      </c>
      <c r="S219">
        <v>19757</v>
      </c>
      <c r="T219">
        <v>0</v>
      </c>
      <c r="U219" t="s">
        <v>43</v>
      </c>
      <c r="V219">
        <v>14</v>
      </c>
      <c r="W219">
        <v>3</v>
      </c>
      <c r="X219">
        <v>4</v>
      </c>
      <c r="Y219">
        <v>0</v>
      </c>
      <c r="Z219">
        <v>7</v>
      </c>
      <c r="AA219">
        <v>1</v>
      </c>
      <c r="AB219">
        <v>2</v>
      </c>
      <c r="AC219">
        <v>6</v>
      </c>
      <c r="AD219">
        <v>2</v>
      </c>
      <c r="AE219">
        <v>1</v>
      </c>
      <c r="AF219">
        <v>5</v>
      </c>
      <c r="AG219" t="s">
        <v>65</v>
      </c>
      <c r="AH219">
        <v>1</v>
      </c>
      <c r="AI219" t="s">
        <v>71</v>
      </c>
      <c r="AJ219" s="3" t="s">
        <v>84</v>
      </c>
      <c r="AK219" s="3">
        <v>0</v>
      </c>
      <c r="AL219" s="3" t="s">
        <v>83</v>
      </c>
    </row>
    <row r="220" spans="1:38" x14ac:dyDescent="0.3">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v>8865</v>
      </c>
      <c r="S220">
        <v>16840</v>
      </c>
      <c r="T220">
        <v>6</v>
      </c>
      <c r="U220" t="s">
        <v>43</v>
      </c>
      <c r="V220">
        <v>12</v>
      </c>
      <c r="W220">
        <v>3</v>
      </c>
      <c r="X220">
        <v>4</v>
      </c>
      <c r="Y220">
        <v>0</v>
      </c>
      <c r="Z220">
        <v>23</v>
      </c>
      <c r="AA220">
        <v>2</v>
      </c>
      <c r="AB220">
        <v>3</v>
      </c>
      <c r="AC220">
        <v>19</v>
      </c>
      <c r="AD220">
        <v>7</v>
      </c>
      <c r="AE220">
        <v>12</v>
      </c>
      <c r="AF220">
        <v>8</v>
      </c>
      <c r="AG220" t="s">
        <v>65</v>
      </c>
      <c r="AH220">
        <v>0</v>
      </c>
      <c r="AI220" t="s">
        <v>72</v>
      </c>
      <c r="AJ220" s="3" t="s">
        <v>82</v>
      </c>
      <c r="AK220" s="3">
        <v>0</v>
      </c>
      <c r="AL220" s="3" t="s">
        <v>83</v>
      </c>
    </row>
    <row r="221" spans="1:38" x14ac:dyDescent="0.3">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v>5940</v>
      </c>
      <c r="S221">
        <v>17011</v>
      </c>
      <c r="T221">
        <v>2</v>
      </c>
      <c r="U221" t="s">
        <v>43</v>
      </c>
      <c r="V221">
        <v>14</v>
      </c>
      <c r="W221">
        <v>3</v>
      </c>
      <c r="X221">
        <v>4</v>
      </c>
      <c r="Y221">
        <v>1</v>
      </c>
      <c r="Z221">
        <v>16</v>
      </c>
      <c r="AA221">
        <v>4</v>
      </c>
      <c r="AB221">
        <v>3</v>
      </c>
      <c r="AC221">
        <v>6</v>
      </c>
      <c r="AD221">
        <v>2</v>
      </c>
      <c r="AE221">
        <v>0</v>
      </c>
      <c r="AF221">
        <v>5</v>
      </c>
      <c r="AG221" t="s">
        <v>65</v>
      </c>
      <c r="AH221">
        <v>0</v>
      </c>
      <c r="AI221" t="s">
        <v>70</v>
      </c>
      <c r="AJ221" s="3" t="s">
        <v>83</v>
      </c>
      <c r="AK221" s="3">
        <v>1</v>
      </c>
      <c r="AL221" s="3" t="s">
        <v>83</v>
      </c>
    </row>
    <row r="222" spans="1:38" x14ac:dyDescent="0.3">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v>5914</v>
      </c>
      <c r="S222">
        <v>9945</v>
      </c>
      <c r="T222">
        <v>8</v>
      </c>
      <c r="U222" t="s">
        <v>43</v>
      </c>
      <c r="V222">
        <v>16</v>
      </c>
      <c r="W222">
        <v>3</v>
      </c>
      <c r="X222">
        <v>4</v>
      </c>
      <c r="Y222">
        <v>0</v>
      </c>
      <c r="Z222">
        <v>16</v>
      </c>
      <c r="AA222">
        <v>3</v>
      </c>
      <c r="AB222">
        <v>4</v>
      </c>
      <c r="AC222">
        <v>13</v>
      </c>
      <c r="AD222">
        <v>11</v>
      </c>
      <c r="AE222">
        <v>3</v>
      </c>
      <c r="AF222">
        <v>7</v>
      </c>
      <c r="AG222" t="s">
        <v>65</v>
      </c>
      <c r="AH222">
        <v>0</v>
      </c>
      <c r="AI222" t="s">
        <v>69</v>
      </c>
      <c r="AJ222" s="3" t="s">
        <v>83</v>
      </c>
      <c r="AK222" s="3">
        <v>1</v>
      </c>
      <c r="AL222" s="3" t="s">
        <v>83</v>
      </c>
    </row>
    <row r="223" spans="1:38" x14ac:dyDescent="0.3">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v>2622</v>
      </c>
      <c r="S223">
        <v>13248</v>
      </c>
      <c r="T223">
        <v>6</v>
      </c>
      <c r="U223" t="s">
        <v>43</v>
      </c>
      <c r="V223">
        <v>21</v>
      </c>
      <c r="W223">
        <v>4</v>
      </c>
      <c r="X223">
        <v>4</v>
      </c>
      <c r="Y223">
        <v>0</v>
      </c>
      <c r="Z223">
        <v>7</v>
      </c>
      <c r="AA223">
        <v>3</v>
      </c>
      <c r="AB223">
        <v>3</v>
      </c>
      <c r="AC223">
        <v>3</v>
      </c>
      <c r="AD223">
        <v>2</v>
      </c>
      <c r="AE223">
        <v>1</v>
      </c>
      <c r="AF223">
        <v>1</v>
      </c>
      <c r="AG223" t="s">
        <v>67</v>
      </c>
      <c r="AH223">
        <v>0</v>
      </c>
      <c r="AI223" t="s">
        <v>71</v>
      </c>
      <c r="AJ223" s="3" t="s">
        <v>83</v>
      </c>
      <c r="AK223" s="3">
        <v>2</v>
      </c>
      <c r="AL223" s="3" t="s">
        <v>84</v>
      </c>
    </row>
    <row r="224" spans="1:38" x14ac:dyDescent="0.3">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v>12185</v>
      </c>
      <c r="S224">
        <v>10056</v>
      </c>
      <c r="T224">
        <v>1</v>
      </c>
      <c r="U224" t="s">
        <v>35</v>
      </c>
      <c r="V224">
        <v>14</v>
      </c>
      <c r="W224">
        <v>3</v>
      </c>
      <c r="X224">
        <v>3</v>
      </c>
      <c r="Y224">
        <v>3</v>
      </c>
      <c r="Z224">
        <v>10</v>
      </c>
      <c r="AA224">
        <v>1</v>
      </c>
      <c r="AB224">
        <v>3</v>
      </c>
      <c r="AC224">
        <v>10</v>
      </c>
      <c r="AD224">
        <v>8</v>
      </c>
      <c r="AE224">
        <v>0</v>
      </c>
      <c r="AF224">
        <v>7</v>
      </c>
      <c r="AG224" t="s">
        <v>65</v>
      </c>
      <c r="AH224">
        <v>0</v>
      </c>
      <c r="AI224" t="s">
        <v>71</v>
      </c>
      <c r="AJ224" s="3" t="s">
        <v>82</v>
      </c>
      <c r="AK224" s="3">
        <v>1</v>
      </c>
      <c r="AL224" s="3" t="s">
        <v>83</v>
      </c>
    </row>
    <row r="225" spans="1:38" x14ac:dyDescent="0.3">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v>10609</v>
      </c>
      <c r="S225">
        <v>9647</v>
      </c>
      <c r="T225">
        <v>0</v>
      </c>
      <c r="U225" t="s">
        <v>43</v>
      </c>
      <c r="V225">
        <v>12</v>
      </c>
      <c r="W225">
        <v>3</v>
      </c>
      <c r="X225">
        <v>3</v>
      </c>
      <c r="Y225">
        <v>2</v>
      </c>
      <c r="Z225">
        <v>17</v>
      </c>
      <c r="AA225">
        <v>6</v>
      </c>
      <c r="AB225">
        <v>2</v>
      </c>
      <c r="AC225">
        <v>16</v>
      </c>
      <c r="AD225">
        <v>10</v>
      </c>
      <c r="AE225">
        <v>5</v>
      </c>
      <c r="AF225">
        <v>13</v>
      </c>
      <c r="AG225" t="s">
        <v>65</v>
      </c>
      <c r="AH225">
        <v>0</v>
      </c>
      <c r="AI225" t="s">
        <v>71</v>
      </c>
      <c r="AJ225" s="3" t="s">
        <v>84</v>
      </c>
      <c r="AK225" s="3">
        <v>0</v>
      </c>
      <c r="AL225" s="3" t="s">
        <v>83</v>
      </c>
    </row>
    <row r="226" spans="1:38" x14ac:dyDescent="0.3">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v>4345</v>
      </c>
      <c r="S226">
        <v>4381</v>
      </c>
      <c r="T226">
        <v>0</v>
      </c>
      <c r="U226" t="s">
        <v>43</v>
      </c>
      <c r="V226">
        <v>12</v>
      </c>
      <c r="W226">
        <v>3</v>
      </c>
      <c r="X226">
        <v>4</v>
      </c>
      <c r="Y226">
        <v>1</v>
      </c>
      <c r="Z226">
        <v>6</v>
      </c>
      <c r="AA226">
        <v>2</v>
      </c>
      <c r="AB226">
        <v>3</v>
      </c>
      <c r="AC226">
        <v>5</v>
      </c>
      <c r="AD226">
        <v>4</v>
      </c>
      <c r="AE226">
        <v>1</v>
      </c>
      <c r="AF226">
        <v>4</v>
      </c>
      <c r="AG226" t="s">
        <v>68</v>
      </c>
      <c r="AH226">
        <v>0</v>
      </c>
      <c r="AI226" t="s">
        <v>71</v>
      </c>
      <c r="AJ226" s="3" t="s">
        <v>84</v>
      </c>
      <c r="AK226" s="3">
        <v>0</v>
      </c>
      <c r="AL226" s="3" t="s">
        <v>83</v>
      </c>
    </row>
    <row r="227" spans="1:38" x14ac:dyDescent="0.3">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v>2177</v>
      </c>
      <c r="S227">
        <v>8456</v>
      </c>
      <c r="T227">
        <v>3</v>
      </c>
      <c r="U227" t="s">
        <v>43</v>
      </c>
      <c r="V227">
        <v>17</v>
      </c>
      <c r="W227">
        <v>3</v>
      </c>
      <c r="X227">
        <v>1</v>
      </c>
      <c r="Y227">
        <v>1</v>
      </c>
      <c r="Z227">
        <v>7</v>
      </c>
      <c r="AA227">
        <v>6</v>
      </c>
      <c r="AB227">
        <v>3</v>
      </c>
      <c r="AC227">
        <v>1</v>
      </c>
      <c r="AD227">
        <v>0</v>
      </c>
      <c r="AE227">
        <v>0</v>
      </c>
      <c r="AF227">
        <v>0</v>
      </c>
      <c r="AG227" t="s">
        <v>67</v>
      </c>
      <c r="AH227">
        <v>0</v>
      </c>
      <c r="AI227" t="s">
        <v>71</v>
      </c>
      <c r="AJ227" s="3" t="s">
        <v>82</v>
      </c>
      <c r="AK227" s="3">
        <v>1</v>
      </c>
      <c r="AL227" s="3" t="s">
        <v>83</v>
      </c>
    </row>
    <row r="228" spans="1:38" x14ac:dyDescent="0.3">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v>2793</v>
      </c>
      <c r="S228">
        <v>2539</v>
      </c>
      <c r="T228">
        <v>4</v>
      </c>
      <c r="U228" t="s">
        <v>43</v>
      </c>
      <c r="V228">
        <v>17</v>
      </c>
      <c r="W228">
        <v>3</v>
      </c>
      <c r="X228">
        <v>3</v>
      </c>
      <c r="Y228">
        <v>1</v>
      </c>
      <c r="Z228">
        <v>13</v>
      </c>
      <c r="AA228">
        <v>2</v>
      </c>
      <c r="AB228">
        <v>3</v>
      </c>
      <c r="AC228">
        <v>9</v>
      </c>
      <c r="AD228">
        <v>8</v>
      </c>
      <c r="AE228">
        <v>5</v>
      </c>
      <c r="AF228">
        <v>8</v>
      </c>
      <c r="AG228" t="s">
        <v>65</v>
      </c>
      <c r="AH228">
        <v>0</v>
      </c>
      <c r="AI228" t="s">
        <v>69</v>
      </c>
      <c r="AJ228" s="3" t="s">
        <v>82</v>
      </c>
      <c r="AK228" s="3">
        <v>0</v>
      </c>
      <c r="AL228" s="3" t="s">
        <v>83</v>
      </c>
    </row>
    <row r="229" spans="1:38" x14ac:dyDescent="0.3">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v>7918</v>
      </c>
      <c r="S229">
        <v>6599</v>
      </c>
      <c r="T229">
        <v>1</v>
      </c>
      <c r="U229" t="s">
        <v>43</v>
      </c>
      <c r="V229">
        <v>14</v>
      </c>
      <c r="W229">
        <v>3</v>
      </c>
      <c r="X229">
        <v>4</v>
      </c>
      <c r="Y229">
        <v>1</v>
      </c>
      <c r="Z229">
        <v>11</v>
      </c>
      <c r="AA229">
        <v>5</v>
      </c>
      <c r="AB229">
        <v>3</v>
      </c>
      <c r="AC229">
        <v>11</v>
      </c>
      <c r="AD229">
        <v>10</v>
      </c>
      <c r="AE229">
        <v>4</v>
      </c>
      <c r="AF229">
        <v>1</v>
      </c>
      <c r="AG229" t="s">
        <v>65</v>
      </c>
      <c r="AH229">
        <v>0</v>
      </c>
      <c r="AI229" t="s">
        <v>71</v>
      </c>
      <c r="AJ229" s="3" t="s">
        <v>82</v>
      </c>
      <c r="AK229" s="3">
        <v>0</v>
      </c>
      <c r="AL229" s="3" t="s">
        <v>83</v>
      </c>
    </row>
    <row r="230" spans="1:38" x14ac:dyDescent="0.3">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v>8789</v>
      </c>
      <c r="S230">
        <v>9096</v>
      </c>
      <c r="T230">
        <v>1</v>
      </c>
      <c r="U230" t="s">
        <v>43</v>
      </c>
      <c r="V230">
        <v>14</v>
      </c>
      <c r="W230">
        <v>3</v>
      </c>
      <c r="X230">
        <v>1</v>
      </c>
      <c r="Y230">
        <v>0</v>
      </c>
      <c r="Z230">
        <v>10</v>
      </c>
      <c r="AA230">
        <v>3</v>
      </c>
      <c r="AB230">
        <v>4</v>
      </c>
      <c r="AC230">
        <v>10</v>
      </c>
      <c r="AD230">
        <v>7</v>
      </c>
      <c r="AE230">
        <v>0</v>
      </c>
      <c r="AF230">
        <v>8</v>
      </c>
      <c r="AG230" t="s">
        <v>65</v>
      </c>
      <c r="AH230">
        <v>0</v>
      </c>
      <c r="AI230" t="s">
        <v>72</v>
      </c>
      <c r="AJ230" s="3" t="s">
        <v>84</v>
      </c>
      <c r="AK230" s="3">
        <v>0</v>
      </c>
      <c r="AL230" s="3" t="s">
        <v>83</v>
      </c>
    </row>
    <row r="231" spans="1:38" x14ac:dyDescent="0.3">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v>2389</v>
      </c>
      <c r="S231">
        <v>14961</v>
      </c>
      <c r="T231">
        <v>1</v>
      </c>
      <c r="U231" t="s">
        <v>35</v>
      </c>
      <c r="V231">
        <v>13</v>
      </c>
      <c r="W231">
        <v>3</v>
      </c>
      <c r="X231">
        <v>3</v>
      </c>
      <c r="Y231">
        <v>0</v>
      </c>
      <c r="Z231">
        <v>4</v>
      </c>
      <c r="AA231">
        <v>3</v>
      </c>
      <c r="AB231">
        <v>2</v>
      </c>
      <c r="AC231">
        <v>4</v>
      </c>
      <c r="AD231">
        <v>3</v>
      </c>
      <c r="AE231">
        <v>0</v>
      </c>
      <c r="AF231">
        <v>1</v>
      </c>
      <c r="AG231" t="s">
        <v>68</v>
      </c>
      <c r="AH231">
        <v>1</v>
      </c>
      <c r="AI231" t="s">
        <v>71</v>
      </c>
      <c r="AJ231" s="3" t="s">
        <v>82</v>
      </c>
      <c r="AK231" s="3">
        <v>1</v>
      </c>
      <c r="AL231" s="3" t="s">
        <v>83</v>
      </c>
    </row>
    <row r="232" spans="1:38" x14ac:dyDescent="0.3">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v>3212</v>
      </c>
      <c r="S232">
        <v>3300</v>
      </c>
      <c r="T232">
        <v>7</v>
      </c>
      <c r="U232" t="s">
        <v>43</v>
      </c>
      <c r="V232">
        <v>15</v>
      </c>
      <c r="W232">
        <v>3</v>
      </c>
      <c r="X232">
        <v>2</v>
      </c>
      <c r="Y232">
        <v>0</v>
      </c>
      <c r="Z232">
        <v>6</v>
      </c>
      <c r="AA232">
        <v>3</v>
      </c>
      <c r="AB232">
        <v>2</v>
      </c>
      <c r="AC232">
        <v>2</v>
      </c>
      <c r="AD232">
        <v>2</v>
      </c>
      <c r="AE232">
        <v>2</v>
      </c>
      <c r="AF232">
        <v>2</v>
      </c>
      <c r="AG232" t="s">
        <v>67</v>
      </c>
      <c r="AH232">
        <v>0</v>
      </c>
      <c r="AI232" t="s">
        <v>72</v>
      </c>
      <c r="AJ232" s="3" t="s">
        <v>82</v>
      </c>
      <c r="AK232" s="3">
        <v>1</v>
      </c>
      <c r="AL232" s="3" t="s">
        <v>83</v>
      </c>
    </row>
    <row r="233" spans="1:38" x14ac:dyDescent="0.3">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v>19232</v>
      </c>
      <c r="S233">
        <v>4933</v>
      </c>
      <c r="T233">
        <v>1</v>
      </c>
      <c r="U233" t="s">
        <v>43</v>
      </c>
      <c r="V233">
        <v>11</v>
      </c>
      <c r="W233">
        <v>3</v>
      </c>
      <c r="X233">
        <v>4</v>
      </c>
      <c r="Y233">
        <v>0</v>
      </c>
      <c r="Z233">
        <v>22</v>
      </c>
      <c r="AA233">
        <v>3</v>
      </c>
      <c r="AB233">
        <v>3</v>
      </c>
      <c r="AC233">
        <v>22</v>
      </c>
      <c r="AD233">
        <v>17</v>
      </c>
      <c r="AE233">
        <v>11</v>
      </c>
      <c r="AF233">
        <v>15</v>
      </c>
      <c r="AG233" t="s">
        <v>65</v>
      </c>
      <c r="AH233">
        <v>0</v>
      </c>
      <c r="AI233" t="s">
        <v>69</v>
      </c>
      <c r="AJ233" s="3" t="s">
        <v>82</v>
      </c>
      <c r="AK233" s="3">
        <v>0</v>
      </c>
      <c r="AL233" s="3" t="s">
        <v>83</v>
      </c>
    </row>
    <row r="234" spans="1:38" x14ac:dyDescent="0.3">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v>2267</v>
      </c>
      <c r="S234">
        <v>25657</v>
      </c>
      <c r="T234">
        <v>8</v>
      </c>
      <c r="U234" t="s">
        <v>43</v>
      </c>
      <c r="V234">
        <v>17</v>
      </c>
      <c r="W234">
        <v>3</v>
      </c>
      <c r="X234">
        <v>4</v>
      </c>
      <c r="Y234">
        <v>0</v>
      </c>
      <c r="Z234">
        <v>7</v>
      </c>
      <c r="AA234">
        <v>2</v>
      </c>
      <c r="AB234">
        <v>2</v>
      </c>
      <c r="AC234">
        <v>2</v>
      </c>
      <c r="AD234">
        <v>2</v>
      </c>
      <c r="AE234">
        <v>2</v>
      </c>
      <c r="AF234">
        <v>2</v>
      </c>
      <c r="AG234" t="s">
        <v>67</v>
      </c>
      <c r="AH234">
        <v>0</v>
      </c>
      <c r="AI234" t="s">
        <v>70</v>
      </c>
      <c r="AJ234" s="3" t="s">
        <v>84</v>
      </c>
      <c r="AK234" s="3">
        <v>1</v>
      </c>
      <c r="AL234" s="3" t="s">
        <v>83</v>
      </c>
    </row>
    <row r="235" spans="1:38" x14ac:dyDescent="0.3">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v>19517</v>
      </c>
      <c r="S235">
        <v>24118</v>
      </c>
      <c r="T235">
        <v>3</v>
      </c>
      <c r="U235" t="s">
        <v>43</v>
      </c>
      <c r="V235">
        <v>11</v>
      </c>
      <c r="W235">
        <v>3</v>
      </c>
      <c r="X235">
        <v>3</v>
      </c>
      <c r="Y235">
        <v>1</v>
      </c>
      <c r="Z235">
        <v>32</v>
      </c>
      <c r="AA235">
        <v>3</v>
      </c>
      <c r="AB235">
        <v>2</v>
      </c>
      <c r="AC235">
        <v>7</v>
      </c>
      <c r="AD235">
        <v>0</v>
      </c>
      <c r="AE235">
        <v>0</v>
      </c>
      <c r="AF235">
        <v>6</v>
      </c>
      <c r="AG235" t="s">
        <v>65</v>
      </c>
      <c r="AH235">
        <v>0</v>
      </c>
      <c r="AI235" t="s">
        <v>69</v>
      </c>
      <c r="AJ235" s="3" t="s">
        <v>82</v>
      </c>
      <c r="AK235" s="3">
        <v>0</v>
      </c>
      <c r="AL235" s="3" t="s">
        <v>83</v>
      </c>
    </row>
    <row r="236" spans="1:38" x14ac:dyDescent="0.3">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v>2436</v>
      </c>
      <c r="S236">
        <v>22149</v>
      </c>
      <c r="T236">
        <v>5</v>
      </c>
      <c r="U236" t="s">
        <v>35</v>
      </c>
      <c r="V236">
        <v>13</v>
      </c>
      <c r="W236">
        <v>3</v>
      </c>
      <c r="X236">
        <v>3</v>
      </c>
      <c r="Y236">
        <v>1</v>
      </c>
      <c r="Z236">
        <v>8</v>
      </c>
      <c r="AA236">
        <v>2</v>
      </c>
      <c r="AB236">
        <v>1</v>
      </c>
      <c r="AC236">
        <v>5</v>
      </c>
      <c r="AD236">
        <v>4</v>
      </c>
      <c r="AE236">
        <v>0</v>
      </c>
      <c r="AF236">
        <v>4</v>
      </c>
      <c r="AG236" t="s">
        <v>68</v>
      </c>
      <c r="AH236">
        <v>1</v>
      </c>
      <c r="AI236" t="s">
        <v>69</v>
      </c>
      <c r="AJ236" s="3" t="s">
        <v>82</v>
      </c>
      <c r="AK236" s="3">
        <v>1</v>
      </c>
      <c r="AL236" s="3" t="s">
        <v>83</v>
      </c>
    </row>
    <row r="237" spans="1:38" x14ac:dyDescent="0.3">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v>16064</v>
      </c>
      <c r="S237">
        <v>7744</v>
      </c>
      <c r="T237">
        <v>5</v>
      </c>
      <c r="U237" t="s">
        <v>35</v>
      </c>
      <c r="V237">
        <v>22</v>
      </c>
      <c r="W237">
        <v>4</v>
      </c>
      <c r="X237">
        <v>3</v>
      </c>
      <c r="Y237">
        <v>1</v>
      </c>
      <c r="Z237">
        <v>22</v>
      </c>
      <c r="AA237">
        <v>3</v>
      </c>
      <c r="AB237">
        <v>3</v>
      </c>
      <c r="AC237">
        <v>17</v>
      </c>
      <c r="AD237">
        <v>13</v>
      </c>
      <c r="AE237">
        <v>1</v>
      </c>
      <c r="AF237">
        <v>9</v>
      </c>
      <c r="AG237" t="s">
        <v>65</v>
      </c>
      <c r="AH237">
        <v>0</v>
      </c>
      <c r="AI237" t="s">
        <v>71</v>
      </c>
      <c r="AJ237" s="3" t="s">
        <v>82</v>
      </c>
      <c r="AK237" s="3">
        <v>1</v>
      </c>
      <c r="AL237" s="3" t="s">
        <v>83</v>
      </c>
    </row>
    <row r="238" spans="1:38" x14ac:dyDescent="0.3">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v>2707</v>
      </c>
      <c r="S238">
        <v>21509</v>
      </c>
      <c r="T238">
        <v>7</v>
      </c>
      <c r="U238" t="s">
        <v>43</v>
      </c>
      <c r="V238">
        <v>20</v>
      </c>
      <c r="W238">
        <v>4</v>
      </c>
      <c r="X238">
        <v>1</v>
      </c>
      <c r="Y238">
        <v>0</v>
      </c>
      <c r="Z238">
        <v>13</v>
      </c>
      <c r="AA238">
        <v>3</v>
      </c>
      <c r="AB238">
        <v>4</v>
      </c>
      <c r="AC238">
        <v>9</v>
      </c>
      <c r="AD238">
        <v>7</v>
      </c>
      <c r="AE238">
        <v>1</v>
      </c>
      <c r="AF238">
        <v>7</v>
      </c>
      <c r="AG238" t="s">
        <v>65</v>
      </c>
      <c r="AH238">
        <v>1</v>
      </c>
      <c r="AI238" t="s">
        <v>70</v>
      </c>
      <c r="AJ238" s="3" t="s">
        <v>83</v>
      </c>
      <c r="AK238" s="3">
        <v>1</v>
      </c>
      <c r="AL238" s="3" t="s">
        <v>83</v>
      </c>
    </row>
    <row r="239" spans="1:38" x14ac:dyDescent="0.3">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v>19068</v>
      </c>
      <c r="S239">
        <v>21030</v>
      </c>
      <c r="T239">
        <v>1</v>
      </c>
      <c r="U239" t="s">
        <v>35</v>
      </c>
      <c r="V239">
        <v>18</v>
      </c>
      <c r="W239">
        <v>3</v>
      </c>
      <c r="X239">
        <v>4</v>
      </c>
      <c r="Y239">
        <v>0</v>
      </c>
      <c r="Z239">
        <v>33</v>
      </c>
      <c r="AA239">
        <v>2</v>
      </c>
      <c r="AB239">
        <v>4</v>
      </c>
      <c r="AC239">
        <v>33</v>
      </c>
      <c r="AD239">
        <v>7</v>
      </c>
      <c r="AE239">
        <v>15</v>
      </c>
      <c r="AF239">
        <v>12</v>
      </c>
      <c r="AG239" t="s">
        <v>65</v>
      </c>
      <c r="AH239">
        <v>0</v>
      </c>
      <c r="AI239" t="s">
        <v>71</v>
      </c>
      <c r="AJ239" s="3" t="s">
        <v>84</v>
      </c>
      <c r="AK239" s="3">
        <v>1</v>
      </c>
      <c r="AL239" s="3" t="s">
        <v>83</v>
      </c>
    </row>
    <row r="240" spans="1:38" x14ac:dyDescent="0.3">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v>3931</v>
      </c>
      <c r="S240">
        <v>20990</v>
      </c>
      <c r="T240">
        <v>2</v>
      </c>
      <c r="U240" t="s">
        <v>43</v>
      </c>
      <c r="V240">
        <v>11</v>
      </c>
      <c r="W240">
        <v>3</v>
      </c>
      <c r="X240">
        <v>1</v>
      </c>
      <c r="Y240">
        <v>1</v>
      </c>
      <c r="Z240">
        <v>6</v>
      </c>
      <c r="AA240">
        <v>5</v>
      </c>
      <c r="AB240">
        <v>3</v>
      </c>
      <c r="AC240">
        <v>4</v>
      </c>
      <c r="AD240">
        <v>3</v>
      </c>
      <c r="AE240">
        <v>1</v>
      </c>
      <c r="AF240">
        <v>2</v>
      </c>
      <c r="AG240" t="s">
        <v>68</v>
      </c>
      <c r="AH240">
        <v>0</v>
      </c>
      <c r="AI240" t="s">
        <v>69</v>
      </c>
      <c r="AJ240" s="3" t="s">
        <v>83</v>
      </c>
      <c r="AK240" s="3">
        <v>1</v>
      </c>
      <c r="AL240" s="3" t="s">
        <v>83</v>
      </c>
    </row>
    <row r="241" spans="1:38" x14ac:dyDescent="0.3">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v>3730</v>
      </c>
      <c r="S241">
        <v>9571</v>
      </c>
      <c r="T241">
        <v>0</v>
      </c>
      <c r="U241" t="s">
        <v>35</v>
      </c>
      <c r="V241">
        <v>14</v>
      </c>
      <c r="W241">
        <v>3</v>
      </c>
      <c r="X241">
        <v>4</v>
      </c>
      <c r="Y241">
        <v>0</v>
      </c>
      <c r="Z241">
        <v>4</v>
      </c>
      <c r="AA241">
        <v>2</v>
      </c>
      <c r="AB241">
        <v>1</v>
      </c>
      <c r="AC241">
        <v>3</v>
      </c>
      <c r="AD241">
        <v>2</v>
      </c>
      <c r="AE241">
        <v>1</v>
      </c>
      <c r="AF241">
        <v>2</v>
      </c>
      <c r="AG241" t="s">
        <v>67</v>
      </c>
      <c r="AH241">
        <v>1</v>
      </c>
      <c r="AI241" t="s">
        <v>71</v>
      </c>
      <c r="AJ241" s="3" t="s">
        <v>84</v>
      </c>
      <c r="AK241" s="3">
        <v>2</v>
      </c>
      <c r="AL241" s="3" t="s">
        <v>84</v>
      </c>
    </row>
    <row r="242" spans="1:38" x14ac:dyDescent="0.3">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v>2232</v>
      </c>
      <c r="S242">
        <v>15417</v>
      </c>
      <c r="T242">
        <v>7</v>
      </c>
      <c r="U242" t="s">
        <v>43</v>
      </c>
      <c r="V242">
        <v>14</v>
      </c>
      <c r="W242">
        <v>3</v>
      </c>
      <c r="X242">
        <v>3</v>
      </c>
      <c r="Y242">
        <v>3</v>
      </c>
      <c r="Z242">
        <v>7</v>
      </c>
      <c r="AA242">
        <v>1</v>
      </c>
      <c r="AB242">
        <v>3</v>
      </c>
      <c r="AC242">
        <v>3</v>
      </c>
      <c r="AD242">
        <v>2</v>
      </c>
      <c r="AE242">
        <v>1</v>
      </c>
      <c r="AF242">
        <v>2</v>
      </c>
      <c r="AG242" t="s">
        <v>67</v>
      </c>
      <c r="AH242">
        <v>0</v>
      </c>
      <c r="AI242" t="s">
        <v>71</v>
      </c>
      <c r="AJ242" s="3" t="s">
        <v>84</v>
      </c>
      <c r="AK242" s="3">
        <v>1</v>
      </c>
      <c r="AL242" s="3" t="s">
        <v>83</v>
      </c>
    </row>
    <row r="243" spans="1:38" x14ac:dyDescent="0.3">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v>4465</v>
      </c>
      <c r="S243">
        <v>12069</v>
      </c>
      <c r="T243">
        <v>0</v>
      </c>
      <c r="U243" t="s">
        <v>43</v>
      </c>
      <c r="V243">
        <v>18</v>
      </c>
      <c r="W243">
        <v>3</v>
      </c>
      <c r="X243">
        <v>1</v>
      </c>
      <c r="Y243">
        <v>0</v>
      </c>
      <c r="Z243">
        <v>4</v>
      </c>
      <c r="AA243">
        <v>2</v>
      </c>
      <c r="AB243">
        <v>3</v>
      </c>
      <c r="AC243">
        <v>3</v>
      </c>
      <c r="AD243">
        <v>2</v>
      </c>
      <c r="AE243">
        <v>2</v>
      </c>
      <c r="AF243">
        <v>2</v>
      </c>
      <c r="AG243" t="s">
        <v>67</v>
      </c>
      <c r="AH243">
        <v>0</v>
      </c>
      <c r="AI243" t="s">
        <v>71</v>
      </c>
      <c r="AJ243" s="3" t="s">
        <v>82</v>
      </c>
      <c r="AK243" s="3">
        <v>1</v>
      </c>
      <c r="AL243" s="3" t="s">
        <v>83</v>
      </c>
    </row>
    <row r="244" spans="1:38" x14ac:dyDescent="0.3">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v>3072</v>
      </c>
      <c r="S244">
        <v>19877</v>
      </c>
      <c r="T244">
        <v>2</v>
      </c>
      <c r="U244" t="s">
        <v>43</v>
      </c>
      <c r="V244">
        <v>16</v>
      </c>
      <c r="W244">
        <v>3</v>
      </c>
      <c r="X244">
        <v>1</v>
      </c>
      <c r="Y244">
        <v>2</v>
      </c>
      <c r="Z244">
        <v>17</v>
      </c>
      <c r="AA244">
        <v>2</v>
      </c>
      <c r="AB244">
        <v>2</v>
      </c>
      <c r="AC244">
        <v>1</v>
      </c>
      <c r="AD244">
        <v>0</v>
      </c>
      <c r="AE244">
        <v>0</v>
      </c>
      <c r="AF244">
        <v>0</v>
      </c>
      <c r="AG244" t="s">
        <v>67</v>
      </c>
      <c r="AH244">
        <v>0</v>
      </c>
      <c r="AI244" t="s">
        <v>71</v>
      </c>
      <c r="AJ244" s="3" t="s">
        <v>83</v>
      </c>
      <c r="AK244" s="3">
        <v>2</v>
      </c>
      <c r="AL244" s="3" t="s">
        <v>84</v>
      </c>
    </row>
    <row r="245" spans="1:38" x14ac:dyDescent="0.3">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v>3319</v>
      </c>
      <c r="S245">
        <v>24447</v>
      </c>
      <c r="T245">
        <v>1</v>
      </c>
      <c r="U245" t="s">
        <v>43</v>
      </c>
      <c r="V245">
        <v>17</v>
      </c>
      <c r="W245">
        <v>3</v>
      </c>
      <c r="X245">
        <v>1</v>
      </c>
      <c r="Y245">
        <v>2</v>
      </c>
      <c r="Z245">
        <v>9</v>
      </c>
      <c r="AA245">
        <v>3</v>
      </c>
      <c r="AB245">
        <v>3</v>
      </c>
      <c r="AC245">
        <v>9</v>
      </c>
      <c r="AD245">
        <v>8</v>
      </c>
      <c r="AE245">
        <v>4</v>
      </c>
      <c r="AF245">
        <v>7</v>
      </c>
      <c r="AG245" t="s">
        <v>65</v>
      </c>
      <c r="AH245">
        <v>0</v>
      </c>
      <c r="AI245" t="s">
        <v>70</v>
      </c>
      <c r="AJ245" s="3" t="s">
        <v>82</v>
      </c>
      <c r="AK245" s="3">
        <v>0</v>
      </c>
      <c r="AL245" s="3" t="s">
        <v>83</v>
      </c>
    </row>
    <row r="246" spans="1:38" x14ac:dyDescent="0.3">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v>19202</v>
      </c>
      <c r="S246">
        <v>15970</v>
      </c>
      <c r="T246">
        <v>0</v>
      </c>
      <c r="U246" t="s">
        <v>43</v>
      </c>
      <c r="V246">
        <v>11</v>
      </c>
      <c r="W246">
        <v>3</v>
      </c>
      <c r="X246">
        <v>3</v>
      </c>
      <c r="Y246">
        <v>1</v>
      </c>
      <c r="Z246">
        <v>25</v>
      </c>
      <c r="AA246">
        <v>2</v>
      </c>
      <c r="AB246">
        <v>3</v>
      </c>
      <c r="AC246">
        <v>24</v>
      </c>
      <c r="AD246">
        <v>0</v>
      </c>
      <c r="AE246">
        <v>1</v>
      </c>
      <c r="AF246">
        <v>7</v>
      </c>
      <c r="AG246" t="s">
        <v>65</v>
      </c>
      <c r="AH246">
        <v>0</v>
      </c>
      <c r="AI246" t="s">
        <v>70</v>
      </c>
      <c r="AJ246" s="3" t="s">
        <v>82</v>
      </c>
      <c r="AK246" s="3">
        <v>0</v>
      </c>
      <c r="AL246" s="3" t="s">
        <v>83</v>
      </c>
    </row>
    <row r="247" spans="1:38" x14ac:dyDescent="0.3">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v>13675</v>
      </c>
      <c r="S247">
        <v>13523</v>
      </c>
      <c r="T247">
        <v>9</v>
      </c>
      <c r="U247" t="s">
        <v>43</v>
      </c>
      <c r="V247">
        <v>12</v>
      </c>
      <c r="W247">
        <v>3</v>
      </c>
      <c r="X247">
        <v>1</v>
      </c>
      <c r="Y247">
        <v>1</v>
      </c>
      <c r="Z247">
        <v>9</v>
      </c>
      <c r="AA247">
        <v>3</v>
      </c>
      <c r="AB247">
        <v>3</v>
      </c>
      <c r="AC247">
        <v>2</v>
      </c>
      <c r="AD247">
        <v>2</v>
      </c>
      <c r="AE247">
        <v>2</v>
      </c>
      <c r="AF247">
        <v>2</v>
      </c>
      <c r="AG247" t="s">
        <v>67</v>
      </c>
      <c r="AH247">
        <v>0</v>
      </c>
      <c r="AI247" t="s">
        <v>70</v>
      </c>
      <c r="AJ247" s="3" t="s">
        <v>84</v>
      </c>
      <c r="AK247" s="3">
        <v>1</v>
      </c>
      <c r="AL247" s="3" t="s">
        <v>83</v>
      </c>
    </row>
    <row r="248" spans="1:38" x14ac:dyDescent="0.3">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v>2911</v>
      </c>
      <c r="S248">
        <v>14776</v>
      </c>
      <c r="T248">
        <v>1</v>
      </c>
      <c r="U248" t="s">
        <v>43</v>
      </c>
      <c r="V248">
        <v>13</v>
      </c>
      <c r="W248">
        <v>3</v>
      </c>
      <c r="X248">
        <v>3</v>
      </c>
      <c r="Y248">
        <v>1</v>
      </c>
      <c r="Z248">
        <v>2</v>
      </c>
      <c r="AA248">
        <v>2</v>
      </c>
      <c r="AB248">
        <v>2</v>
      </c>
      <c r="AC248">
        <v>2</v>
      </c>
      <c r="AD248">
        <v>2</v>
      </c>
      <c r="AE248">
        <v>0</v>
      </c>
      <c r="AF248">
        <v>2</v>
      </c>
      <c r="AG248" t="s">
        <v>67</v>
      </c>
      <c r="AH248">
        <v>0</v>
      </c>
      <c r="AI248" t="s">
        <v>71</v>
      </c>
      <c r="AJ248" s="3" t="s">
        <v>82</v>
      </c>
      <c r="AK248" s="3">
        <v>1</v>
      </c>
      <c r="AL248" s="3" t="s">
        <v>83</v>
      </c>
    </row>
    <row r="249" spans="1:38" x14ac:dyDescent="0.3">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v>5957</v>
      </c>
      <c r="S249">
        <v>23687</v>
      </c>
      <c r="T249">
        <v>6</v>
      </c>
      <c r="U249" t="s">
        <v>43</v>
      </c>
      <c r="V249">
        <v>13</v>
      </c>
      <c r="W249">
        <v>3</v>
      </c>
      <c r="X249">
        <v>2</v>
      </c>
      <c r="Y249">
        <v>1</v>
      </c>
      <c r="Z249">
        <v>13</v>
      </c>
      <c r="AA249">
        <v>3</v>
      </c>
      <c r="AB249">
        <v>3</v>
      </c>
      <c r="AC249">
        <v>11</v>
      </c>
      <c r="AD249">
        <v>9</v>
      </c>
      <c r="AE249">
        <v>5</v>
      </c>
      <c r="AF249">
        <v>9</v>
      </c>
      <c r="AG249" t="s">
        <v>65</v>
      </c>
      <c r="AH249">
        <v>0</v>
      </c>
      <c r="AI249" t="s">
        <v>71</v>
      </c>
      <c r="AJ249" s="3" t="s">
        <v>83</v>
      </c>
      <c r="AK249" s="3">
        <v>1</v>
      </c>
      <c r="AL249" s="3" t="s">
        <v>83</v>
      </c>
    </row>
    <row r="250" spans="1:38" x14ac:dyDescent="0.3">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v>3920</v>
      </c>
      <c r="S250">
        <v>18697</v>
      </c>
      <c r="T250">
        <v>2</v>
      </c>
      <c r="U250" t="s">
        <v>43</v>
      </c>
      <c r="V250">
        <v>14</v>
      </c>
      <c r="W250">
        <v>3</v>
      </c>
      <c r="X250">
        <v>1</v>
      </c>
      <c r="Y250">
        <v>1</v>
      </c>
      <c r="Z250">
        <v>17</v>
      </c>
      <c r="AA250">
        <v>2</v>
      </c>
      <c r="AB250">
        <v>2</v>
      </c>
      <c r="AC250">
        <v>3</v>
      </c>
      <c r="AD250">
        <v>1</v>
      </c>
      <c r="AE250">
        <v>0</v>
      </c>
      <c r="AF250">
        <v>2</v>
      </c>
      <c r="AG250" t="s">
        <v>67</v>
      </c>
      <c r="AH250">
        <v>0</v>
      </c>
      <c r="AI250" t="s">
        <v>71</v>
      </c>
      <c r="AJ250" s="3" t="s">
        <v>83</v>
      </c>
      <c r="AK250" s="3">
        <v>2</v>
      </c>
      <c r="AL250" s="3" t="s">
        <v>84</v>
      </c>
    </row>
    <row r="251" spans="1:38" x14ac:dyDescent="0.3">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v>6434</v>
      </c>
      <c r="S251">
        <v>5118</v>
      </c>
      <c r="T251">
        <v>4</v>
      </c>
      <c r="U251" t="s">
        <v>43</v>
      </c>
      <c r="V251">
        <v>17</v>
      </c>
      <c r="W251">
        <v>3</v>
      </c>
      <c r="X251">
        <v>4</v>
      </c>
      <c r="Y251">
        <v>1</v>
      </c>
      <c r="Z251">
        <v>9</v>
      </c>
      <c r="AA251">
        <v>1</v>
      </c>
      <c r="AB251">
        <v>3</v>
      </c>
      <c r="AC251">
        <v>3</v>
      </c>
      <c r="AD251">
        <v>2</v>
      </c>
      <c r="AE251">
        <v>0</v>
      </c>
      <c r="AF251">
        <v>2</v>
      </c>
      <c r="AG251" t="s">
        <v>67</v>
      </c>
      <c r="AH251">
        <v>0</v>
      </c>
      <c r="AI251" t="s">
        <v>71</v>
      </c>
      <c r="AJ251" s="3" t="s">
        <v>84</v>
      </c>
      <c r="AK251" s="3">
        <v>1</v>
      </c>
      <c r="AL251" s="3" t="s">
        <v>83</v>
      </c>
    </row>
    <row r="252" spans="1:38" x14ac:dyDescent="0.3">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v>10048</v>
      </c>
      <c r="S252">
        <v>22573</v>
      </c>
      <c r="T252">
        <v>6</v>
      </c>
      <c r="U252" t="s">
        <v>43</v>
      </c>
      <c r="V252">
        <v>11</v>
      </c>
      <c r="W252">
        <v>3</v>
      </c>
      <c r="X252">
        <v>2</v>
      </c>
      <c r="Y252">
        <v>2</v>
      </c>
      <c r="Z252">
        <v>17</v>
      </c>
      <c r="AA252">
        <v>5</v>
      </c>
      <c r="AB252">
        <v>3</v>
      </c>
      <c r="AC252">
        <v>1</v>
      </c>
      <c r="AD252">
        <v>0</v>
      </c>
      <c r="AE252">
        <v>0</v>
      </c>
      <c r="AF252">
        <v>0</v>
      </c>
      <c r="AG252" t="s">
        <v>67</v>
      </c>
      <c r="AH252">
        <v>1</v>
      </c>
      <c r="AI252" t="s">
        <v>70</v>
      </c>
      <c r="AJ252" s="3" t="s">
        <v>84</v>
      </c>
      <c r="AK252" s="3">
        <v>1</v>
      </c>
      <c r="AL252" s="3" t="s">
        <v>83</v>
      </c>
    </row>
    <row r="253" spans="1:38" x14ac:dyDescent="0.3">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v>10938</v>
      </c>
      <c r="S253">
        <v>6420</v>
      </c>
      <c r="T253">
        <v>0</v>
      </c>
      <c r="U253" t="s">
        <v>43</v>
      </c>
      <c r="V253">
        <v>25</v>
      </c>
      <c r="W253">
        <v>4</v>
      </c>
      <c r="X253">
        <v>4</v>
      </c>
      <c r="Y253">
        <v>0</v>
      </c>
      <c r="Z253">
        <v>20</v>
      </c>
      <c r="AA253">
        <v>1</v>
      </c>
      <c r="AB253">
        <v>3</v>
      </c>
      <c r="AC253">
        <v>19</v>
      </c>
      <c r="AD253">
        <v>6</v>
      </c>
      <c r="AE253">
        <v>11</v>
      </c>
      <c r="AF253">
        <v>8</v>
      </c>
      <c r="AG253" t="s">
        <v>65</v>
      </c>
      <c r="AH253">
        <v>0</v>
      </c>
      <c r="AI253" t="s">
        <v>71</v>
      </c>
      <c r="AJ253" s="3" t="s">
        <v>84</v>
      </c>
      <c r="AK253" s="3">
        <v>0</v>
      </c>
      <c r="AL253" s="3" t="s">
        <v>83</v>
      </c>
    </row>
    <row r="254" spans="1:38" x14ac:dyDescent="0.3">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v>2340</v>
      </c>
      <c r="S254">
        <v>22673</v>
      </c>
      <c r="T254">
        <v>1</v>
      </c>
      <c r="U254" t="s">
        <v>43</v>
      </c>
      <c r="V254">
        <v>19</v>
      </c>
      <c r="W254">
        <v>3</v>
      </c>
      <c r="X254">
        <v>1</v>
      </c>
      <c r="Y254">
        <v>0</v>
      </c>
      <c r="Z254">
        <v>6</v>
      </c>
      <c r="AA254">
        <v>1</v>
      </c>
      <c r="AB254">
        <v>3</v>
      </c>
      <c r="AC254">
        <v>6</v>
      </c>
      <c r="AD254">
        <v>5</v>
      </c>
      <c r="AE254">
        <v>1</v>
      </c>
      <c r="AF254">
        <v>5</v>
      </c>
      <c r="AG254" t="s">
        <v>65</v>
      </c>
      <c r="AH254">
        <v>0</v>
      </c>
      <c r="AI254" t="s">
        <v>71</v>
      </c>
      <c r="AJ254" s="3" t="s">
        <v>82</v>
      </c>
      <c r="AK254" s="3">
        <v>0</v>
      </c>
      <c r="AL254" s="3" t="s">
        <v>83</v>
      </c>
    </row>
    <row r="255" spans="1:38" x14ac:dyDescent="0.3">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v>6545</v>
      </c>
      <c r="S255">
        <v>23016</v>
      </c>
      <c r="T255">
        <v>3</v>
      </c>
      <c r="U255" t="s">
        <v>35</v>
      </c>
      <c r="V255">
        <v>13</v>
      </c>
      <c r="W255">
        <v>3</v>
      </c>
      <c r="X255">
        <v>3</v>
      </c>
      <c r="Y255">
        <v>0</v>
      </c>
      <c r="Z255">
        <v>10</v>
      </c>
      <c r="AA255">
        <v>1</v>
      </c>
      <c r="AB255">
        <v>3</v>
      </c>
      <c r="AC255">
        <v>3</v>
      </c>
      <c r="AD255">
        <v>2</v>
      </c>
      <c r="AE255">
        <v>0</v>
      </c>
      <c r="AF255">
        <v>2</v>
      </c>
      <c r="AG255" t="s">
        <v>67</v>
      </c>
      <c r="AH255">
        <v>0</v>
      </c>
      <c r="AI255" t="s">
        <v>72</v>
      </c>
      <c r="AJ255" s="3" t="s">
        <v>83</v>
      </c>
      <c r="AK255" s="3">
        <v>3</v>
      </c>
      <c r="AL255" s="3" t="s">
        <v>82</v>
      </c>
    </row>
    <row r="256" spans="1:38" x14ac:dyDescent="0.3">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v>6931</v>
      </c>
      <c r="S256">
        <v>10732</v>
      </c>
      <c r="T256">
        <v>2</v>
      </c>
      <c r="U256" t="s">
        <v>43</v>
      </c>
      <c r="V256">
        <v>14</v>
      </c>
      <c r="W256">
        <v>3</v>
      </c>
      <c r="X256">
        <v>4</v>
      </c>
      <c r="Y256">
        <v>1</v>
      </c>
      <c r="Z256">
        <v>10</v>
      </c>
      <c r="AA256">
        <v>2</v>
      </c>
      <c r="AB256">
        <v>3</v>
      </c>
      <c r="AC256">
        <v>3</v>
      </c>
      <c r="AD256">
        <v>2</v>
      </c>
      <c r="AE256">
        <v>0</v>
      </c>
      <c r="AF256">
        <v>2</v>
      </c>
      <c r="AG256" t="s">
        <v>67</v>
      </c>
      <c r="AH256">
        <v>0</v>
      </c>
      <c r="AI256" t="s">
        <v>70</v>
      </c>
      <c r="AJ256" s="3" t="s">
        <v>82</v>
      </c>
      <c r="AK256" s="3">
        <v>1</v>
      </c>
      <c r="AL256" s="3" t="s">
        <v>83</v>
      </c>
    </row>
    <row r="257" spans="1:38" x14ac:dyDescent="0.3">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v>4898</v>
      </c>
      <c r="S257">
        <v>7505</v>
      </c>
      <c r="T257">
        <v>0</v>
      </c>
      <c r="U257" t="s">
        <v>43</v>
      </c>
      <c r="V257">
        <v>12</v>
      </c>
      <c r="W257">
        <v>3</v>
      </c>
      <c r="X257">
        <v>4</v>
      </c>
      <c r="Y257">
        <v>2</v>
      </c>
      <c r="Z257">
        <v>5</v>
      </c>
      <c r="AA257">
        <v>3</v>
      </c>
      <c r="AB257">
        <v>3</v>
      </c>
      <c r="AC257">
        <v>4</v>
      </c>
      <c r="AD257">
        <v>2</v>
      </c>
      <c r="AE257">
        <v>1</v>
      </c>
      <c r="AF257">
        <v>2</v>
      </c>
      <c r="AG257" t="s">
        <v>68</v>
      </c>
      <c r="AH257">
        <v>0</v>
      </c>
      <c r="AI257" t="s">
        <v>72</v>
      </c>
      <c r="AJ257" s="3" t="s">
        <v>84</v>
      </c>
      <c r="AK257" s="3">
        <v>0</v>
      </c>
      <c r="AL257" s="3" t="s">
        <v>83</v>
      </c>
    </row>
    <row r="258" spans="1:38" x14ac:dyDescent="0.3">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v>2593</v>
      </c>
      <c r="S258">
        <v>8007</v>
      </c>
      <c r="T258">
        <v>0</v>
      </c>
      <c r="U258" t="s">
        <v>35</v>
      </c>
      <c r="V258">
        <v>11</v>
      </c>
      <c r="W258">
        <v>3</v>
      </c>
      <c r="X258">
        <v>3</v>
      </c>
      <c r="Y258">
        <v>1</v>
      </c>
      <c r="Z258">
        <v>10</v>
      </c>
      <c r="AA258">
        <v>4</v>
      </c>
      <c r="AB258">
        <v>3</v>
      </c>
      <c r="AC258">
        <v>9</v>
      </c>
      <c r="AD258">
        <v>6</v>
      </c>
      <c r="AE258">
        <v>7</v>
      </c>
      <c r="AF258">
        <v>8</v>
      </c>
      <c r="AG258" t="s">
        <v>65</v>
      </c>
      <c r="AH258">
        <v>0</v>
      </c>
      <c r="AI258" t="s">
        <v>72</v>
      </c>
      <c r="AJ258" s="3" t="s">
        <v>83</v>
      </c>
      <c r="AK258" s="3">
        <v>2</v>
      </c>
      <c r="AL258" s="3" t="s">
        <v>84</v>
      </c>
    </row>
    <row r="259" spans="1:38" x14ac:dyDescent="0.3">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v>19436</v>
      </c>
      <c r="S259">
        <v>5949</v>
      </c>
      <c r="T259">
        <v>0</v>
      </c>
      <c r="U259" t="s">
        <v>43</v>
      </c>
      <c r="V259">
        <v>19</v>
      </c>
      <c r="W259">
        <v>3</v>
      </c>
      <c r="X259">
        <v>4</v>
      </c>
      <c r="Y259">
        <v>1</v>
      </c>
      <c r="Z259">
        <v>22</v>
      </c>
      <c r="AA259">
        <v>5</v>
      </c>
      <c r="AB259">
        <v>3</v>
      </c>
      <c r="AC259">
        <v>21</v>
      </c>
      <c r="AD259">
        <v>7</v>
      </c>
      <c r="AE259">
        <v>3</v>
      </c>
      <c r="AF259">
        <v>9</v>
      </c>
      <c r="AG259" t="s">
        <v>65</v>
      </c>
      <c r="AH259">
        <v>0</v>
      </c>
      <c r="AI259" t="s">
        <v>70</v>
      </c>
      <c r="AJ259" s="3" t="s">
        <v>84</v>
      </c>
      <c r="AK259" s="3">
        <v>0</v>
      </c>
      <c r="AL259" s="3" t="s">
        <v>83</v>
      </c>
    </row>
    <row r="260" spans="1:38" x14ac:dyDescent="0.3">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v>2723</v>
      </c>
      <c r="S260">
        <v>23231</v>
      </c>
      <c r="T260">
        <v>1</v>
      </c>
      <c r="U260" t="s">
        <v>43</v>
      </c>
      <c r="V260">
        <v>11</v>
      </c>
      <c r="W260">
        <v>3</v>
      </c>
      <c r="X260">
        <v>2</v>
      </c>
      <c r="Y260">
        <v>0</v>
      </c>
      <c r="Z260">
        <v>1</v>
      </c>
      <c r="AA260">
        <v>0</v>
      </c>
      <c r="AB260">
        <v>2</v>
      </c>
      <c r="AC260">
        <v>1</v>
      </c>
      <c r="AD260">
        <v>0</v>
      </c>
      <c r="AE260">
        <v>0</v>
      </c>
      <c r="AF260">
        <v>0</v>
      </c>
      <c r="AG260" t="s">
        <v>67</v>
      </c>
      <c r="AH260">
        <v>0</v>
      </c>
      <c r="AI260" t="s">
        <v>70</v>
      </c>
      <c r="AJ260" s="3" t="s">
        <v>82</v>
      </c>
      <c r="AK260" s="3">
        <v>1</v>
      </c>
      <c r="AL260" s="3" t="s">
        <v>83</v>
      </c>
    </row>
    <row r="261" spans="1:38" x14ac:dyDescent="0.3">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v>3479</v>
      </c>
      <c r="S261">
        <v>11652</v>
      </c>
      <c r="T261">
        <v>0</v>
      </c>
      <c r="U261" t="s">
        <v>43</v>
      </c>
      <c r="V261">
        <v>11</v>
      </c>
      <c r="W261">
        <v>3</v>
      </c>
      <c r="X261">
        <v>2</v>
      </c>
      <c r="Y261">
        <v>0</v>
      </c>
      <c r="Z261">
        <v>6</v>
      </c>
      <c r="AA261">
        <v>2</v>
      </c>
      <c r="AB261">
        <v>4</v>
      </c>
      <c r="AC261">
        <v>5</v>
      </c>
      <c r="AD261">
        <v>4</v>
      </c>
      <c r="AE261">
        <v>1</v>
      </c>
      <c r="AF261">
        <v>4</v>
      </c>
      <c r="AG261" t="s">
        <v>68</v>
      </c>
      <c r="AH261">
        <v>1</v>
      </c>
      <c r="AI261" t="s">
        <v>69</v>
      </c>
      <c r="AJ261" s="3" t="s">
        <v>83</v>
      </c>
      <c r="AK261" s="3">
        <v>1</v>
      </c>
      <c r="AL261" s="3" t="s">
        <v>83</v>
      </c>
    </row>
    <row r="262" spans="1:38" x14ac:dyDescent="0.3">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v>2794</v>
      </c>
      <c r="S262">
        <v>26062</v>
      </c>
      <c r="T262">
        <v>1</v>
      </c>
      <c r="U262" t="s">
        <v>43</v>
      </c>
      <c r="V262">
        <v>20</v>
      </c>
      <c r="W262">
        <v>4</v>
      </c>
      <c r="X262">
        <v>3</v>
      </c>
      <c r="Y262">
        <v>0</v>
      </c>
      <c r="Z262">
        <v>5</v>
      </c>
      <c r="AA262">
        <v>3</v>
      </c>
      <c r="AB262">
        <v>1</v>
      </c>
      <c r="AC262">
        <v>5</v>
      </c>
      <c r="AD262">
        <v>1</v>
      </c>
      <c r="AE262">
        <v>0</v>
      </c>
      <c r="AF262">
        <v>3</v>
      </c>
      <c r="AG262" t="s">
        <v>68</v>
      </c>
      <c r="AH262">
        <v>0</v>
      </c>
      <c r="AI262" t="s">
        <v>71</v>
      </c>
      <c r="AJ262" s="3" t="s">
        <v>83</v>
      </c>
      <c r="AK262" s="3">
        <v>1</v>
      </c>
      <c r="AL262" s="3" t="s">
        <v>83</v>
      </c>
    </row>
    <row r="263" spans="1:38" x14ac:dyDescent="0.3">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v>5249</v>
      </c>
      <c r="S263">
        <v>19682</v>
      </c>
      <c r="T263">
        <v>3</v>
      </c>
      <c r="U263" t="s">
        <v>43</v>
      </c>
      <c r="V263">
        <v>18</v>
      </c>
      <c r="W263">
        <v>3</v>
      </c>
      <c r="X263">
        <v>4</v>
      </c>
      <c r="Y263">
        <v>1</v>
      </c>
      <c r="Z263">
        <v>13</v>
      </c>
      <c r="AA263">
        <v>0</v>
      </c>
      <c r="AB263">
        <v>3</v>
      </c>
      <c r="AC263">
        <v>8</v>
      </c>
      <c r="AD263">
        <v>7</v>
      </c>
      <c r="AE263">
        <v>7</v>
      </c>
      <c r="AF263">
        <v>5</v>
      </c>
      <c r="AG263" t="s">
        <v>65</v>
      </c>
      <c r="AH263">
        <v>0</v>
      </c>
      <c r="AI263" t="s">
        <v>71</v>
      </c>
      <c r="AJ263" s="3" t="s">
        <v>82</v>
      </c>
      <c r="AK263" s="3">
        <v>0</v>
      </c>
      <c r="AL263" s="3" t="s">
        <v>83</v>
      </c>
    </row>
    <row r="264" spans="1:38" x14ac:dyDescent="0.3">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v>2176</v>
      </c>
      <c r="S264">
        <v>19737</v>
      </c>
      <c r="T264">
        <v>4</v>
      </c>
      <c r="U264" t="s">
        <v>43</v>
      </c>
      <c r="V264">
        <v>13</v>
      </c>
      <c r="W264">
        <v>3</v>
      </c>
      <c r="X264">
        <v>4</v>
      </c>
      <c r="Y264">
        <v>0</v>
      </c>
      <c r="Z264">
        <v>9</v>
      </c>
      <c r="AA264">
        <v>5</v>
      </c>
      <c r="AB264">
        <v>3</v>
      </c>
      <c r="AC264">
        <v>6</v>
      </c>
      <c r="AD264">
        <v>2</v>
      </c>
      <c r="AE264">
        <v>0</v>
      </c>
      <c r="AF264">
        <v>4</v>
      </c>
      <c r="AG264" t="s">
        <v>65</v>
      </c>
      <c r="AH264">
        <v>0</v>
      </c>
      <c r="AI264" t="s">
        <v>71</v>
      </c>
      <c r="AJ264" s="3" t="s">
        <v>83</v>
      </c>
      <c r="AK264" s="3">
        <v>1</v>
      </c>
      <c r="AL264" s="3" t="s">
        <v>83</v>
      </c>
    </row>
    <row r="265" spans="1:38" x14ac:dyDescent="0.3">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v>16872</v>
      </c>
      <c r="S265">
        <v>14977</v>
      </c>
      <c r="T265">
        <v>3</v>
      </c>
      <c r="U265" t="s">
        <v>35</v>
      </c>
      <c r="V265">
        <v>12</v>
      </c>
      <c r="W265">
        <v>3</v>
      </c>
      <c r="X265">
        <v>2</v>
      </c>
      <c r="Y265">
        <v>1</v>
      </c>
      <c r="Z265">
        <v>28</v>
      </c>
      <c r="AA265">
        <v>2</v>
      </c>
      <c r="AB265">
        <v>2</v>
      </c>
      <c r="AC265">
        <v>7</v>
      </c>
      <c r="AD265">
        <v>7</v>
      </c>
      <c r="AE265">
        <v>7</v>
      </c>
      <c r="AF265">
        <v>7</v>
      </c>
      <c r="AG265" t="s">
        <v>65</v>
      </c>
      <c r="AH265">
        <v>0</v>
      </c>
      <c r="AI265" t="s">
        <v>71</v>
      </c>
      <c r="AJ265" s="3" t="s">
        <v>83</v>
      </c>
      <c r="AK265" s="3">
        <v>2</v>
      </c>
      <c r="AL265" s="3" t="s">
        <v>84</v>
      </c>
    </row>
    <row r="266" spans="1:38" x14ac:dyDescent="0.3">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v>3485</v>
      </c>
      <c r="S266">
        <v>14935</v>
      </c>
      <c r="T266">
        <v>2</v>
      </c>
      <c r="U266" t="s">
        <v>43</v>
      </c>
      <c r="V266">
        <v>11</v>
      </c>
      <c r="W266">
        <v>3</v>
      </c>
      <c r="X266">
        <v>3</v>
      </c>
      <c r="Y266">
        <v>0</v>
      </c>
      <c r="Z266">
        <v>5</v>
      </c>
      <c r="AA266">
        <v>5</v>
      </c>
      <c r="AB266">
        <v>1</v>
      </c>
      <c r="AC266">
        <v>0</v>
      </c>
      <c r="AD266">
        <v>0</v>
      </c>
      <c r="AE266">
        <v>0</v>
      </c>
      <c r="AF266">
        <v>0</v>
      </c>
      <c r="AG266" t="s">
        <v>66</v>
      </c>
      <c r="AH266">
        <v>1</v>
      </c>
      <c r="AI266" t="s">
        <v>70</v>
      </c>
      <c r="AJ266" s="3" t="s">
        <v>84</v>
      </c>
      <c r="AK266" s="3">
        <v>1</v>
      </c>
      <c r="AL266" s="3" t="s">
        <v>83</v>
      </c>
    </row>
    <row r="267" spans="1:38" x14ac:dyDescent="0.3">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v>6644</v>
      </c>
      <c r="S267">
        <v>3687</v>
      </c>
      <c r="T267">
        <v>2</v>
      </c>
      <c r="U267" t="s">
        <v>43</v>
      </c>
      <c r="V267">
        <v>19</v>
      </c>
      <c r="W267">
        <v>3</v>
      </c>
      <c r="X267">
        <v>2</v>
      </c>
      <c r="Y267">
        <v>2</v>
      </c>
      <c r="Z267">
        <v>10</v>
      </c>
      <c r="AA267">
        <v>2</v>
      </c>
      <c r="AB267">
        <v>3</v>
      </c>
      <c r="AC267">
        <v>0</v>
      </c>
      <c r="AD267">
        <v>0</v>
      </c>
      <c r="AE267">
        <v>0</v>
      </c>
      <c r="AF267">
        <v>0</v>
      </c>
      <c r="AG267" t="s">
        <v>66</v>
      </c>
      <c r="AH267">
        <v>0</v>
      </c>
      <c r="AI267" t="s">
        <v>72</v>
      </c>
      <c r="AJ267" s="3" t="s">
        <v>83</v>
      </c>
      <c r="AK267" s="3">
        <v>2</v>
      </c>
      <c r="AL267" s="3" t="s">
        <v>84</v>
      </c>
    </row>
    <row r="268" spans="1:38" x14ac:dyDescent="0.3">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v>5582</v>
      </c>
      <c r="S268">
        <v>14408</v>
      </c>
      <c r="T268">
        <v>0</v>
      </c>
      <c r="U268" t="s">
        <v>43</v>
      </c>
      <c r="V268">
        <v>21</v>
      </c>
      <c r="W268">
        <v>4</v>
      </c>
      <c r="X268">
        <v>2</v>
      </c>
      <c r="Y268">
        <v>1</v>
      </c>
      <c r="Z268">
        <v>10</v>
      </c>
      <c r="AA268">
        <v>2</v>
      </c>
      <c r="AB268">
        <v>3</v>
      </c>
      <c r="AC268">
        <v>9</v>
      </c>
      <c r="AD268">
        <v>0</v>
      </c>
      <c r="AE268">
        <v>7</v>
      </c>
      <c r="AF268">
        <v>8</v>
      </c>
      <c r="AG268" t="s">
        <v>65</v>
      </c>
      <c r="AH268">
        <v>0</v>
      </c>
      <c r="AI268" t="s">
        <v>72</v>
      </c>
      <c r="AJ268" s="3" t="s">
        <v>82</v>
      </c>
      <c r="AK268" s="3">
        <v>0</v>
      </c>
      <c r="AL268" s="3" t="s">
        <v>83</v>
      </c>
    </row>
    <row r="269" spans="1:38" x14ac:dyDescent="0.3">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v>4000</v>
      </c>
      <c r="S269">
        <v>18384</v>
      </c>
      <c r="T269">
        <v>1</v>
      </c>
      <c r="U269" t="s">
        <v>43</v>
      </c>
      <c r="V269">
        <v>12</v>
      </c>
      <c r="W269">
        <v>3</v>
      </c>
      <c r="X269">
        <v>4</v>
      </c>
      <c r="Y269">
        <v>2</v>
      </c>
      <c r="Z269">
        <v>6</v>
      </c>
      <c r="AA269">
        <v>2</v>
      </c>
      <c r="AB269">
        <v>3</v>
      </c>
      <c r="AC269">
        <v>6</v>
      </c>
      <c r="AD269">
        <v>3</v>
      </c>
      <c r="AE269">
        <v>1</v>
      </c>
      <c r="AF269">
        <v>5</v>
      </c>
      <c r="AG269" t="s">
        <v>65</v>
      </c>
      <c r="AH269">
        <v>0</v>
      </c>
      <c r="AI269" t="s">
        <v>71</v>
      </c>
      <c r="AJ269" s="3" t="s">
        <v>83</v>
      </c>
      <c r="AK269" s="3">
        <v>1</v>
      </c>
      <c r="AL269" s="3" t="s">
        <v>83</v>
      </c>
    </row>
    <row r="270" spans="1:38" x14ac:dyDescent="0.3">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v>13496</v>
      </c>
      <c r="S270">
        <v>7501</v>
      </c>
      <c r="T270">
        <v>0</v>
      </c>
      <c r="U270" t="s">
        <v>35</v>
      </c>
      <c r="V270">
        <v>14</v>
      </c>
      <c r="W270">
        <v>3</v>
      </c>
      <c r="X270">
        <v>2</v>
      </c>
      <c r="Y270">
        <v>0</v>
      </c>
      <c r="Z270">
        <v>21</v>
      </c>
      <c r="AA270">
        <v>2</v>
      </c>
      <c r="AB270">
        <v>3</v>
      </c>
      <c r="AC270">
        <v>20</v>
      </c>
      <c r="AD270">
        <v>7</v>
      </c>
      <c r="AE270">
        <v>4</v>
      </c>
      <c r="AF270">
        <v>10</v>
      </c>
      <c r="AG270" t="s">
        <v>65</v>
      </c>
      <c r="AH270">
        <v>0</v>
      </c>
      <c r="AI270" t="s">
        <v>72</v>
      </c>
      <c r="AJ270" s="3" t="s">
        <v>82</v>
      </c>
      <c r="AK270" s="3">
        <v>1</v>
      </c>
      <c r="AL270" s="3" t="s">
        <v>83</v>
      </c>
    </row>
    <row r="271" spans="1:38" x14ac:dyDescent="0.3">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v>3210</v>
      </c>
      <c r="S271">
        <v>20251</v>
      </c>
      <c r="T271">
        <v>0</v>
      </c>
      <c r="U271" t="s">
        <v>43</v>
      </c>
      <c r="V271">
        <v>11</v>
      </c>
      <c r="W271">
        <v>3</v>
      </c>
      <c r="X271">
        <v>3</v>
      </c>
      <c r="Y271">
        <v>1</v>
      </c>
      <c r="Z271">
        <v>16</v>
      </c>
      <c r="AA271">
        <v>4</v>
      </c>
      <c r="AB271">
        <v>3</v>
      </c>
      <c r="AC271">
        <v>15</v>
      </c>
      <c r="AD271">
        <v>13</v>
      </c>
      <c r="AE271">
        <v>10</v>
      </c>
      <c r="AF271">
        <v>11</v>
      </c>
      <c r="AG271" t="s">
        <v>65</v>
      </c>
      <c r="AH271">
        <v>0</v>
      </c>
      <c r="AI271" t="s">
        <v>70</v>
      </c>
      <c r="AJ271" s="3" t="s">
        <v>82</v>
      </c>
      <c r="AK271" s="3">
        <v>0</v>
      </c>
      <c r="AL271" s="3" t="s">
        <v>83</v>
      </c>
    </row>
    <row r="272" spans="1:38" x14ac:dyDescent="0.3">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v>19045</v>
      </c>
      <c r="S272">
        <v>18938</v>
      </c>
      <c r="T272">
        <v>0</v>
      </c>
      <c r="U272" t="s">
        <v>35</v>
      </c>
      <c r="V272">
        <v>14</v>
      </c>
      <c r="W272">
        <v>3</v>
      </c>
      <c r="X272">
        <v>3</v>
      </c>
      <c r="Y272">
        <v>0</v>
      </c>
      <c r="Z272">
        <v>37</v>
      </c>
      <c r="AA272">
        <v>2</v>
      </c>
      <c r="AB272">
        <v>3</v>
      </c>
      <c r="AC272">
        <v>36</v>
      </c>
      <c r="AD272">
        <v>10</v>
      </c>
      <c r="AE272">
        <v>4</v>
      </c>
      <c r="AF272">
        <v>13</v>
      </c>
      <c r="AG272" t="s">
        <v>65</v>
      </c>
      <c r="AH272">
        <v>0</v>
      </c>
      <c r="AI272" t="s">
        <v>71</v>
      </c>
      <c r="AJ272" s="3" t="s">
        <v>83</v>
      </c>
      <c r="AK272" s="3">
        <v>2</v>
      </c>
      <c r="AL272" s="3" t="s">
        <v>84</v>
      </c>
    </row>
    <row r="273" spans="1:38" x14ac:dyDescent="0.3">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v>11849</v>
      </c>
      <c r="S273">
        <v>10268</v>
      </c>
      <c r="T273">
        <v>1</v>
      </c>
      <c r="U273" t="s">
        <v>35</v>
      </c>
      <c r="V273">
        <v>12</v>
      </c>
      <c r="W273">
        <v>3</v>
      </c>
      <c r="X273">
        <v>4</v>
      </c>
      <c r="Y273">
        <v>1</v>
      </c>
      <c r="Z273">
        <v>10</v>
      </c>
      <c r="AA273">
        <v>2</v>
      </c>
      <c r="AB273">
        <v>2</v>
      </c>
      <c r="AC273">
        <v>10</v>
      </c>
      <c r="AD273">
        <v>7</v>
      </c>
      <c r="AE273">
        <v>9</v>
      </c>
      <c r="AF273">
        <v>9</v>
      </c>
      <c r="AG273" t="s">
        <v>65</v>
      </c>
      <c r="AH273">
        <v>1</v>
      </c>
      <c r="AI273" t="s">
        <v>69</v>
      </c>
      <c r="AJ273" s="3" t="s">
        <v>83</v>
      </c>
      <c r="AK273" s="3">
        <v>2</v>
      </c>
      <c r="AL273" s="3" t="s">
        <v>84</v>
      </c>
    </row>
    <row r="274" spans="1:38" x14ac:dyDescent="0.3">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v>2070</v>
      </c>
      <c r="S274">
        <v>2613</v>
      </c>
      <c r="T274">
        <v>1</v>
      </c>
      <c r="U274" t="s">
        <v>43</v>
      </c>
      <c r="V274">
        <v>23</v>
      </c>
      <c r="W274">
        <v>4</v>
      </c>
      <c r="X274">
        <v>4</v>
      </c>
      <c r="Y274">
        <v>1</v>
      </c>
      <c r="Z274">
        <v>5</v>
      </c>
      <c r="AA274">
        <v>3</v>
      </c>
      <c r="AB274">
        <v>2</v>
      </c>
      <c r="AC274">
        <v>5</v>
      </c>
      <c r="AD274">
        <v>2</v>
      </c>
      <c r="AE274">
        <v>0</v>
      </c>
      <c r="AF274">
        <v>4</v>
      </c>
      <c r="AG274" t="s">
        <v>68</v>
      </c>
      <c r="AH274">
        <v>0</v>
      </c>
      <c r="AI274" t="s">
        <v>70</v>
      </c>
      <c r="AJ274" s="3" t="s">
        <v>82</v>
      </c>
      <c r="AK274" s="3">
        <v>0</v>
      </c>
      <c r="AL274" s="3" t="s">
        <v>83</v>
      </c>
    </row>
    <row r="275" spans="1:38" x14ac:dyDescent="0.3">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v>6502</v>
      </c>
      <c r="S275">
        <v>22825</v>
      </c>
      <c r="T275">
        <v>4</v>
      </c>
      <c r="U275" t="s">
        <v>43</v>
      </c>
      <c r="V275">
        <v>14</v>
      </c>
      <c r="W275">
        <v>3</v>
      </c>
      <c r="X275">
        <v>2</v>
      </c>
      <c r="Y275">
        <v>1</v>
      </c>
      <c r="Z275">
        <v>7</v>
      </c>
      <c r="AA275">
        <v>5</v>
      </c>
      <c r="AB275">
        <v>4</v>
      </c>
      <c r="AC275">
        <v>5</v>
      </c>
      <c r="AD275">
        <v>4</v>
      </c>
      <c r="AE275">
        <v>0</v>
      </c>
      <c r="AF275">
        <v>1</v>
      </c>
      <c r="AG275" t="s">
        <v>68</v>
      </c>
      <c r="AH275">
        <v>0</v>
      </c>
      <c r="AI275" t="s">
        <v>72</v>
      </c>
      <c r="AJ275" s="3" t="s">
        <v>82</v>
      </c>
      <c r="AK275" s="3">
        <v>0</v>
      </c>
      <c r="AL275" s="3" t="s">
        <v>83</v>
      </c>
    </row>
    <row r="276" spans="1:38" x14ac:dyDescent="0.3">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v>3230</v>
      </c>
      <c r="S276">
        <v>10531</v>
      </c>
      <c r="T276">
        <v>1</v>
      </c>
      <c r="U276" t="s">
        <v>43</v>
      </c>
      <c r="V276">
        <v>17</v>
      </c>
      <c r="W276">
        <v>3</v>
      </c>
      <c r="X276">
        <v>1</v>
      </c>
      <c r="Y276">
        <v>0</v>
      </c>
      <c r="Z276">
        <v>3</v>
      </c>
      <c r="AA276">
        <v>4</v>
      </c>
      <c r="AB276">
        <v>4</v>
      </c>
      <c r="AC276">
        <v>3</v>
      </c>
      <c r="AD276">
        <v>2</v>
      </c>
      <c r="AE276">
        <v>1</v>
      </c>
      <c r="AF276">
        <v>0</v>
      </c>
      <c r="AG276" t="s">
        <v>67</v>
      </c>
      <c r="AH276">
        <v>0</v>
      </c>
      <c r="AI276" t="s">
        <v>71</v>
      </c>
      <c r="AJ276" s="3" t="s">
        <v>84</v>
      </c>
      <c r="AK276" s="3">
        <v>1</v>
      </c>
      <c r="AL276" s="3" t="s">
        <v>83</v>
      </c>
    </row>
    <row r="277" spans="1:38" x14ac:dyDescent="0.3">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v>13603</v>
      </c>
      <c r="S277">
        <v>11677</v>
      </c>
      <c r="T277">
        <v>2</v>
      </c>
      <c r="U277" t="s">
        <v>35</v>
      </c>
      <c r="V277">
        <v>18</v>
      </c>
      <c r="W277">
        <v>3</v>
      </c>
      <c r="X277">
        <v>1</v>
      </c>
      <c r="Y277">
        <v>2</v>
      </c>
      <c r="Z277">
        <v>15</v>
      </c>
      <c r="AA277">
        <v>2</v>
      </c>
      <c r="AB277">
        <v>3</v>
      </c>
      <c r="AC277">
        <v>5</v>
      </c>
      <c r="AD277">
        <v>2</v>
      </c>
      <c r="AE277">
        <v>0</v>
      </c>
      <c r="AF277">
        <v>2</v>
      </c>
      <c r="AG277" t="s">
        <v>68</v>
      </c>
      <c r="AH277">
        <v>0</v>
      </c>
      <c r="AI277" t="s">
        <v>72</v>
      </c>
      <c r="AJ277" s="3" t="s">
        <v>82</v>
      </c>
      <c r="AK277" s="3">
        <v>1</v>
      </c>
      <c r="AL277" s="3" t="s">
        <v>83</v>
      </c>
    </row>
    <row r="278" spans="1:38" x14ac:dyDescent="0.3">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v>11996</v>
      </c>
      <c r="S278">
        <v>19100</v>
      </c>
      <c r="T278">
        <v>7</v>
      </c>
      <c r="U278" t="s">
        <v>43</v>
      </c>
      <c r="V278">
        <v>18</v>
      </c>
      <c r="W278">
        <v>3</v>
      </c>
      <c r="X278">
        <v>2</v>
      </c>
      <c r="Y278">
        <v>1</v>
      </c>
      <c r="Z278">
        <v>10</v>
      </c>
      <c r="AA278">
        <v>6</v>
      </c>
      <c r="AB278">
        <v>2</v>
      </c>
      <c r="AC278">
        <v>7</v>
      </c>
      <c r="AD278">
        <v>7</v>
      </c>
      <c r="AE278">
        <v>6</v>
      </c>
      <c r="AF278">
        <v>2</v>
      </c>
      <c r="AG278" t="s">
        <v>65</v>
      </c>
      <c r="AH278">
        <v>0</v>
      </c>
      <c r="AI278" t="s">
        <v>71</v>
      </c>
      <c r="AJ278" s="3" t="s">
        <v>83</v>
      </c>
      <c r="AK278" s="3">
        <v>1</v>
      </c>
      <c r="AL278" s="3" t="s">
        <v>83</v>
      </c>
    </row>
    <row r="279" spans="1:38" x14ac:dyDescent="0.3">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v>5605</v>
      </c>
      <c r="S279">
        <v>19191</v>
      </c>
      <c r="T279">
        <v>1</v>
      </c>
      <c r="U279" t="s">
        <v>35</v>
      </c>
      <c r="V279">
        <v>24</v>
      </c>
      <c r="W279">
        <v>4</v>
      </c>
      <c r="X279">
        <v>3</v>
      </c>
      <c r="Y279">
        <v>1</v>
      </c>
      <c r="Z279">
        <v>8</v>
      </c>
      <c r="AA279">
        <v>3</v>
      </c>
      <c r="AB279">
        <v>3</v>
      </c>
      <c r="AC279">
        <v>8</v>
      </c>
      <c r="AD279">
        <v>0</v>
      </c>
      <c r="AE279">
        <v>7</v>
      </c>
      <c r="AF279">
        <v>7</v>
      </c>
      <c r="AG279" t="s">
        <v>65</v>
      </c>
      <c r="AH279">
        <v>0</v>
      </c>
      <c r="AI279" t="s">
        <v>71</v>
      </c>
      <c r="AJ279" s="3" t="s">
        <v>83</v>
      </c>
      <c r="AK279" s="3">
        <v>2</v>
      </c>
      <c r="AL279" s="3" t="s">
        <v>84</v>
      </c>
    </row>
    <row r="280" spans="1:38" x14ac:dyDescent="0.3">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v>6397</v>
      </c>
      <c r="S280">
        <v>26767</v>
      </c>
      <c r="T280">
        <v>1</v>
      </c>
      <c r="U280" t="s">
        <v>43</v>
      </c>
      <c r="V280">
        <v>20</v>
      </c>
      <c r="W280">
        <v>4</v>
      </c>
      <c r="X280">
        <v>1</v>
      </c>
      <c r="Y280">
        <v>1</v>
      </c>
      <c r="Z280">
        <v>6</v>
      </c>
      <c r="AA280">
        <v>6</v>
      </c>
      <c r="AB280">
        <v>1</v>
      </c>
      <c r="AC280">
        <v>6</v>
      </c>
      <c r="AD280">
        <v>5</v>
      </c>
      <c r="AE280">
        <v>1</v>
      </c>
      <c r="AF280">
        <v>4</v>
      </c>
      <c r="AG280" t="s">
        <v>65</v>
      </c>
      <c r="AH280">
        <v>0</v>
      </c>
      <c r="AI280" t="s">
        <v>71</v>
      </c>
      <c r="AJ280" s="3" t="s">
        <v>83</v>
      </c>
      <c r="AK280" s="3">
        <v>1</v>
      </c>
      <c r="AL280" s="3" t="s">
        <v>83</v>
      </c>
    </row>
    <row r="281" spans="1:38" x14ac:dyDescent="0.3">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v>19144</v>
      </c>
      <c r="S281">
        <v>15815</v>
      </c>
      <c r="T281">
        <v>3</v>
      </c>
      <c r="U281" t="s">
        <v>43</v>
      </c>
      <c r="V281">
        <v>14</v>
      </c>
      <c r="W281">
        <v>3</v>
      </c>
      <c r="X281">
        <v>1</v>
      </c>
      <c r="Y281">
        <v>2</v>
      </c>
      <c r="Z281">
        <v>28</v>
      </c>
      <c r="AA281">
        <v>4</v>
      </c>
      <c r="AB281">
        <v>2</v>
      </c>
      <c r="AC281">
        <v>10</v>
      </c>
      <c r="AD281">
        <v>4</v>
      </c>
      <c r="AE281">
        <v>1</v>
      </c>
      <c r="AF281">
        <v>6</v>
      </c>
      <c r="AG281" t="s">
        <v>65</v>
      </c>
      <c r="AH281">
        <v>0</v>
      </c>
      <c r="AI281" t="s">
        <v>72</v>
      </c>
      <c r="AJ281" s="3" t="s">
        <v>83</v>
      </c>
      <c r="AK281" s="3">
        <v>1</v>
      </c>
      <c r="AL281" s="3" t="s">
        <v>83</v>
      </c>
    </row>
    <row r="282" spans="1:38" x14ac:dyDescent="0.3">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v>17584</v>
      </c>
      <c r="S282">
        <v>21016</v>
      </c>
      <c r="T282">
        <v>3</v>
      </c>
      <c r="U282" t="s">
        <v>35</v>
      </c>
      <c r="V282">
        <v>16</v>
      </c>
      <c r="W282">
        <v>3</v>
      </c>
      <c r="X282">
        <v>4</v>
      </c>
      <c r="Y282">
        <v>3</v>
      </c>
      <c r="Z282">
        <v>21</v>
      </c>
      <c r="AA282">
        <v>5</v>
      </c>
      <c r="AB282">
        <v>2</v>
      </c>
      <c r="AC282">
        <v>5</v>
      </c>
      <c r="AD282">
        <v>3</v>
      </c>
      <c r="AE282">
        <v>1</v>
      </c>
      <c r="AF282">
        <v>3</v>
      </c>
      <c r="AG282" t="s">
        <v>68</v>
      </c>
      <c r="AH282">
        <v>0</v>
      </c>
      <c r="AI282" t="s">
        <v>69</v>
      </c>
      <c r="AJ282" s="3" t="s">
        <v>84</v>
      </c>
      <c r="AK282" s="3">
        <v>1</v>
      </c>
      <c r="AL282" s="3" t="s">
        <v>83</v>
      </c>
    </row>
    <row r="283" spans="1:38" x14ac:dyDescent="0.3">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v>4907</v>
      </c>
      <c r="S283">
        <v>24532</v>
      </c>
      <c r="T283">
        <v>1</v>
      </c>
      <c r="U283" t="s">
        <v>43</v>
      </c>
      <c r="V283">
        <v>25</v>
      </c>
      <c r="W283">
        <v>4</v>
      </c>
      <c r="X283">
        <v>3</v>
      </c>
      <c r="Y283">
        <v>0</v>
      </c>
      <c r="Z283">
        <v>20</v>
      </c>
      <c r="AA283">
        <v>3</v>
      </c>
      <c r="AB283">
        <v>3</v>
      </c>
      <c r="AC283">
        <v>20</v>
      </c>
      <c r="AD283">
        <v>16</v>
      </c>
      <c r="AE283">
        <v>11</v>
      </c>
      <c r="AF283">
        <v>6</v>
      </c>
      <c r="AG283" t="s">
        <v>65</v>
      </c>
      <c r="AH283">
        <v>0</v>
      </c>
      <c r="AI283" t="s">
        <v>69</v>
      </c>
      <c r="AJ283" s="3" t="s">
        <v>84</v>
      </c>
      <c r="AK283" s="3">
        <v>0</v>
      </c>
      <c r="AL283" s="3" t="s">
        <v>83</v>
      </c>
    </row>
    <row r="284" spans="1:38" x14ac:dyDescent="0.3">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v>4554</v>
      </c>
      <c r="S284">
        <v>20260</v>
      </c>
      <c r="T284">
        <v>1</v>
      </c>
      <c r="U284" t="s">
        <v>43</v>
      </c>
      <c r="V284">
        <v>18</v>
      </c>
      <c r="W284">
        <v>3</v>
      </c>
      <c r="X284">
        <v>1</v>
      </c>
      <c r="Y284">
        <v>0</v>
      </c>
      <c r="Z284">
        <v>10</v>
      </c>
      <c r="AA284">
        <v>3</v>
      </c>
      <c r="AB284">
        <v>2</v>
      </c>
      <c r="AC284">
        <v>10</v>
      </c>
      <c r="AD284">
        <v>7</v>
      </c>
      <c r="AE284">
        <v>0</v>
      </c>
      <c r="AF284">
        <v>9</v>
      </c>
      <c r="AG284" t="s">
        <v>65</v>
      </c>
      <c r="AH284">
        <v>0</v>
      </c>
      <c r="AI284" t="s">
        <v>70</v>
      </c>
      <c r="AJ284" s="3" t="s">
        <v>82</v>
      </c>
      <c r="AK284" s="3">
        <v>0</v>
      </c>
      <c r="AL284" s="3" t="s">
        <v>83</v>
      </c>
    </row>
    <row r="285" spans="1:38" x14ac:dyDescent="0.3">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v>5415</v>
      </c>
      <c r="S285">
        <v>15972</v>
      </c>
      <c r="T285">
        <v>3</v>
      </c>
      <c r="U285" t="s">
        <v>35</v>
      </c>
      <c r="V285">
        <v>19</v>
      </c>
      <c r="W285">
        <v>3</v>
      </c>
      <c r="X285">
        <v>4</v>
      </c>
      <c r="Y285">
        <v>1</v>
      </c>
      <c r="Z285">
        <v>12</v>
      </c>
      <c r="AA285">
        <v>4</v>
      </c>
      <c r="AB285">
        <v>3</v>
      </c>
      <c r="AC285">
        <v>10</v>
      </c>
      <c r="AD285">
        <v>7</v>
      </c>
      <c r="AE285">
        <v>0</v>
      </c>
      <c r="AF285">
        <v>8</v>
      </c>
      <c r="AG285" t="s">
        <v>65</v>
      </c>
      <c r="AH285">
        <v>0</v>
      </c>
      <c r="AI285" t="s">
        <v>72</v>
      </c>
      <c r="AJ285" s="3" t="s">
        <v>82</v>
      </c>
      <c r="AK285" s="3">
        <v>1</v>
      </c>
      <c r="AL285" s="3" t="s">
        <v>83</v>
      </c>
    </row>
    <row r="286" spans="1:38" x14ac:dyDescent="0.3">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v>4741</v>
      </c>
      <c r="S286">
        <v>22722</v>
      </c>
      <c r="T286">
        <v>1</v>
      </c>
      <c r="U286" t="s">
        <v>35</v>
      </c>
      <c r="V286">
        <v>13</v>
      </c>
      <c r="W286">
        <v>3</v>
      </c>
      <c r="X286">
        <v>3</v>
      </c>
      <c r="Y286">
        <v>1</v>
      </c>
      <c r="Z286">
        <v>5</v>
      </c>
      <c r="AA286">
        <v>3</v>
      </c>
      <c r="AB286">
        <v>3</v>
      </c>
      <c r="AC286">
        <v>5</v>
      </c>
      <c r="AD286">
        <v>3</v>
      </c>
      <c r="AE286">
        <v>3</v>
      </c>
      <c r="AF286">
        <v>3</v>
      </c>
      <c r="AG286" t="s">
        <v>68</v>
      </c>
      <c r="AH286">
        <v>0</v>
      </c>
      <c r="AI286" t="s">
        <v>69</v>
      </c>
      <c r="AJ286" s="3" t="s">
        <v>83</v>
      </c>
      <c r="AK286" s="3">
        <v>2</v>
      </c>
      <c r="AL286" s="3" t="s">
        <v>84</v>
      </c>
    </row>
    <row r="287" spans="1:38" x14ac:dyDescent="0.3">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v>2115</v>
      </c>
      <c r="S287">
        <v>15881</v>
      </c>
      <c r="T287">
        <v>1</v>
      </c>
      <c r="U287" t="s">
        <v>43</v>
      </c>
      <c r="V287">
        <v>12</v>
      </c>
      <c r="W287">
        <v>3</v>
      </c>
      <c r="X287">
        <v>2</v>
      </c>
      <c r="Y287">
        <v>0</v>
      </c>
      <c r="Z287">
        <v>17</v>
      </c>
      <c r="AA287">
        <v>3</v>
      </c>
      <c r="AB287">
        <v>3</v>
      </c>
      <c r="AC287">
        <v>17</v>
      </c>
      <c r="AD287">
        <v>12</v>
      </c>
      <c r="AE287">
        <v>5</v>
      </c>
      <c r="AF287">
        <v>7</v>
      </c>
      <c r="AG287" t="s">
        <v>65</v>
      </c>
      <c r="AH287">
        <v>0</v>
      </c>
      <c r="AI287" t="s">
        <v>72</v>
      </c>
      <c r="AJ287" s="3" t="s">
        <v>82</v>
      </c>
      <c r="AK287" s="3">
        <v>0</v>
      </c>
      <c r="AL287" s="3" t="s">
        <v>83</v>
      </c>
    </row>
    <row r="288" spans="1:38" x14ac:dyDescent="0.3">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v>3161</v>
      </c>
      <c r="S288">
        <v>19920</v>
      </c>
      <c r="T288">
        <v>3</v>
      </c>
      <c r="U288" t="s">
        <v>35</v>
      </c>
      <c r="V288">
        <v>22</v>
      </c>
      <c r="W288">
        <v>4</v>
      </c>
      <c r="X288">
        <v>4</v>
      </c>
      <c r="Y288">
        <v>1</v>
      </c>
      <c r="Z288">
        <v>19</v>
      </c>
      <c r="AA288">
        <v>0</v>
      </c>
      <c r="AB288">
        <v>1</v>
      </c>
      <c r="AC288">
        <v>1</v>
      </c>
      <c r="AD288">
        <v>0</v>
      </c>
      <c r="AE288">
        <v>0</v>
      </c>
      <c r="AF288">
        <v>0</v>
      </c>
      <c r="AG288" t="s">
        <v>67</v>
      </c>
      <c r="AH288">
        <v>1</v>
      </c>
      <c r="AI288" t="s">
        <v>71</v>
      </c>
      <c r="AJ288" s="3" t="s">
        <v>84</v>
      </c>
      <c r="AK288" s="3">
        <v>2</v>
      </c>
      <c r="AL288" s="3" t="s">
        <v>84</v>
      </c>
    </row>
    <row r="289" spans="1:38" x14ac:dyDescent="0.3">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v>5745</v>
      </c>
      <c r="S289">
        <v>18899</v>
      </c>
      <c r="T289">
        <v>9</v>
      </c>
      <c r="U289" t="s">
        <v>43</v>
      </c>
      <c r="V289">
        <v>14</v>
      </c>
      <c r="W289">
        <v>3</v>
      </c>
      <c r="X289">
        <v>2</v>
      </c>
      <c r="Y289">
        <v>1</v>
      </c>
      <c r="Z289">
        <v>10</v>
      </c>
      <c r="AA289">
        <v>2</v>
      </c>
      <c r="AB289">
        <v>3</v>
      </c>
      <c r="AC289">
        <v>2</v>
      </c>
      <c r="AD289">
        <v>2</v>
      </c>
      <c r="AE289">
        <v>1</v>
      </c>
      <c r="AF289">
        <v>2</v>
      </c>
      <c r="AG289" t="s">
        <v>67</v>
      </c>
      <c r="AH289">
        <v>0</v>
      </c>
      <c r="AI289" t="s">
        <v>70</v>
      </c>
      <c r="AJ289" s="3" t="s">
        <v>82</v>
      </c>
      <c r="AK289" s="3">
        <v>1</v>
      </c>
      <c r="AL289" s="3" t="s">
        <v>83</v>
      </c>
    </row>
    <row r="290" spans="1:38" x14ac:dyDescent="0.3">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v>2373</v>
      </c>
      <c r="S290">
        <v>14180</v>
      </c>
      <c r="T290">
        <v>2</v>
      </c>
      <c r="U290" t="s">
        <v>35</v>
      </c>
      <c r="V290">
        <v>13</v>
      </c>
      <c r="W290">
        <v>3</v>
      </c>
      <c r="X290">
        <v>4</v>
      </c>
      <c r="Y290">
        <v>1</v>
      </c>
      <c r="Z290">
        <v>5</v>
      </c>
      <c r="AA290">
        <v>2</v>
      </c>
      <c r="AB290">
        <v>3</v>
      </c>
      <c r="AC290">
        <v>3</v>
      </c>
      <c r="AD290">
        <v>2</v>
      </c>
      <c r="AE290">
        <v>0</v>
      </c>
      <c r="AF290">
        <v>2</v>
      </c>
      <c r="AG290" t="s">
        <v>67</v>
      </c>
      <c r="AH290">
        <v>1</v>
      </c>
      <c r="AI290" t="s">
        <v>71</v>
      </c>
      <c r="AJ290" s="3" t="s">
        <v>83</v>
      </c>
      <c r="AK290" s="3">
        <v>3</v>
      </c>
      <c r="AL290" s="3" t="s">
        <v>82</v>
      </c>
    </row>
    <row r="291" spans="1:38" x14ac:dyDescent="0.3">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v>3310</v>
      </c>
      <c r="S291">
        <v>4488</v>
      </c>
      <c r="T291">
        <v>1</v>
      </c>
      <c r="U291" t="s">
        <v>43</v>
      </c>
      <c r="V291">
        <v>21</v>
      </c>
      <c r="W291">
        <v>4</v>
      </c>
      <c r="X291">
        <v>4</v>
      </c>
      <c r="Y291">
        <v>0</v>
      </c>
      <c r="Z291">
        <v>5</v>
      </c>
      <c r="AA291">
        <v>3</v>
      </c>
      <c r="AB291">
        <v>3</v>
      </c>
      <c r="AC291">
        <v>5</v>
      </c>
      <c r="AD291">
        <v>3</v>
      </c>
      <c r="AE291">
        <v>0</v>
      </c>
      <c r="AF291">
        <v>2</v>
      </c>
      <c r="AG291" t="s">
        <v>68</v>
      </c>
      <c r="AH291">
        <v>0</v>
      </c>
      <c r="AI291" t="s">
        <v>72</v>
      </c>
      <c r="AJ291" s="3" t="s">
        <v>82</v>
      </c>
      <c r="AK291" s="3">
        <v>0</v>
      </c>
      <c r="AL291" s="3" t="s">
        <v>83</v>
      </c>
    </row>
    <row r="292" spans="1:38" x14ac:dyDescent="0.3">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v>18665</v>
      </c>
      <c r="S292">
        <v>25594</v>
      </c>
      <c r="T292">
        <v>9</v>
      </c>
      <c r="U292" t="s">
        <v>35</v>
      </c>
      <c r="V292">
        <v>11</v>
      </c>
      <c r="W292">
        <v>3</v>
      </c>
      <c r="X292">
        <v>4</v>
      </c>
      <c r="Y292">
        <v>0</v>
      </c>
      <c r="Z292">
        <v>22</v>
      </c>
      <c r="AA292">
        <v>4</v>
      </c>
      <c r="AB292">
        <v>3</v>
      </c>
      <c r="AC292">
        <v>3</v>
      </c>
      <c r="AD292">
        <v>2</v>
      </c>
      <c r="AE292">
        <v>1</v>
      </c>
      <c r="AF292">
        <v>2</v>
      </c>
      <c r="AG292" t="s">
        <v>67</v>
      </c>
      <c r="AH292">
        <v>0</v>
      </c>
      <c r="AI292" t="s">
        <v>72</v>
      </c>
      <c r="AJ292" s="3" t="s">
        <v>83</v>
      </c>
      <c r="AK292" s="3">
        <v>3</v>
      </c>
      <c r="AL292" s="3" t="s">
        <v>82</v>
      </c>
    </row>
    <row r="293" spans="1:38" x14ac:dyDescent="0.3">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v>4485</v>
      </c>
      <c r="S293">
        <v>26285</v>
      </c>
      <c r="T293">
        <v>4</v>
      </c>
      <c r="U293" t="s">
        <v>43</v>
      </c>
      <c r="V293">
        <v>12</v>
      </c>
      <c r="W293">
        <v>3</v>
      </c>
      <c r="X293">
        <v>4</v>
      </c>
      <c r="Y293">
        <v>0</v>
      </c>
      <c r="Z293">
        <v>10</v>
      </c>
      <c r="AA293">
        <v>2</v>
      </c>
      <c r="AB293">
        <v>3</v>
      </c>
      <c r="AC293">
        <v>8</v>
      </c>
      <c r="AD293">
        <v>0</v>
      </c>
      <c r="AE293">
        <v>7</v>
      </c>
      <c r="AF293">
        <v>7</v>
      </c>
      <c r="AG293" t="s">
        <v>65</v>
      </c>
      <c r="AH293">
        <v>0</v>
      </c>
      <c r="AI293" t="s">
        <v>70</v>
      </c>
      <c r="AJ293" s="3" t="s">
        <v>83</v>
      </c>
      <c r="AK293" s="3">
        <v>1</v>
      </c>
      <c r="AL293" s="3" t="s">
        <v>83</v>
      </c>
    </row>
    <row r="294" spans="1:38" x14ac:dyDescent="0.3">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v>2789</v>
      </c>
      <c r="S294">
        <v>3909</v>
      </c>
      <c r="T294">
        <v>1</v>
      </c>
      <c r="U294" t="s">
        <v>43</v>
      </c>
      <c r="V294">
        <v>11</v>
      </c>
      <c r="W294">
        <v>3</v>
      </c>
      <c r="X294">
        <v>3</v>
      </c>
      <c r="Y294">
        <v>1</v>
      </c>
      <c r="Z294">
        <v>2</v>
      </c>
      <c r="AA294">
        <v>5</v>
      </c>
      <c r="AB294">
        <v>2</v>
      </c>
      <c r="AC294">
        <v>2</v>
      </c>
      <c r="AD294">
        <v>2</v>
      </c>
      <c r="AE294">
        <v>2</v>
      </c>
      <c r="AF294">
        <v>2</v>
      </c>
      <c r="AG294" t="s">
        <v>67</v>
      </c>
      <c r="AH294">
        <v>0</v>
      </c>
      <c r="AI294" t="s">
        <v>71</v>
      </c>
      <c r="AJ294" s="3" t="s">
        <v>83</v>
      </c>
      <c r="AK294" s="3">
        <v>2</v>
      </c>
      <c r="AL294" s="3" t="s">
        <v>84</v>
      </c>
    </row>
    <row r="295" spans="1:38" x14ac:dyDescent="0.3">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v>5828</v>
      </c>
      <c r="S295">
        <v>8450</v>
      </c>
      <c r="T295">
        <v>1</v>
      </c>
      <c r="U295" t="s">
        <v>35</v>
      </c>
      <c r="V295">
        <v>12</v>
      </c>
      <c r="W295">
        <v>3</v>
      </c>
      <c r="X295">
        <v>2</v>
      </c>
      <c r="Y295">
        <v>0</v>
      </c>
      <c r="Z295">
        <v>8</v>
      </c>
      <c r="AA295">
        <v>0</v>
      </c>
      <c r="AB295">
        <v>3</v>
      </c>
      <c r="AC295">
        <v>8</v>
      </c>
      <c r="AD295">
        <v>7</v>
      </c>
      <c r="AE295">
        <v>7</v>
      </c>
      <c r="AF295">
        <v>4</v>
      </c>
      <c r="AG295" t="s">
        <v>65</v>
      </c>
      <c r="AH295">
        <v>1</v>
      </c>
      <c r="AI295" t="s">
        <v>71</v>
      </c>
      <c r="AJ295" s="3" t="s">
        <v>82</v>
      </c>
      <c r="AK295" s="3">
        <v>1</v>
      </c>
      <c r="AL295" s="3" t="s">
        <v>83</v>
      </c>
    </row>
    <row r="296" spans="1:38" x14ac:dyDescent="0.3">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v>2326</v>
      </c>
      <c r="S296">
        <v>11411</v>
      </c>
      <c r="T296">
        <v>1</v>
      </c>
      <c r="U296" t="s">
        <v>35</v>
      </c>
      <c r="V296">
        <v>12</v>
      </c>
      <c r="W296">
        <v>3</v>
      </c>
      <c r="X296">
        <v>3</v>
      </c>
      <c r="Y296">
        <v>3</v>
      </c>
      <c r="Z296">
        <v>4</v>
      </c>
      <c r="AA296">
        <v>3</v>
      </c>
      <c r="AB296">
        <v>2</v>
      </c>
      <c r="AC296">
        <v>4</v>
      </c>
      <c r="AD296">
        <v>2</v>
      </c>
      <c r="AE296">
        <v>1</v>
      </c>
      <c r="AF296">
        <v>2</v>
      </c>
      <c r="AG296" t="s">
        <v>68</v>
      </c>
      <c r="AH296">
        <v>0</v>
      </c>
      <c r="AI296" t="s">
        <v>72</v>
      </c>
      <c r="AJ296" s="3" t="s">
        <v>82</v>
      </c>
      <c r="AK296" s="3">
        <v>1</v>
      </c>
      <c r="AL296" s="3" t="s">
        <v>83</v>
      </c>
    </row>
    <row r="297" spans="1:38" x14ac:dyDescent="0.3">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v>13525</v>
      </c>
      <c r="S297">
        <v>14864</v>
      </c>
      <c r="T297">
        <v>5</v>
      </c>
      <c r="U297" t="s">
        <v>43</v>
      </c>
      <c r="V297">
        <v>14</v>
      </c>
      <c r="W297">
        <v>3</v>
      </c>
      <c r="X297">
        <v>4</v>
      </c>
      <c r="Y297">
        <v>1</v>
      </c>
      <c r="Z297">
        <v>23</v>
      </c>
      <c r="AA297">
        <v>2</v>
      </c>
      <c r="AB297">
        <v>4</v>
      </c>
      <c r="AC297">
        <v>20</v>
      </c>
      <c r="AD297">
        <v>4</v>
      </c>
      <c r="AE297">
        <v>4</v>
      </c>
      <c r="AF297">
        <v>8</v>
      </c>
      <c r="AG297" t="s">
        <v>65</v>
      </c>
      <c r="AH297">
        <v>0</v>
      </c>
      <c r="AI297" t="s">
        <v>71</v>
      </c>
      <c r="AJ297" s="3" t="s">
        <v>83</v>
      </c>
      <c r="AK297" s="3">
        <v>1</v>
      </c>
      <c r="AL297" s="3" t="s">
        <v>83</v>
      </c>
    </row>
    <row r="298" spans="1:38" x14ac:dyDescent="0.3">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v>1420</v>
      </c>
      <c r="S298">
        <v>25233</v>
      </c>
      <c r="T298">
        <v>1</v>
      </c>
      <c r="U298" t="s">
        <v>43</v>
      </c>
      <c r="V298">
        <v>13</v>
      </c>
      <c r="W298">
        <v>3</v>
      </c>
      <c r="X298">
        <v>3</v>
      </c>
      <c r="Y298">
        <v>0</v>
      </c>
      <c r="Z298">
        <v>0</v>
      </c>
      <c r="AA298">
        <v>2</v>
      </c>
      <c r="AB298">
        <v>3</v>
      </c>
      <c r="AC298">
        <v>0</v>
      </c>
      <c r="AD298">
        <v>0</v>
      </c>
      <c r="AE298">
        <v>0</v>
      </c>
      <c r="AF298">
        <v>0</v>
      </c>
      <c r="AG298" t="s">
        <v>66</v>
      </c>
      <c r="AH298">
        <v>1</v>
      </c>
      <c r="AI298" t="s">
        <v>70</v>
      </c>
      <c r="AJ298" s="3" t="s">
        <v>84</v>
      </c>
      <c r="AK298" s="3">
        <v>1</v>
      </c>
      <c r="AL298" s="3" t="s">
        <v>83</v>
      </c>
    </row>
    <row r="299" spans="1:38" x14ac:dyDescent="0.3">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v>8020</v>
      </c>
      <c r="S299">
        <v>5100</v>
      </c>
      <c r="T299">
        <v>0</v>
      </c>
      <c r="U299" t="s">
        <v>43</v>
      </c>
      <c r="V299">
        <v>15</v>
      </c>
      <c r="W299">
        <v>3</v>
      </c>
      <c r="X299">
        <v>3</v>
      </c>
      <c r="Y299">
        <v>2</v>
      </c>
      <c r="Z299">
        <v>12</v>
      </c>
      <c r="AA299">
        <v>3</v>
      </c>
      <c r="AB299">
        <v>2</v>
      </c>
      <c r="AC299">
        <v>11</v>
      </c>
      <c r="AD299">
        <v>9</v>
      </c>
      <c r="AE299">
        <v>6</v>
      </c>
      <c r="AF299">
        <v>9</v>
      </c>
      <c r="AG299" t="s">
        <v>65</v>
      </c>
      <c r="AH299">
        <v>0</v>
      </c>
      <c r="AI299" t="s">
        <v>72</v>
      </c>
      <c r="AJ299" s="3" t="s">
        <v>83</v>
      </c>
      <c r="AK299" s="3">
        <v>1</v>
      </c>
      <c r="AL299" s="3" t="s">
        <v>83</v>
      </c>
    </row>
    <row r="300" spans="1:38" x14ac:dyDescent="0.3">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v>3688</v>
      </c>
      <c r="S300">
        <v>7122</v>
      </c>
      <c r="T300">
        <v>4</v>
      </c>
      <c r="U300" t="s">
        <v>43</v>
      </c>
      <c r="V300">
        <v>18</v>
      </c>
      <c r="W300">
        <v>3</v>
      </c>
      <c r="X300">
        <v>4</v>
      </c>
      <c r="Y300">
        <v>2</v>
      </c>
      <c r="Z300">
        <v>4</v>
      </c>
      <c r="AA300">
        <v>2</v>
      </c>
      <c r="AB300">
        <v>3</v>
      </c>
      <c r="AC300">
        <v>1</v>
      </c>
      <c r="AD300">
        <v>0</v>
      </c>
      <c r="AE300">
        <v>0</v>
      </c>
      <c r="AF300">
        <v>0</v>
      </c>
      <c r="AG300" t="s">
        <v>67</v>
      </c>
      <c r="AH300">
        <v>0</v>
      </c>
      <c r="AI300" t="s">
        <v>71</v>
      </c>
      <c r="AJ300" s="3" t="s">
        <v>82</v>
      </c>
      <c r="AK300" s="3">
        <v>1</v>
      </c>
      <c r="AL300" s="3" t="s">
        <v>83</v>
      </c>
    </row>
    <row r="301" spans="1:38" x14ac:dyDescent="0.3">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v>5482</v>
      </c>
      <c r="S301">
        <v>16321</v>
      </c>
      <c r="T301">
        <v>5</v>
      </c>
      <c r="U301" t="s">
        <v>43</v>
      </c>
      <c r="V301">
        <v>18</v>
      </c>
      <c r="W301">
        <v>3</v>
      </c>
      <c r="X301">
        <v>4</v>
      </c>
      <c r="Y301">
        <v>1</v>
      </c>
      <c r="Z301">
        <v>13</v>
      </c>
      <c r="AA301">
        <v>3</v>
      </c>
      <c r="AB301">
        <v>3</v>
      </c>
      <c r="AC301">
        <v>4</v>
      </c>
      <c r="AD301">
        <v>1</v>
      </c>
      <c r="AE301">
        <v>1</v>
      </c>
      <c r="AF301">
        <v>2</v>
      </c>
      <c r="AG301" t="s">
        <v>68</v>
      </c>
      <c r="AH301">
        <v>0</v>
      </c>
      <c r="AI301" t="s">
        <v>71</v>
      </c>
      <c r="AJ301" s="3" t="s">
        <v>83</v>
      </c>
      <c r="AK301" s="3">
        <v>1</v>
      </c>
      <c r="AL301" s="3" t="s">
        <v>83</v>
      </c>
    </row>
    <row r="302" spans="1:38" x14ac:dyDescent="0.3">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v>16015</v>
      </c>
      <c r="S302">
        <v>15896</v>
      </c>
      <c r="T302">
        <v>1</v>
      </c>
      <c r="U302" t="s">
        <v>43</v>
      </c>
      <c r="V302">
        <v>19</v>
      </c>
      <c r="W302">
        <v>3</v>
      </c>
      <c r="X302">
        <v>2</v>
      </c>
      <c r="Y302">
        <v>0</v>
      </c>
      <c r="Z302">
        <v>22</v>
      </c>
      <c r="AA302">
        <v>2</v>
      </c>
      <c r="AB302">
        <v>3</v>
      </c>
      <c r="AC302">
        <v>22</v>
      </c>
      <c r="AD302">
        <v>10</v>
      </c>
      <c r="AE302">
        <v>0</v>
      </c>
      <c r="AF302">
        <v>4</v>
      </c>
      <c r="AG302" t="s">
        <v>65</v>
      </c>
      <c r="AH302">
        <v>0</v>
      </c>
      <c r="AI302" t="s">
        <v>69</v>
      </c>
      <c r="AJ302" s="3" t="s">
        <v>83</v>
      </c>
      <c r="AK302" s="3">
        <v>1</v>
      </c>
      <c r="AL302" s="3" t="s">
        <v>83</v>
      </c>
    </row>
    <row r="303" spans="1:38" x14ac:dyDescent="0.3">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v>1200</v>
      </c>
      <c r="S303">
        <v>9724</v>
      </c>
      <c r="T303">
        <v>1</v>
      </c>
      <c r="U303" t="s">
        <v>43</v>
      </c>
      <c r="V303">
        <v>12</v>
      </c>
      <c r="W303">
        <v>3</v>
      </c>
      <c r="X303">
        <v>1</v>
      </c>
      <c r="Y303">
        <v>0</v>
      </c>
      <c r="Z303">
        <v>0</v>
      </c>
      <c r="AA303">
        <v>2</v>
      </c>
      <c r="AB303">
        <v>3</v>
      </c>
      <c r="AC303">
        <v>0</v>
      </c>
      <c r="AD303">
        <v>0</v>
      </c>
      <c r="AE303">
        <v>0</v>
      </c>
      <c r="AF303">
        <v>0</v>
      </c>
      <c r="AG303" t="s">
        <v>66</v>
      </c>
      <c r="AH303">
        <v>0</v>
      </c>
      <c r="AI303" t="s">
        <v>70</v>
      </c>
      <c r="AJ303" s="3" t="s">
        <v>84</v>
      </c>
      <c r="AK303" s="3">
        <v>1</v>
      </c>
      <c r="AL303" s="3" t="s">
        <v>83</v>
      </c>
    </row>
    <row r="304" spans="1:38" x14ac:dyDescent="0.3">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v>5661</v>
      </c>
      <c r="S304">
        <v>4824</v>
      </c>
      <c r="T304">
        <v>0</v>
      </c>
      <c r="U304" t="s">
        <v>43</v>
      </c>
      <c r="V304">
        <v>19</v>
      </c>
      <c r="W304">
        <v>3</v>
      </c>
      <c r="X304">
        <v>3</v>
      </c>
      <c r="Y304">
        <v>0</v>
      </c>
      <c r="Z304">
        <v>9</v>
      </c>
      <c r="AA304">
        <v>2</v>
      </c>
      <c r="AB304">
        <v>3</v>
      </c>
      <c r="AC304">
        <v>8</v>
      </c>
      <c r="AD304">
        <v>3</v>
      </c>
      <c r="AE304">
        <v>0</v>
      </c>
      <c r="AF304">
        <v>7</v>
      </c>
      <c r="AG304" t="s">
        <v>65</v>
      </c>
      <c r="AH304">
        <v>0</v>
      </c>
      <c r="AI304" t="s">
        <v>72</v>
      </c>
      <c r="AJ304" s="3" t="s">
        <v>83</v>
      </c>
      <c r="AK304" s="3">
        <v>1</v>
      </c>
      <c r="AL304" s="3" t="s">
        <v>83</v>
      </c>
    </row>
    <row r="305" spans="1:38" x14ac:dyDescent="0.3">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v>6929</v>
      </c>
      <c r="S305">
        <v>12241</v>
      </c>
      <c r="T305">
        <v>4</v>
      </c>
      <c r="U305" t="s">
        <v>43</v>
      </c>
      <c r="V305">
        <v>11</v>
      </c>
      <c r="W305">
        <v>3</v>
      </c>
      <c r="X305">
        <v>2</v>
      </c>
      <c r="Y305">
        <v>1</v>
      </c>
      <c r="Z305">
        <v>10</v>
      </c>
      <c r="AA305">
        <v>3</v>
      </c>
      <c r="AB305">
        <v>2</v>
      </c>
      <c r="AC305">
        <v>8</v>
      </c>
      <c r="AD305">
        <v>7</v>
      </c>
      <c r="AE305">
        <v>7</v>
      </c>
      <c r="AF305">
        <v>7</v>
      </c>
      <c r="AG305" t="s">
        <v>65</v>
      </c>
      <c r="AH305">
        <v>0</v>
      </c>
      <c r="AI305" t="s">
        <v>72</v>
      </c>
      <c r="AJ305" s="3" t="s">
        <v>82</v>
      </c>
      <c r="AK305" s="3">
        <v>0</v>
      </c>
      <c r="AL305" s="3" t="s">
        <v>83</v>
      </c>
    </row>
    <row r="306" spans="1:38" x14ac:dyDescent="0.3">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v>9613</v>
      </c>
      <c r="S306">
        <v>10942</v>
      </c>
      <c r="T306">
        <v>0</v>
      </c>
      <c r="U306" t="s">
        <v>43</v>
      </c>
      <c r="V306">
        <v>17</v>
      </c>
      <c r="W306">
        <v>3</v>
      </c>
      <c r="X306">
        <v>1</v>
      </c>
      <c r="Y306">
        <v>3</v>
      </c>
      <c r="Z306">
        <v>19</v>
      </c>
      <c r="AA306">
        <v>5</v>
      </c>
      <c r="AB306">
        <v>2</v>
      </c>
      <c r="AC306">
        <v>18</v>
      </c>
      <c r="AD306">
        <v>10</v>
      </c>
      <c r="AE306">
        <v>3</v>
      </c>
      <c r="AF306">
        <v>7</v>
      </c>
      <c r="AG306" t="s">
        <v>65</v>
      </c>
      <c r="AH306">
        <v>0</v>
      </c>
      <c r="AI306" t="s">
        <v>71</v>
      </c>
      <c r="AJ306" s="3" t="s">
        <v>82</v>
      </c>
      <c r="AK306" s="3">
        <v>0</v>
      </c>
      <c r="AL306" s="3" t="s">
        <v>83</v>
      </c>
    </row>
    <row r="307" spans="1:38" x14ac:dyDescent="0.3">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v>5674</v>
      </c>
      <c r="S307">
        <v>6927</v>
      </c>
      <c r="T307">
        <v>7</v>
      </c>
      <c r="U307" t="s">
        <v>43</v>
      </c>
      <c r="V307">
        <v>15</v>
      </c>
      <c r="W307">
        <v>3</v>
      </c>
      <c r="X307">
        <v>3</v>
      </c>
      <c r="Y307">
        <v>1</v>
      </c>
      <c r="Z307">
        <v>11</v>
      </c>
      <c r="AA307">
        <v>3</v>
      </c>
      <c r="AB307">
        <v>3</v>
      </c>
      <c r="AC307">
        <v>9</v>
      </c>
      <c r="AD307">
        <v>8</v>
      </c>
      <c r="AE307">
        <v>0</v>
      </c>
      <c r="AF307">
        <v>8</v>
      </c>
      <c r="AG307" t="s">
        <v>65</v>
      </c>
      <c r="AH307">
        <v>0</v>
      </c>
      <c r="AI307" t="s">
        <v>71</v>
      </c>
      <c r="AJ307" s="3" t="s">
        <v>83</v>
      </c>
      <c r="AK307" s="3">
        <v>1</v>
      </c>
      <c r="AL307" s="3" t="s">
        <v>83</v>
      </c>
    </row>
    <row r="308" spans="1:38" x14ac:dyDescent="0.3">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v>5484</v>
      </c>
      <c r="S308">
        <v>16985</v>
      </c>
      <c r="T308">
        <v>1</v>
      </c>
      <c r="U308" t="s">
        <v>43</v>
      </c>
      <c r="V308">
        <v>14</v>
      </c>
      <c r="W308">
        <v>3</v>
      </c>
      <c r="X308">
        <v>3</v>
      </c>
      <c r="Y308">
        <v>1</v>
      </c>
      <c r="Z308">
        <v>13</v>
      </c>
      <c r="AA308">
        <v>3</v>
      </c>
      <c r="AB308">
        <v>2</v>
      </c>
      <c r="AC308">
        <v>13</v>
      </c>
      <c r="AD308">
        <v>8</v>
      </c>
      <c r="AE308">
        <v>4</v>
      </c>
      <c r="AF308">
        <v>8</v>
      </c>
      <c r="AG308" t="s">
        <v>65</v>
      </c>
      <c r="AH308">
        <v>0</v>
      </c>
      <c r="AI308" t="s">
        <v>71</v>
      </c>
      <c r="AJ308" s="3" t="s">
        <v>84</v>
      </c>
      <c r="AK308" s="3">
        <v>0</v>
      </c>
      <c r="AL308" s="3" t="s">
        <v>83</v>
      </c>
    </row>
    <row r="309" spans="1:38" x14ac:dyDescent="0.3">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v>12061</v>
      </c>
      <c r="S309">
        <v>26707</v>
      </c>
      <c r="T309">
        <v>3</v>
      </c>
      <c r="U309" t="s">
        <v>43</v>
      </c>
      <c r="V309">
        <v>17</v>
      </c>
      <c r="W309">
        <v>3</v>
      </c>
      <c r="X309">
        <v>3</v>
      </c>
      <c r="Y309">
        <v>1</v>
      </c>
      <c r="Z309">
        <v>19</v>
      </c>
      <c r="AA309">
        <v>2</v>
      </c>
      <c r="AB309">
        <v>3</v>
      </c>
      <c r="AC309">
        <v>10</v>
      </c>
      <c r="AD309">
        <v>8</v>
      </c>
      <c r="AE309">
        <v>0</v>
      </c>
      <c r="AF309">
        <v>1</v>
      </c>
      <c r="AG309" t="s">
        <v>65</v>
      </c>
      <c r="AH309">
        <v>0</v>
      </c>
      <c r="AI309" t="s">
        <v>71</v>
      </c>
      <c r="AJ309" s="3" t="s">
        <v>83</v>
      </c>
      <c r="AK309" s="3">
        <v>1</v>
      </c>
      <c r="AL309" s="3" t="s">
        <v>83</v>
      </c>
    </row>
    <row r="310" spans="1:38" x14ac:dyDescent="0.3">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v>5660</v>
      </c>
      <c r="S310">
        <v>17056</v>
      </c>
      <c r="T310">
        <v>2</v>
      </c>
      <c r="U310" t="s">
        <v>35</v>
      </c>
      <c r="V310">
        <v>13</v>
      </c>
      <c r="W310">
        <v>3</v>
      </c>
      <c r="X310">
        <v>4</v>
      </c>
      <c r="Y310">
        <v>1</v>
      </c>
      <c r="Z310">
        <v>12</v>
      </c>
      <c r="AA310">
        <v>2</v>
      </c>
      <c r="AB310">
        <v>3</v>
      </c>
      <c r="AC310">
        <v>5</v>
      </c>
      <c r="AD310">
        <v>3</v>
      </c>
      <c r="AE310">
        <v>1</v>
      </c>
      <c r="AF310">
        <v>2</v>
      </c>
      <c r="AG310" t="s">
        <v>68</v>
      </c>
      <c r="AH310">
        <v>0</v>
      </c>
      <c r="AI310" t="s">
        <v>71</v>
      </c>
      <c r="AJ310" s="3" t="s">
        <v>84</v>
      </c>
      <c r="AK310" s="3">
        <v>1</v>
      </c>
      <c r="AL310" s="3" t="s">
        <v>83</v>
      </c>
    </row>
    <row r="311" spans="1:38" x14ac:dyDescent="0.3">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v>4821</v>
      </c>
      <c r="S311">
        <v>10077</v>
      </c>
      <c r="T311">
        <v>0</v>
      </c>
      <c r="U311" t="s">
        <v>35</v>
      </c>
      <c r="V311">
        <v>12</v>
      </c>
      <c r="W311">
        <v>3</v>
      </c>
      <c r="X311">
        <v>3</v>
      </c>
      <c r="Y311">
        <v>1</v>
      </c>
      <c r="Z311">
        <v>6</v>
      </c>
      <c r="AA311">
        <v>4</v>
      </c>
      <c r="AB311">
        <v>3</v>
      </c>
      <c r="AC311">
        <v>5</v>
      </c>
      <c r="AD311">
        <v>2</v>
      </c>
      <c r="AE311">
        <v>0</v>
      </c>
      <c r="AF311">
        <v>3</v>
      </c>
      <c r="AG311" t="s">
        <v>68</v>
      </c>
      <c r="AH311">
        <v>0</v>
      </c>
      <c r="AI311" t="s">
        <v>69</v>
      </c>
      <c r="AJ311" s="3" t="s">
        <v>82</v>
      </c>
      <c r="AK311" s="3">
        <v>1</v>
      </c>
      <c r="AL311" s="3" t="s">
        <v>83</v>
      </c>
    </row>
    <row r="312" spans="1:38" x14ac:dyDescent="0.3">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v>6410</v>
      </c>
      <c r="S312">
        <v>17822</v>
      </c>
      <c r="T312">
        <v>3</v>
      </c>
      <c r="U312" t="s">
        <v>43</v>
      </c>
      <c r="V312">
        <v>12</v>
      </c>
      <c r="W312">
        <v>3</v>
      </c>
      <c r="X312">
        <v>4</v>
      </c>
      <c r="Y312">
        <v>0</v>
      </c>
      <c r="Z312">
        <v>9</v>
      </c>
      <c r="AA312">
        <v>1</v>
      </c>
      <c r="AB312">
        <v>3</v>
      </c>
      <c r="AC312">
        <v>2</v>
      </c>
      <c r="AD312">
        <v>2</v>
      </c>
      <c r="AE312">
        <v>1</v>
      </c>
      <c r="AF312">
        <v>0</v>
      </c>
      <c r="AG312" t="s">
        <v>67</v>
      </c>
      <c r="AH312">
        <v>0</v>
      </c>
      <c r="AI312" t="s">
        <v>71</v>
      </c>
      <c r="AJ312" s="3" t="s">
        <v>83</v>
      </c>
      <c r="AK312" s="3">
        <v>2</v>
      </c>
      <c r="AL312" s="3" t="s">
        <v>84</v>
      </c>
    </row>
    <row r="313" spans="1:38" x14ac:dyDescent="0.3">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v>5210</v>
      </c>
      <c r="S313">
        <v>20308</v>
      </c>
      <c r="T313">
        <v>1</v>
      </c>
      <c r="U313" t="s">
        <v>43</v>
      </c>
      <c r="V313">
        <v>18</v>
      </c>
      <c r="W313">
        <v>3</v>
      </c>
      <c r="X313">
        <v>1</v>
      </c>
      <c r="Y313">
        <v>1</v>
      </c>
      <c r="Z313">
        <v>24</v>
      </c>
      <c r="AA313">
        <v>2</v>
      </c>
      <c r="AB313">
        <v>3</v>
      </c>
      <c r="AC313">
        <v>24</v>
      </c>
      <c r="AD313">
        <v>9</v>
      </c>
      <c r="AE313">
        <v>9</v>
      </c>
      <c r="AF313">
        <v>11</v>
      </c>
      <c r="AG313" t="s">
        <v>65</v>
      </c>
      <c r="AH313">
        <v>0</v>
      </c>
      <c r="AI313" t="s">
        <v>71</v>
      </c>
      <c r="AJ313" s="3" t="s">
        <v>83</v>
      </c>
      <c r="AK313" s="3">
        <v>1</v>
      </c>
      <c r="AL313" s="3" t="s">
        <v>83</v>
      </c>
    </row>
    <row r="314" spans="1:38" x14ac:dyDescent="0.3">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v>2695</v>
      </c>
      <c r="S314">
        <v>7747</v>
      </c>
      <c r="T314">
        <v>0</v>
      </c>
      <c r="U314" t="s">
        <v>35</v>
      </c>
      <c r="V314">
        <v>18</v>
      </c>
      <c r="W314">
        <v>3</v>
      </c>
      <c r="X314">
        <v>2</v>
      </c>
      <c r="Y314">
        <v>1</v>
      </c>
      <c r="Z314">
        <v>3</v>
      </c>
      <c r="AA314">
        <v>2</v>
      </c>
      <c r="AB314">
        <v>1</v>
      </c>
      <c r="AC314">
        <v>2</v>
      </c>
      <c r="AD314">
        <v>2</v>
      </c>
      <c r="AE314">
        <v>2</v>
      </c>
      <c r="AF314">
        <v>2</v>
      </c>
      <c r="AG314" t="s">
        <v>67</v>
      </c>
      <c r="AH314">
        <v>0</v>
      </c>
      <c r="AI314" t="s">
        <v>70</v>
      </c>
      <c r="AJ314" s="3" t="s">
        <v>82</v>
      </c>
      <c r="AK314" s="3">
        <v>2</v>
      </c>
      <c r="AL314" s="3" t="s">
        <v>84</v>
      </c>
    </row>
    <row r="315" spans="1:38" x14ac:dyDescent="0.3">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v>11878</v>
      </c>
      <c r="S315">
        <v>23364</v>
      </c>
      <c r="T315">
        <v>6</v>
      </c>
      <c r="U315" t="s">
        <v>43</v>
      </c>
      <c r="V315">
        <v>11</v>
      </c>
      <c r="W315">
        <v>3</v>
      </c>
      <c r="X315">
        <v>2</v>
      </c>
      <c r="Y315">
        <v>2</v>
      </c>
      <c r="Z315">
        <v>12</v>
      </c>
      <c r="AA315">
        <v>2</v>
      </c>
      <c r="AB315">
        <v>3</v>
      </c>
      <c r="AC315">
        <v>10</v>
      </c>
      <c r="AD315">
        <v>6</v>
      </c>
      <c r="AE315">
        <v>8</v>
      </c>
      <c r="AF315">
        <v>8</v>
      </c>
      <c r="AG315" t="s">
        <v>65</v>
      </c>
      <c r="AH315">
        <v>0</v>
      </c>
      <c r="AI315" t="s">
        <v>71</v>
      </c>
      <c r="AJ315" s="3" t="s">
        <v>83</v>
      </c>
      <c r="AK315" s="3">
        <v>1</v>
      </c>
      <c r="AL315" s="3" t="s">
        <v>83</v>
      </c>
    </row>
    <row r="316" spans="1:38" x14ac:dyDescent="0.3">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v>17068</v>
      </c>
      <c r="S316">
        <v>5355</v>
      </c>
      <c r="T316">
        <v>1</v>
      </c>
      <c r="U316" t="s">
        <v>35</v>
      </c>
      <c r="V316">
        <v>14</v>
      </c>
      <c r="W316">
        <v>3</v>
      </c>
      <c r="X316">
        <v>4</v>
      </c>
      <c r="Y316">
        <v>0</v>
      </c>
      <c r="Z316">
        <v>21</v>
      </c>
      <c r="AA316">
        <v>3</v>
      </c>
      <c r="AB316">
        <v>3</v>
      </c>
      <c r="AC316">
        <v>21</v>
      </c>
      <c r="AD316">
        <v>9</v>
      </c>
      <c r="AE316">
        <v>11</v>
      </c>
      <c r="AF316">
        <v>10</v>
      </c>
      <c r="AG316" t="s">
        <v>65</v>
      </c>
      <c r="AH316">
        <v>0</v>
      </c>
      <c r="AI316" t="s">
        <v>71</v>
      </c>
      <c r="AJ316" s="3" t="s">
        <v>83</v>
      </c>
      <c r="AK316" s="3">
        <v>2</v>
      </c>
      <c r="AL316" s="3" t="s">
        <v>84</v>
      </c>
    </row>
    <row r="317" spans="1:38" x14ac:dyDescent="0.3">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v>2455</v>
      </c>
      <c r="S317">
        <v>10675</v>
      </c>
      <c r="T317">
        <v>0</v>
      </c>
      <c r="U317" t="s">
        <v>43</v>
      </c>
      <c r="V317">
        <v>19</v>
      </c>
      <c r="W317">
        <v>3</v>
      </c>
      <c r="X317">
        <v>1</v>
      </c>
      <c r="Y317">
        <v>0</v>
      </c>
      <c r="Z317">
        <v>9</v>
      </c>
      <c r="AA317">
        <v>5</v>
      </c>
      <c r="AB317">
        <v>3</v>
      </c>
      <c r="AC317">
        <v>8</v>
      </c>
      <c r="AD317">
        <v>7</v>
      </c>
      <c r="AE317">
        <v>1</v>
      </c>
      <c r="AF317">
        <v>7</v>
      </c>
      <c r="AG317" t="s">
        <v>65</v>
      </c>
      <c r="AH317">
        <v>0</v>
      </c>
      <c r="AI317" t="s">
        <v>71</v>
      </c>
      <c r="AJ317" s="3" t="s">
        <v>82</v>
      </c>
      <c r="AK317" s="3">
        <v>0</v>
      </c>
      <c r="AL317" s="3" t="s">
        <v>83</v>
      </c>
    </row>
    <row r="318" spans="1:38" x14ac:dyDescent="0.3">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v>13964</v>
      </c>
      <c r="S318">
        <v>17810</v>
      </c>
      <c r="T318">
        <v>7</v>
      </c>
      <c r="U318" t="s">
        <v>35</v>
      </c>
      <c r="V318">
        <v>12</v>
      </c>
      <c r="W318">
        <v>3</v>
      </c>
      <c r="X318">
        <v>4</v>
      </c>
      <c r="Y318">
        <v>0</v>
      </c>
      <c r="Z318">
        <v>25</v>
      </c>
      <c r="AA318">
        <v>2</v>
      </c>
      <c r="AB318">
        <v>3</v>
      </c>
      <c r="AC318">
        <v>7</v>
      </c>
      <c r="AD318">
        <v>1</v>
      </c>
      <c r="AE318">
        <v>0</v>
      </c>
      <c r="AF318">
        <v>7</v>
      </c>
      <c r="AG318" t="s">
        <v>65</v>
      </c>
      <c r="AH318">
        <v>0</v>
      </c>
      <c r="AI318" t="s">
        <v>70</v>
      </c>
      <c r="AJ318" s="3" t="s">
        <v>84</v>
      </c>
      <c r="AK318" s="3">
        <v>1</v>
      </c>
      <c r="AL318" s="3" t="s">
        <v>83</v>
      </c>
    </row>
    <row r="319" spans="1:38" x14ac:dyDescent="0.3">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v>4941</v>
      </c>
      <c r="S319">
        <v>17747</v>
      </c>
      <c r="T319">
        <v>2</v>
      </c>
      <c r="U319" t="s">
        <v>43</v>
      </c>
      <c r="V319">
        <v>15</v>
      </c>
      <c r="W319">
        <v>3</v>
      </c>
      <c r="X319">
        <v>1</v>
      </c>
      <c r="Y319">
        <v>0</v>
      </c>
      <c r="Z319">
        <v>11</v>
      </c>
      <c r="AA319">
        <v>3</v>
      </c>
      <c r="AB319">
        <v>2</v>
      </c>
      <c r="AC319">
        <v>8</v>
      </c>
      <c r="AD319">
        <v>2</v>
      </c>
      <c r="AE319">
        <v>7</v>
      </c>
      <c r="AF319">
        <v>7</v>
      </c>
      <c r="AG319" t="s">
        <v>65</v>
      </c>
      <c r="AH319">
        <v>1</v>
      </c>
      <c r="AI319" t="s">
        <v>70</v>
      </c>
      <c r="AJ319" s="3" t="s">
        <v>83</v>
      </c>
      <c r="AK319" s="3">
        <v>1</v>
      </c>
      <c r="AL319" s="3" t="s">
        <v>83</v>
      </c>
    </row>
    <row r="320" spans="1:38" x14ac:dyDescent="0.3">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v>2478</v>
      </c>
      <c r="S320">
        <v>20938</v>
      </c>
      <c r="T320">
        <v>1</v>
      </c>
      <c r="U320" t="s">
        <v>35</v>
      </c>
      <c r="V320">
        <v>12</v>
      </c>
      <c r="W320">
        <v>3</v>
      </c>
      <c r="X320">
        <v>2</v>
      </c>
      <c r="Y320">
        <v>0</v>
      </c>
      <c r="Z320">
        <v>4</v>
      </c>
      <c r="AA320">
        <v>2</v>
      </c>
      <c r="AB320">
        <v>2</v>
      </c>
      <c r="AC320">
        <v>4</v>
      </c>
      <c r="AD320">
        <v>3</v>
      </c>
      <c r="AE320">
        <v>1</v>
      </c>
      <c r="AF320">
        <v>2</v>
      </c>
      <c r="AG320" t="s">
        <v>68</v>
      </c>
      <c r="AH320">
        <v>0</v>
      </c>
      <c r="AI320" t="s">
        <v>69</v>
      </c>
      <c r="AJ320" s="3" t="s">
        <v>83</v>
      </c>
      <c r="AK320" s="3">
        <v>2</v>
      </c>
      <c r="AL320" s="3" t="s">
        <v>84</v>
      </c>
    </row>
    <row r="321" spans="1:38" x14ac:dyDescent="0.3">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v>5228</v>
      </c>
      <c r="S321">
        <v>24624</v>
      </c>
      <c r="T321">
        <v>1</v>
      </c>
      <c r="U321" t="s">
        <v>35</v>
      </c>
      <c r="V321">
        <v>11</v>
      </c>
      <c r="W321">
        <v>3</v>
      </c>
      <c r="X321">
        <v>4</v>
      </c>
      <c r="Y321">
        <v>0</v>
      </c>
      <c r="Z321">
        <v>13</v>
      </c>
      <c r="AA321">
        <v>2</v>
      </c>
      <c r="AB321">
        <v>3</v>
      </c>
      <c r="AC321">
        <v>13</v>
      </c>
      <c r="AD321">
        <v>12</v>
      </c>
      <c r="AE321">
        <v>11</v>
      </c>
      <c r="AF321">
        <v>9</v>
      </c>
      <c r="AG321" t="s">
        <v>65</v>
      </c>
      <c r="AH321">
        <v>0</v>
      </c>
      <c r="AI321" t="s">
        <v>72</v>
      </c>
      <c r="AJ321" s="3" t="s">
        <v>83</v>
      </c>
      <c r="AK321" s="3">
        <v>2</v>
      </c>
      <c r="AL321" s="3" t="s">
        <v>84</v>
      </c>
    </row>
    <row r="322" spans="1:38" x14ac:dyDescent="0.3">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v>4478</v>
      </c>
      <c r="S322">
        <v>5242</v>
      </c>
      <c r="T322">
        <v>1</v>
      </c>
      <c r="U322" t="s">
        <v>35</v>
      </c>
      <c r="V322">
        <v>11</v>
      </c>
      <c r="W322">
        <v>3</v>
      </c>
      <c r="X322">
        <v>1</v>
      </c>
      <c r="Y322">
        <v>0</v>
      </c>
      <c r="Z322">
        <v>5</v>
      </c>
      <c r="AA322">
        <v>3</v>
      </c>
      <c r="AB322">
        <v>3</v>
      </c>
      <c r="AC322">
        <v>5</v>
      </c>
      <c r="AD322">
        <v>4</v>
      </c>
      <c r="AE322">
        <v>0</v>
      </c>
      <c r="AF322">
        <v>4</v>
      </c>
      <c r="AG322" t="s">
        <v>68</v>
      </c>
      <c r="AH322">
        <v>0</v>
      </c>
      <c r="AI322" t="s">
        <v>71</v>
      </c>
      <c r="AJ322" s="3" t="s">
        <v>84</v>
      </c>
      <c r="AK322" s="3">
        <v>1</v>
      </c>
      <c r="AL322" s="3" t="s">
        <v>83</v>
      </c>
    </row>
    <row r="323" spans="1:38" x14ac:dyDescent="0.3">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v>7547</v>
      </c>
      <c r="S323">
        <v>7143</v>
      </c>
      <c r="T323">
        <v>4</v>
      </c>
      <c r="U323" t="s">
        <v>43</v>
      </c>
      <c r="V323">
        <v>12</v>
      </c>
      <c r="W323">
        <v>3</v>
      </c>
      <c r="X323">
        <v>4</v>
      </c>
      <c r="Y323">
        <v>3</v>
      </c>
      <c r="Z323">
        <v>13</v>
      </c>
      <c r="AA323">
        <v>3</v>
      </c>
      <c r="AB323">
        <v>3</v>
      </c>
      <c r="AC323">
        <v>7</v>
      </c>
      <c r="AD323">
        <v>7</v>
      </c>
      <c r="AE323">
        <v>1</v>
      </c>
      <c r="AF323">
        <v>7</v>
      </c>
      <c r="AG323" t="s">
        <v>65</v>
      </c>
      <c r="AH323">
        <v>0</v>
      </c>
      <c r="AI323" t="s">
        <v>72</v>
      </c>
      <c r="AJ323" s="3" t="s">
        <v>82</v>
      </c>
      <c r="AK323" s="3">
        <v>0</v>
      </c>
      <c r="AL323" s="3" t="s">
        <v>83</v>
      </c>
    </row>
    <row r="324" spans="1:38" x14ac:dyDescent="0.3">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v>5055</v>
      </c>
      <c r="S324">
        <v>10557</v>
      </c>
      <c r="T324">
        <v>7</v>
      </c>
      <c r="U324" t="s">
        <v>43</v>
      </c>
      <c r="V324">
        <v>16</v>
      </c>
      <c r="W324">
        <v>3</v>
      </c>
      <c r="X324">
        <v>3</v>
      </c>
      <c r="Y324">
        <v>0</v>
      </c>
      <c r="Z324">
        <v>10</v>
      </c>
      <c r="AA324">
        <v>0</v>
      </c>
      <c r="AB324">
        <v>2</v>
      </c>
      <c r="AC324">
        <v>7</v>
      </c>
      <c r="AD324">
        <v>7</v>
      </c>
      <c r="AE324">
        <v>0</v>
      </c>
      <c r="AF324">
        <v>7</v>
      </c>
      <c r="AG324" t="s">
        <v>65</v>
      </c>
      <c r="AH324">
        <v>0</v>
      </c>
      <c r="AI324" t="s">
        <v>71</v>
      </c>
      <c r="AJ324" s="3" t="s">
        <v>82</v>
      </c>
      <c r="AK324" s="3">
        <v>0</v>
      </c>
      <c r="AL324" s="3" t="s">
        <v>83</v>
      </c>
    </row>
    <row r="325" spans="1:38" x14ac:dyDescent="0.3">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v>3464</v>
      </c>
      <c r="S325">
        <v>24737</v>
      </c>
      <c r="T325">
        <v>5</v>
      </c>
      <c r="U325" t="s">
        <v>35</v>
      </c>
      <c r="V325">
        <v>13</v>
      </c>
      <c r="W325">
        <v>3</v>
      </c>
      <c r="X325">
        <v>4</v>
      </c>
      <c r="Y325">
        <v>0</v>
      </c>
      <c r="Z325">
        <v>5</v>
      </c>
      <c r="AA325">
        <v>4</v>
      </c>
      <c r="AB325">
        <v>2</v>
      </c>
      <c r="AC325">
        <v>3</v>
      </c>
      <c r="AD325">
        <v>2</v>
      </c>
      <c r="AE325">
        <v>2</v>
      </c>
      <c r="AF325">
        <v>2</v>
      </c>
      <c r="AG325" t="s">
        <v>67</v>
      </c>
      <c r="AH325">
        <v>1</v>
      </c>
      <c r="AI325" t="s">
        <v>71</v>
      </c>
      <c r="AJ325" s="3" t="s">
        <v>82</v>
      </c>
      <c r="AK325" s="3">
        <v>2</v>
      </c>
      <c r="AL325" s="3" t="s">
        <v>84</v>
      </c>
    </row>
    <row r="326" spans="1:38" x14ac:dyDescent="0.3">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v>5775</v>
      </c>
      <c r="S326">
        <v>11934</v>
      </c>
      <c r="T326">
        <v>1</v>
      </c>
      <c r="U326" t="s">
        <v>43</v>
      </c>
      <c r="V326">
        <v>13</v>
      </c>
      <c r="W326">
        <v>3</v>
      </c>
      <c r="X326">
        <v>4</v>
      </c>
      <c r="Y326">
        <v>2</v>
      </c>
      <c r="Z326">
        <v>11</v>
      </c>
      <c r="AA326">
        <v>2</v>
      </c>
      <c r="AB326">
        <v>3</v>
      </c>
      <c r="AC326">
        <v>10</v>
      </c>
      <c r="AD326">
        <v>8</v>
      </c>
      <c r="AE326">
        <v>1</v>
      </c>
      <c r="AF326">
        <v>9</v>
      </c>
      <c r="AG326" t="s">
        <v>65</v>
      </c>
      <c r="AH326">
        <v>0</v>
      </c>
      <c r="AI326" t="s">
        <v>72</v>
      </c>
      <c r="AJ326" s="3" t="s">
        <v>82</v>
      </c>
      <c r="AK326" s="3">
        <v>0</v>
      </c>
      <c r="AL326" s="3" t="s">
        <v>83</v>
      </c>
    </row>
    <row r="327" spans="1:38" x14ac:dyDescent="0.3">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v>8943</v>
      </c>
      <c r="S327">
        <v>14034</v>
      </c>
      <c r="T327">
        <v>1</v>
      </c>
      <c r="U327" t="s">
        <v>43</v>
      </c>
      <c r="V327">
        <v>24</v>
      </c>
      <c r="W327">
        <v>4</v>
      </c>
      <c r="X327">
        <v>1</v>
      </c>
      <c r="Y327">
        <v>1</v>
      </c>
      <c r="Z327">
        <v>10</v>
      </c>
      <c r="AA327">
        <v>2</v>
      </c>
      <c r="AB327">
        <v>3</v>
      </c>
      <c r="AC327">
        <v>10</v>
      </c>
      <c r="AD327">
        <v>9</v>
      </c>
      <c r="AE327">
        <v>8</v>
      </c>
      <c r="AF327">
        <v>9</v>
      </c>
      <c r="AG327" t="s">
        <v>65</v>
      </c>
      <c r="AH327">
        <v>0</v>
      </c>
      <c r="AI327" t="s">
        <v>71</v>
      </c>
      <c r="AJ327" s="3" t="s">
        <v>84</v>
      </c>
      <c r="AK327" s="3">
        <v>0</v>
      </c>
      <c r="AL327" s="3" t="s">
        <v>83</v>
      </c>
    </row>
    <row r="328" spans="1:38" x14ac:dyDescent="0.3">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v>19272</v>
      </c>
      <c r="S328">
        <v>21141</v>
      </c>
      <c r="T328">
        <v>1</v>
      </c>
      <c r="U328" t="s">
        <v>43</v>
      </c>
      <c r="V328">
        <v>15</v>
      </c>
      <c r="W328">
        <v>3</v>
      </c>
      <c r="X328">
        <v>1</v>
      </c>
      <c r="Y328">
        <v>1</v>
      </c>
      <c r="Z328">
        <v>21</v>
      </c>
      <c r="AA328">
        <v>2</v>
      </c>
      <c r="AB328">
        <v>3</v>
      </c>
      <c r="AC328">
        <v>21</v>
      </c>
      <c r="AD328">
        <v>9</v>
      </c>
      <c r="AE328">
        <v>13</v>
      </c>
      <c r="AF328">
        <v>3</v>
      </c>
      <c r="AG328" t="s">
        <v>65</v>
      </c>
      <c r="AH328">
        <v>0</v>
      </c>
      <c r="AI328" t="s">
        <v>71</v>
      </c>
      <c r="AJ328" s="3" t="s">
        <v>82</v>
      </c>
      <c r="AK328" s="3">
        <v>0</v>
      </c>
      <c r="AL328" s="3" t="s">
        <v>83</v>
      </c>
    </row>
    <row r="329" spans="1:38" x14ac:dyDescent="0.3">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v>5238</v>
      </c>
      <c r="S329">
        <v>17778</v>
      </c>
      <c r="T329">
        <v>4</v>
      </c>
      <c r="U329" t="s">
        <v>35</v>
      </c>
      <c r="V329">
        <v>18</v>
      </c>
      <c r="W329">
        <v>3</v>
      </c>
      <c r="X329">
        <v>1</v>
      </c>
      <c r="Y329">
        <v>0</v>
      </c>
      <c r="Z329">
        <v>12</v>
      </c>
      <c r="AA329">
        <v>3</v>
      </c>
      <c r="AB329">
        <v>2</v>
      </c>
      <c r="AC329">
        <v>1</v>
      </c>
      <c r="AD329">
        <v>0</v>
      </c>
      <c r="AE329">
        <v>0</v>
      </c>
      <c r="AF329">
        <v>0</v>
      </c>
      <c r="AG329" t="s">
        <v>67</v>
      </c>
      <c r="AH329">
        <v>1</v>
      </c>
      <c r="AI329" t="s">
        <v>71</v>
      </c>
      <c r="AJ329" s="3" t="s">
        <v>84</v>
      </c>
      <c r="AK329" s="3">
        <v>2</v>
      </c>
      <c r="AL329" s="3" t="s">
        <v>84</v>
      </c>
    </row>
    <row r="330" spans="1:38" x14ac:dyDescent="0.3">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v>4682</v>
      </c>
      <c r="S330">
        <v>4317</v>
      </c>
      <c r="T330">
        <v>3</v>
      </c>
      <c r="U330" t="s">
        <v>43</v>
      </c>
      <c r="V330">
        <v>14</v>
      </c>
      <c r="W330">
        <v>3</v>
      </c>
      <c r="X330">
        <v>3</v>
      </c>
      <c r="Y330">
        <v>0</v>
      </c>
      <c r="Z330">
        <v>9</v>
      </c>
      <c r="AA330">
        <v>6</v>
      </c>
      <c r="AB330">
        <v>2</v>
      </c>
      <c r="AC330">
        <v>7</v>
      </c>
      <c r="AD330">
        <v>7</v>
      </c>
      <c r="AE330">
        <v>0</v>
      </c>
      <c r="AF330">
        <v>1</v>
      </c>
      <c r="AG330" t="s">
        <v>65</v>
      </c>
      <c r="AH330">
        <v>0</v>
      </c>
      <c r="AI330" t="s">
        <v>71</v>
      </c>
      <c r="AJ330" s="3" t="s">
        <v>82</v>
      </c>
      <c r="AK330" s="3">
        <v>0</v>
      </c>
      <c r="AL330" s="3" t="s">
        <v>83</v>
      </c>
    </row>
    <row r="331" spans="1:38" x14ac:dyDescent="0.3">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v>18300</v>
      </c>
      <c r="S331">
        <v>16375</v>
      </c>
      <c r="T331">
        <v>4</v>
      </c>
      <c r="U331" t="s">
        <v>43</v>
      </c>
      <c r="V331">
        <v>11</v>
      </c>
      <c r="W331">
        <v>3</v>
      </c>
      <c r="X331">
        <v>2</v>
      </c>
      <c r="Y331">
        <v>1</v>
      </c>
      <c r="Z331">
        <v>21</v>
      </c>
      <c r="AA331">
        <v>2</v>
      </c>
      <c r="AB331">
        <v>3</v>
      </c>
      <c r="AC331">
        <v>3</v>
      </c>
      <c r="AD331">
        <v>2</v>
      </c>
      <c r="AE331">
        <v>1</v>
      </c>
      <c r="AF331">
        <v>1</v>
      </c>
      <c r="AG331" t="s">
        <v>67</v>
      </c>
      <c r="AH331">
        <v>0</v>
      </c>
      <c r="AI331" t="s">
        <v>71</v>
      </c>
      <c r="AJ331" s="3" t="s">
        <v>84</v>
      </c>
      <c r="AK331" s="3">
        <v>1</v>
      </c>
      <c r="AL331" s="3" t="s">
        <v>83</v>
      </c>
    </row>
    <row r="332" spans="1:38" x14ac:dyDescent="0.3">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v>5257</v>
      </c>
      <c r="S332">
        <v>6227</v>
      </c>
      <c r="T332">
        <v>1</v>
      </c>
      <c r="U332" t="s">
        <v>43</v>
      </c>
      <c r="V332">
        <v>11</v>
      </c>
      <c r="W332">
        <v>3</v>
      </c>
      <c r="X332">
        <v>2</v>
      </c>
      <c r="Y332">
        <v>1</v>
      </c>
      <c r="Z332">
        <v>9</v>
      </c>
      <c r="AA332">
        <v>3</v>
      </c>
      <c r="AB332">
        <v>4</v>
      </c>
      <c r="AC332">
        <v>9</v>
      </c>
      <c r="AD332">
        <v>7</v>
      </c>
      <c r="AE332">
        <v>0</v>
      </c>
      <c r="AF332">
        <v>0</v>
      </c>
      <c r="AG332" t="s">
        <v>65</v>
      </c>
      <c r="AH332">
        <v>0</v>
      </c>
      <c r="AI332" t="s">
        <v>70</v>
      </c>
      <c r="AJ332" s="3" t="s">
        <v>84</v>
      </c>
      <c r="AK332" s="3">
        <v>0</v>
      </c>
      <c r="AL332" s="3" t="s">
        <v>83</v>
      </c>
    </row>
    <row r="333" spans="1:38" x14ac:dyDescent="0.3">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v>6349</v>
      </c>
      <c r="S333">
        <v>22107</v>
      </c>
      <c r="T333">
        <v>0</v>
      </c>
      <c r="U333" t="s">
        <v>35</v>
      </c>
      <c r="V333">
        <v>13</v>
      </c>
      <c r="W333">
        <v>3</v>
      </c>
      <c r="X333">
        <v>4</v>
      </c>
      <c r="Y333">
        <v>1</v>
      </c>
      <c r="Z333">
        <v>6</v>
      </c>
      <c r="AA333">
        <v>0</v>
      </c>
      <c r="AB333">
        <v>3</v>
      </c>
      <c r="AC333">
        <v>5</v>
      </c>
      <c r="AD333">
        <v>4</v>
      </c>
      <c r="AE333">
        <v>1</v>
      </c>
      <c r="AF333">
        <v>4</v>
      </c>
      <c r="AG333" t="s">
        <v>68</v>
      </c>
      <c r="AH333">
        <v>0</v>
      </c>
      <c r="AI333" t="s">
        <v>70</v>
      </c>
      <c r="AJ333" s="3" t="s">
        <v>83</v>
      </c>
      <c r="AK333" s="3">
        <v>2</v>
      </c>
      <c r="AL333" s="3" t="s">
        <v>84</v>
      </c>
    </row>
    <row r="334" spans="1:38" x14ac:dyDescent="0.3">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v>4869</v>
      </c>
      <c r="S334">
        <v>16885</v>
      </c>
      <c r="T334">
        <v>3</v>
      </c>
      <c r="U334" t="s">
        <v>43</v>
      </c>
      <c r="V334">
        <v>12</v>
      </c>
      <c r="W334">
        <v>3</v>
      </c>
      <c r="X334">
        <v>4</v>
      </c>
      <c r="Y334">
        <v>0</v>
      </c>
      <c r="Z334">
        <v>20</v>
      </c>
      <c r="AA334">
        <v>4</v>
      </c>
      <c r="AB334">
        <v>2</v>
      </c>
      <c r="AC334">
        <v>4</v>
      </c>
      <c r="AD334">
        <v>3</v>
      </c>
      <c r="AE334">
        <v>0</v>
      </c>
      <c r="AF334">
        <v>3</v>
      </c>
      <c r="AG334" t="s">
        <v>68</v>
      </c>
      <c r="AH334">
        <v>0</v>
      </c>
      <c r="AI334" t="s">
        <v>72</v>
      </c>
      <c r="AJ334" s="3" t="s">
        <v>84</v>
      </c>
      <c r="AK334" s="3">
        <v>0</v>
      </c>
      <c r="AL334" s="3" t="s">
        <v>83</v>
      </c>
    </row>
    <row r="335" spans="1:38" x14ac:dyDescent="0.3">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v>9985</v>
      </c>
      <c r="S335">
        <v>9262</v>
      </c>
      <c r="T335">
        <v>8</v>
      </c>
      <c r="U335" t="s">
        <v>43</v>
      </c>
      <c r="V335">
        <v>16</v>
      </c>
      <c r="W335">
        <v>3</v>
      </c>
      <c r="X335">
        <v>1</v>
      </c>
      <c r="Y335">
        <v>1</v>
      </c>
      <c r="Z335">
        <v>10</v>
      </c>
      <c r="AA335">
        <v>1</v>
      </c>
      <c r="AB335">
        <v>2</v>
      </c>
      <c r="AC335">
        <v>1</v>
      </c>
      <c r="AD335">
        <v>0</v>
      </c>
      <c r="AE335">
        <v>0</v>
      </c>
      <c r="AF335">
        <v>0</v>
      </c>
      <c r="AG335" t="s">
        <v>67</v>
      </c>
      <c r="AH335">
        <v>0</v>
      </c>
      <c r="AI335" t="s">
        <v>69</v>
      </c>
      <c r="AJ335" s="3" t="s">
        <v>83</v>
      </c>
      <c r="AK335" s="3">
        <v>2</v>
      </c>
      <c r="AL335" s="3" t="s">
        <v>84</v>
      </c>
    </row>
    <row r="336" spans="1:38" x14ac:dyDescent="0.3">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v>3697</v>
      </c>
      <c r="S336">
        <v>9278</v>
      </c>
      <c r="T336">
        <v>9</v>
      </c>
      <c r="U336" t="s">
        <v>43</v>
      </c>
      <c r="V336">
        <v>14</v>
      </c>
      <c r="W336">
        <v>3</v>
      </c>
      <c r="X336">
        <v>1</v>
      </c>
      <c r="Y336">
        <v>2</v>
      </c>
      <c r="Z336">
        <v>12</v>
      </c>
      <c r="AA336">
        <v>3</v>
      </c>
      <c r="AB336">
        <v>3</v>
      </c>
      <c r="AC336">
        <v>10</v>
      </c>
      <c r="AD336">
        <v>9</v>
      </c>
      <c r="AE336">
        <v>9</v>
      </c>
      <c r="AF336">
        <v>8</v>
      </c>
      <c r="AG336" t="s">
        <v>65</v>
      </c>
      <c r="AH336">
        <v>0</v>
      </c>
      <c r="AI336" t="s">
        <v>70</v>
      </c>
      <c r="AJ336" s="3" t="s">
        <v>82</v>
      </c>
      <c r="AK336" s="3">
        <v>0</v>
      </c>
      <c r="AL336" s="3" t="s">
        <v>83</v>
      </c>
    </row>
    <row r="337" spans="1:38" x14ac:dyDescent="0.3">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v>7457</v>
      </c>
      <c r="S337">
        <v>13273</v>
      </c>
      <c r="T337">
        <v>2</v>
      </c>
      <c r="U337" t="s">
        <v>35</v>
      </c>
      <c r="V337">
        <v>22</v>
      </c>
      <c r="W337">
        <v>4</v>
      </c>
      <c r="X337">
        <v>3</v>
      </c>
      <c r="Y337">
        <v>3</v>
      </c>
      <c r="Z337">
        <v>6</v>
      </c>
      <c r="AA337">
        <v>2</v>
      </c>
      <c r="AB337">
        <v>2</v>
      </c>
      <c r="AC337">
        <v>4</v>
      </c>
      <c r="AD337">
        <v>3</v>
      </c>
      <c r="AE337">
        <v>0</v>
      </c>
      <c r="AF337">
        <v>2</v>
      </c>
      <c r="AG337" t="s">
        <v>68</v>
      </c>
      <c r="AH337">
        <v>0</v>
      </c>
      <c r="AI337" t="s">
        <v>70</v>
      </c>
      <c r="AJ337" s="3" t="s">
        <v>82</v>
      </c>
      <c r="AK337" s="3">
        <v>1</v>
      </c>
      <c r="AL337" s="3" t="s">
        <v>83</v>
      </c>
    </row>
    <row r="338" spans="1:38" x14ac:dyDescent="0.3">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v>2119</v>
      </c>
      <c r="S338">
        <v>4759</v>
      </c>
      <c r="T338">
        <v>1</v>
      </c>
      <c r="U338" t="s">
        <v>35</v>
      </c>
      <c r="V338">
        <v>11</v>
      </c>
      <c r="W338">
        <v>3</v>
      </c>
      <c r="X338">
        <v>4</v>
      </c>
      <c r="Y338">
        <v>0</v>
      </c>
      <c r="Z338">
        <v>7</v>
      </c>
      <c r="AA338">
        <v>4</v>
      </c>
      <c r="AB338">
        <v>2</v>
      </c>
      <c r="AC338">
        <v>7</v>
      </c>
      <c r="AD338">
        <v>7</v>
      </c>
      <c r="AE338">
        <v>0</v>
      </c>
      <c r="AF338">
        <v>7</v>
      </c>
      <c r="AG338" t="s">
        <v>65</v>
      </c>
      <c r="AH338">
        <v>1</v>
      </c>
      <c r="AI338" t="s">
        <v>70</v>
      </c>
      <c r="AJ338" s="3" t="s">
        <v>83</v>
      </c>
      <c r="AK338" s="3">
        <v>2</v>
      </c>
      <c r="AL338" s="3" t="s">
        <v>84</v>
      </c>
    </row>
    <row r="339" spans="1:38" x14ac:dyDescent="0.3">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v>3983</v>
      </c>
      <c r="S339">
        <v>7621</v>
      </c>
      <c r="T339">
        <v>0</v>
      </c>
      <c r="U339" t="s">
        <v>43</v>
      </c>
      <c r="V339">
        <v>17</v>
      </c>
      <c r="W339">
        <v>3</v>
      </c>
      <c r="X339">
        <v>3</v>
      </c>
      <c r="Y339">
        <v>0</v>
      </c>
      <c r="Z339">
        <v>4</v>
      </c>
      <c r="AA339">
        <v>2</v>
      </c>
      <c r="AB339">
        <v>3</v>
      </c>
      <c r="AC339">
        <v>3</v>
      </c>
      <c r="AD339">
        <v>2</v>
      </c>
      <c r="AE339">
        <v>2</v>
      </c>
      <c r="AF339">
        <v>2</v>
      </c>
      <c r="AG339" t="s">
        <v>67</v>
      </c>
      <c r="AH339">
        <v>0</v>
      </c>
      <c r="AI339" t="s">
        <v>72</v>
      </c>
      <c r="AJ339" s="3" t="s">
        <v>82</v>
      </c>
      <c r="AK339" s="3">
        <v>1</v>
      </c>
      <c r="AL339" s="3" t="s">
        <v>83</v>
      </c>
    </row>
    <row r="340" spans="1:38" x14ac:dyDescent="0.3">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v>6118</v>
      </c>
      <c r="S340">
        <v>5431</v>
      </c>
      <c r="T340">
        <v>1</v>
      </c>
      <c r="U340" t="s">
        <v>43</v>
      </c>
      <c r="V340">
        <v>13</v>
      </c>
      <c r="W340">
        <v>3</v>
      </c>
      <c r="X340">
        <v>3</v>
      </c>
      <c r="Y340">
        <v>3</v>
      </c>
      <c r="Z340">
        <v>10</v>
      </c>
      <c r="AA340">
        <v>2</v>
      </c>
      <c r="AB340">
        <v>3</v>
      </c>
      <c r="AC340">
        <v>10</v>
      </c>
      <c r="AD340">
        <v>9</v>
      </c>
      <c r="AE340">
        <v>1</v>
      </c>
      <c r="AF340">
        <v>2</v>
      </c>
      <c r="AG340" t="s">
        <v>65</v>
      </c>
      <c r="AH340">
        <v>0</v>
      </c>
      <c r="AI340" t="s">
        <v>72</v>
      </c>
      <c r="AJ340" s="3" t="s">
        <v>84</v>
      </c>
      <c r="AK340" s="3">
        <v>0</v>
      </c>
      <c r="AL340" s="3" t="s">
        <v>83</v>
      </c>
    </row>
    <row r="341" spans="1:38" x14ac:dyDescent="0.3">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v>6214</v>
      </c>
      <c r="S341">
        <v>3415</v>
      </c>
      <c r="T341">
        <v>1</v>
      </c>
      <c r="U341" t="s">
        <v>43</v>
      </c>
      <c r="V341">
        <v>18</v>
      </c>
      <c r="W341">
        <v>3</v>
      </c>
      <c r="X341">
        <v>1</v>
      </c>
      <c r="Y341">
        <v>1</v>
      </c>
      <c r="Z341">
        <v>8</v>
      </c>
      <c r="AA341">
        <v>3</v>
      </c>
      <c r="AB341">
        <v>3</v>
      </c>
      <c r="AC341">
        <v>8</v>
      </c>
      <c r="AD341">
        <v>7</v>
      </c>
      <c r="AE341">
        <v>0</v>
      </c>
      <c r="AF341">
        <v>7</v>
      </c>
      <c r="AG341" t="s">
        <v>65</v>
      </c>
      <c r="AH341">
        <v>0</v>
      </c>
      <c r="AI341" t="s">
        <v>71</v>
      </c>
      <c r="AJ341" s="3" t="s">
        <v>83</v>
      </c>
      <c r="AK341" s="3">
        <v>1</v>
      </c>
      <c r="AL341" s="3" t="s">
        <v>83</v>
      </c>
    </row>
    <row r="342" spans="1:38" x14ac:dyDescent="0.3">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v>6347</v>
      </c>
      <c r="S342">
        <v>23177</v>
      </c>
      <c r="T342">
        <v>7</v>
      </c>
      <c r="U342" t="s">
        <v>43</v>
      </c>
      <c r="V342">
        <v>16</v>
      </c>
      <c r="W342">
        <v>3</v>
      </c>
      <c r="X342">
        <v>3</v>
      </c>
      <c r="Y342">
        <v>2</v>
      </c>
      <c r="Z342">
        <v>8</v>
      </c>
      <c r="AA342">
        <v>2</v>
      </c>
      <c r="AB342">
        <v>2</v>
      </c>
      <c r="AC342">
        <v>6</v>
      </c>
      <c r="AD342">
        <v>2</v>
      </c>
      <c r="AE342">
        <v>0</v>
      </c>
      <c r="AF342">
        <v>4</v>
      </c>
      <c r="AG342" t="s">
        <v>65</v>
      </c>
      <c r="AH342">
        <v>0</v>
      </c>
      <c r="AI342" t="s">
        <v>72</v>
      </c>
      <c r="AJ342" s="3" t="s">
        <v>82</v>
      </c>
      <c r="AK342" s="3">
        <v>0</v>
      </c>
      <c r="AL342" s="3" t="s">
        <v>83</v>
      </c>
    </row>
    <row r="343" spans="1:38" x14ac:dyDescent="0.3">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v>11510</v>
      </c>
      <c r="S343">
        <v>15682</v>
      </c>
      <c r="T343">
        <v>0</v>
      </c>
      <c r="U343" t="s">
        <v>35</v>
      </c>
      <c r="V343">
        <v>14</v>
      </c>
      <c r="W343">
        <v>3</v>
      </c>
      <c r="X343">
        <v>2</v>
      </c>
      <c r="Y343">
        <v>1</v>
      </c>
      <c r="Z343">
        <v>12</v>
      </c>
      <c r="AA343">
        <v>3</v>
      </c>
      <c r="AB343">
        <v>3</v>
      </c>
      <c r="AC343">
        <v>11</v>
      </c>
      <c r="AD343">
        <v>10</v>
      </c>
      <c r="AE343">
        <v>2</v>
      </c>
      <c r="AF343">
        <v>9</v>
      </c>
      <c r="AG343" t="s">
        <v>65</v>
      </c>
      <c r="AH343">
        <v>0</v>
      </c>
      <c r="AI343" t="s">
        <v>71</v>
      </c>
      <c r="AJ343" s="3" t="s">
        <v>82</v>
      </c>
      <c r="AK343" s="3">
        <v>1</v>
      </c>
      <c r="AL343" s="3" t="s">
        <v>83</v>
      </c>
    </row>
    <row r="344" spans="1:38" x14ac:dyDescent="0.3">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v>7143</v>
      </c>
      <c r="S344">
        <v>25713</v>
      </c>
      <c r="T344">
        <v>1</v>
      </c>
      <c r="U344" t="s">
        <v>35</v>
      </c>
      <c r="V344">
        <v>14</v>
      </c>
      <c r="W344">
        <v>3</v>
      </c>
      <c r="X344">
        <v>3</v>
      </c>
      <c r="Y344">
        <v>0</v>
      </c>
      <c r="Z344">
        <v>11</v>
      </c>
      <c r="AA344">
        <v>2</v>
      </c>
      <c r="AB344">
        <v>2</v>
      </c>
      <c r="AC344">
        <v>11</v>
      </c>
      <c r="AD344">
        <v>9</v>
      </c>
      <c r="AE344">
        <v>4</v>
      </c>
      <c r="AF344">
        <v>10</v>
      </c>
      <c r="AG344" t="s">
        <v>65</v>
      </c>
      <c r="AH344">
        <v>0</v>
      </c>
      <c r="AI344" t="s">
        <v>71</v>
      </c>
      <c r="AJ344" s="3" t="s">
        <v>82</v>
      </c>
      <c r="AK344" s="3">
        <v>1</v>
      </c>
      <c r="AL344" s="3" t="s">
        <v>83</v>
      </c>
    </row>
    <row r="345" spans="1:38" x14ac:dyDescent="0.3">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v>8268</v>
      </c>
      <c r="S345">
        <v>11866</v>
      </c>
      <c r="T345">
        <v>1</v>
      </c>
      <c r="U345" t="s">
        <v>35</v>
      </c>
      <c r="V345">
        <v>14</v>
      </c>
      <c r="W345">
        <v>3</v>
      </c>
      <c r="X345">
        <v>1</v>
      </c>
      <c r="Y345">
        <v>2</v>
      </c>
      <c r="Z345">
        <v>7</v>
      </c>
      <c r="AA345">
        <v>2</v>
      </c>
      <c r="AB345">
        <v>3</v>
      </c>
      <c r="AC345">
        <v>7</v>
      </c>
      <c r="AD345">
        <v>7</v>
      </c>
      <c r="AE345">
        <v>1</v>
      </c>
      <c r="AF345">
        <v>7</v>
      </c>
      <c r="AG345" t="s">
        <v>65</v>
      </c>
      <c r="AH345">
        <v>0</v>
      </c>
      <c r="AI345" t="s">
        <v>71</v>
      </c>
      <c r="AJ345" s="3" t="s">
        <v>83</v>
      </c>
      <c r="AK345" s="3">
        <v>2</v>
      </c>
      <c r="AL345" s="3" t="s">
        <v>84</v>
      </c>
    </row>
    <row r="346" spans="1:38" x14ac:dyDescent="0.3">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v>8095</v>
      </c>
      <c r="S346">
        <v>18264</v>
      </c>
      <c r="T346">
        <v>0</v>
      </c>
      <c r="U346" t="s">
        <v>43</v>
      </c>
      <c r="V346">
        <v>13</v>
      </c>
      <c r="W346">
        <v>3</v>
      </c>
      <c r="X346">
        <v>4</v>
      </c>
      <c r="Y346">
        <v>0</v>
      </c>
      <c r="Z346">
        <v>17</v>
      </c>
      <c r="AA346">
        <v>5</v>
      </c>
      <c r="AB346">
        <v>3</v>
      </c>
      <c r="AC346">
        <v>16</v>
      </c>
      <c r="AD346">
        <v>6</v>
      </c>
      <c r="AE346">
        <v>0</v>
      </c>
      <c r="AF346">
        <v>13</v>
      </c>
      <c r="AG346" t="s">
        <v>65</v>
      </c>
      <c r="AH346">
        <v>0</v>
      </c>
      <c r="AI346" t="s">
        <v>72</v>
      </c>
      <c r="AJ346" s="3" t="s">
        <v>83</v>
      </c>
      <c r="AK346" s="3">
        <v>1</v>
      </c>
      <c r="AL346" s="3" t="s">
        <v>83</v>
      </c>
    </row>
    <row r="347" spans="1:38" x14ac:dyDescent="0.3">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v>2904</v>
      </c>
      <c r="S347">
        <v>16092</v>
      </c>
      <c r="T347">
        <v>1</v>
      </c>
      <c r="U347" t="s">
        <v>43</v>
      </c>
      <c r="V347">
        <v>12</v>
      </c>
      <c r="W347">
        <v>3</v>
      </c>
      <c r="X347">
        <v>3</v>
      </c>
      <c r="Y347">
        <v>2</v>
      </c>
      <c r="Z347">
        <v>4</v>
      </c>
      <c r="AA347">
        <v>2</v>
      </c>
      <c r="AB347">
        <v>2</v>
      </c>
      <c r="AC347">
        <v>4</v>
      </c>
      <c r="AD347">
        <v>2</v>
      </c>
      <c r="AE347">
        <v>0</v>
      </c>
      <c r="AF347">
        <v>2</v>
      </c>
      <c r="AG347" t="s">
        <v>68</v>
      </c>
      <c r="AH347">
        <v>0</v>
      </c>
      <c r="AI347" t="s">
        <v>71</v>
      </c>
      <c r="AJ347" s="3" t="s">
        <v>82</v>
      </c>
      <c r="AK347" s="3">
        <v>0</v>
      </c>
      <c r="AL347" s="3" t="s">
        <v>83</v>
      </c>
    </row>
    <row r="348" spans="1:38" x14ac:dyDescent="0.3">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v>6032</v>
      </c>
      <c r="S348">
        <v>10110</v>
      </c>
      <c r="T348">
        <v>6</v>
      </c>
      <c r="U348" t="s">
        <v>35</v>
      </c>
      <c r="V348">
        <v>15</v>
      </c>
      <c r="W348">
        <v>3</v>
      </c>
      <c r="X348">
        <v>4</v>
      </c>
      <c r="Y348">
        <v>0</v>
      </c>
      <c r="Z348">
        <v>8</v>
      </c>
      <c r="AA348">
        <v>3</v>
      </c>
      <c r="AB348">
        <v>3</v>
      </c>
      <c r="AC348">
        <v>5</v>
      </c>
      <c r="AD348">
        <v>4</v>
      </c>
      <c r="AE348">
        <v>1</v>
      </c>
      <c r="AF348">
        <v>2</v>
      </c>
      <c r="AG348" t="s">
        <v>68</v>
      </c>
      <c r="AH348">
        <v>0</v>
      </c>
      <c r="AI348" t="s">
        <v>72</v>
      </c>
      <c r="AJ348" s="3" t="s">
        <v>83</v>
      </c>
      <c r="AK348" s="3">
        <v>2</v>
      </c>
      <c r="AL348" s="3" t="s">
        <v>84</v>
      </c>
    </row>
    <row r="349" spans="1:38" x14ac:dyDescent="0.3">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v>2976</v>
      </c>
      <c r="S349">
        <v>25751</v>
      </c>
      <c r="T349">
        <v>3</v>
      </c>
      <c r="U349" t="s">
        <v>43</v>
      </c>
      <c r="V349">
        <v>19</v>
      </c>
      <c r="W349">
        <v>3</v>
      </c>
      <c r="X349">
        <v>1</v>
      </c>
      <c r="Y349">
        <v>0</v>
      </c>
      <c r="Z349">
        <v>5</v>
      </c>
      <c r="AA349">
        <v>3</v>
      </c>
      <c r="AB349">
        <v>3</v>
      </c>
      <c r="AC349">
        <v>0</v>
      </c>
      <c r="AD349">
        <v>0</v>
      </c>
      <c r="AE349">
        <v>0</v>
      </c>
      <c r="AF349">
        <v>0</v>
      </c>
      <c r="AG349" t="s">
        <v>66</v>
      </c>
      <c r="AH349">
        <v>0</v>
      </c>
      <c r="AI349" t="s">
        <v>70</v>
      </c>
      <c r="AJ349" s="3" t="s">
        <v>84</v>
      </c>
      <c r="AK349" s="3">
        <v>1</v>
      </c>
      <c r="AL349" s="3" t="s">
        <v>83</v>
      </c>
    </row>
    <row r="350" spans="1:38" x14ac:dyDescent="0.3">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v>15992</v>
      </c>
      <c r="S350">
        <v>15901</v>
      </c>
      <c r="T350">
        <v>2</v>
      </c>
      <c r="U350" t="s">
        <v>43</v>
      </c>
      <c r="V350">
        <v>14</v>
      </c>
      <c r="W350">
        <v>3</v>
      </c>
      <c r="X350">
        <v>2</v>
      </c>
      <c r="Y350">
        <v>0</v>
      </c>
      <c r="Z350">
        <v>16</v>
      </c>
      <c r="AA350">
        <v>2</v>
      </c>
      <c r="AB350">
        <v>3</v>
      </c>
      <c r="AC350">
        <v>1</v>
      </c>
      <c r="AD350">
        <v>0</v>
      </c>
      <c r="AE350">
        <v>0</v>
      </c>
      <c r="AF350">
        <v>0</v>
      </c>
      <c r="AG350" t="s">
        <v>67</v>
      </c>
      <c r="AH350">
        <v>0</v>
      </c>
      <c r="AI350" t="s">
        <v>70</v>
      </c>
      <c r="AJ350" s="3" t="s">
        <v>82</v>
      </c>
      <c r="AK350" s="3">
        <v>1</v>
      </c>
      <c r="AL350" s="3" t="s">
        <v>83</v>
      </c>
    </row>
    <row r="351" spans="1:38" x14ac:dyDescent="0.3">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v>4649</v>
      </c>
      <c r="S351">
        <v>16928</v>
      </c>
      <c r="T351">
        <v>1</v>
      </c>
      <c r="U351" t="s">
        <v>43</v>
      </c>
      <c r="V351">
        <v>14</v>
      </c>
      <c r="W351">
        <v>3</v>
      </c>
      <c r="X351">
        <v>1</v>
      </c>
      <c r="Y351">
        <v>1</v>
      </c>
      <c r="Z351">
        <v>4</v>
      </c>
      <c r="AA351">
        <v>3</v>
      </c>
      <c r="AB351">
        <v>2</v>
      </c>
      <c r="AC351">
        <v>4</v>
      </c>
      <c r="AD351">
        <v>3</v>
      </c>
      <c r="AE351">
        <v>0</v>
      </c>
      <c r="AF351">
        <v>2</v>
      </c>
      <c r="AG351" t="s">
        <v>68</v>
      </c>
      <c r="AH351">
        <v>0</v>
      </c>
      <c r="AI351" t="s">
        <v>70</v>
      </c>
      <c r="AJ351" s="3" t="s">
        <v>84</v>
      </c>
      <c r="AK351" s="3">
        <v>0</v>
      </c>
      <c r="AL351" s="3" t="s">
        <v>83</v>
      </c>
    </row>
    <row r="352" spans="1:38" x14ac:dyDescent="0.3">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v>2696</v>
      </c>
      <c r="S352">
        <v>24017</v>
      </c>
      <c r="T352">
        <v>0</v>
      </c>
      <c r="U352" t="s">
        <v>35</v>
      </c>
      <c r="V352">
        <v>11</v>
      </c>
      <c r="W352">
        <v>3</v>
      </c>
      <c r="X352">
        <v>3</v>
      </c>
      <c r="Y352">
        <v>1</v>
      </c>
      <c r="Z352">
        <v>4</v>
      </c>
      <c r="AA352">
        <v>5</v>
      </c>
      <c r="AB352">
        <v>3</v>
      </c>
      <c r="AC352">
        <v>3</v>
      </c>
      <c r="AD352">
        <v>2</v>
      </c>
      <c r="AE352">
        <v>1</v>
      </c>
      <c r="AF352">
        <v>0</v>
      </c>
      <c r="AG352" t="s">
        <v>67</v>
      </c>
      <c r="AH352">
        <v>0</v>
      </c>
      <c r="AI352" t="s">
        <v>72</v>
      </c>
      <c r="AJ352" s="3" t="s">
        <v>84</v>
      </c>
      <c r="AK352" s="3">
        <v>2</v>
      </c>
      <c r="AL352" s="3" t="s">
        <v>84</v>
      </c>
    </row>
    <row r="353" spans="1:38" x14ac:dyDescent="0.3">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v>2370</v>
      </c>
      <c r="S353">
        <v>3956</v>
      </c>
      <c r="T353">
        <v>1</v>
      </c>
      <c r="U353" t="s">
        <v>43</v>
      </c>
      <c r="V353">
        <v>13</v>
      </c>
      <c r="W353">
        <v>3</v>
      </c>
      <c r="X353">
        <v>3</v>
      </c>
      <c r="Y353">
        <v>1</v>
      </c>
      <c r="Z353">
        <v>8</v>
      </c>
      <c r="AA353">
        <v>4</v>
      </c>
      <c r="AB353">
        <v>3</v>
      </c>
      <c r="AC353">
        <v>8</v>
      </c>
      <c r="AD353">
        <v>0</v>
      </c>
      <c r="AE353">
        <v>0</v>
      </c>
      <c r="AF353">
        <v>7</v>
      </c>
      <c r="AG353" t="s">
        <v>65</v>
      </c>
      <c r="AH353">
        <v>0</v>
      </c>
      <c r="AI353" t="s">
        <v>70</v>
      </c>
      <c r="AJ353" s="3" t="s">
        <v>83</v>
      </c>
      <c r="AK353" s="3">
        <v>1</v>
      </c>
      <c r="AL353" s="3" t="s">
        <v>83</v>
      </c>
    </row>
    <row r="354" spans="1:38" x14ac:dyDescent="0.3">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v>12504</v>
      </c>
      <c r="S354">
        <v>23978</v>
      </c>
      <c r="T354">
        <v>3</v>
      </c>
      <c r="U354" t="s">
        <v>43</v>
      </c>
      <c r="V354">
        <v>21</v>
      </c>
      <c r="W354">
        <v>4</v>
      </c>
      <c r="X354">
        <v>2</v>
      </c>
      <c r="Y354">
        <v>1</v>
      </c>
      <c r="Z354">
        <v>15</v>
      </c>
      <c r="AA354">
        <v>3</v>
      </c>
      <c r="AB354">
        <v>1</v>
      </c>
      <c r="AC354">
        <v>0</v>
      </c>
      <c r="AD354">
        <v>0</v>
      </c>
      <c r="AE354">
        <v>0</v>
      </c>
      <c r="AF354">
        <v>0</v>
      </c>
      <c r="AG354" t="s">
        <v>66</v>
      </c>
      <c r="AH354">
        <v>0</v>
      </c>
      <c r="AI354" t="s">
        <v>71</v>
      </c>
      <c r="AJ354" s="3" t="s">
        <v>84</v>
      </c>
      <c r="AK354" s="3">
        <v>1</v>
      </c>
      <c r="AL354" s="3" t="s">
        <v>83</v>
      </c>
    </row>
    <row r="355" spans="1:38" x14ac:dyDescent="0.3">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v>5974</v>
      </c>
      <c r="S355">
        <v>17001</v>
      </c>
      <c r="T355">
        <v>4</v>
      </c>
      <c r="U355" t="s">
        <v>35</v>
      </c>
      <c r="V355">
        <v>13</v>
      </c>
      <c r="W355">
        <v>3</v>
      </c>
      <c r="X355">
        <v>1</v>
      </c>
      <c r="Y355">
        <v>2</v>
      </c>
      <c r="Z355">
        <v>13</v>
      </c>
      <c r="AA355">
        <v>2</v>
      </c>
      <c r="AB355">
        <v>3</v>
      </c>
      <c r="AC355">
        <v>7</v>
      </c>
      <c r="AD355">
        <v>7</v>
      </c>
      <c r="AE355">
        <v>6</v>
      </c>
      <c r="AF355">
        <v>7</v>
      </c>
      <c r="AG355" t="s">
        <v>65</v>
      </c>
      <c r="AH355">
        <v>0</v>
      </c>
      <c r="AI355" t="s">
        <v>70</v>
      </c>
      <c r="AJ355" s="3" t="s">
        <v>83</v>
      </c>
      <c r="AK355" s="3">
        <v>2</v>
      </c>
      <c r="AL355" s="3" t="s">
        <v>84</v>
      </c>
    </row>
    <row r="356" spans="1:38" x14ac:dyDescent="0.3">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v>4736</v>
      </c>
      <c r="S356">
        <v>6069</v>
      </c>
      <c r="T356">
        <v>7</v>
      </c>
      <c r="U356" t="s">
        <v>35</v>
      </c>
      <c r="V356">
        <v>12</v>
      </c>
      <c r="W356">
        <v>3</v>
      </c>
      <c r="X356">
        <v>2</v>
      </c>
      <c r="Y356">
        <v>1</v>
      </c>
      <c r="Z356">
        <v>4</v>
      </c>
      <c r="AA356">
        <v>2</v>
      </c>
      <c r="AB356">
        <v>4</v>
      </c>
      <c r="AC356">
        <v>2</v>
      </c>
      <c r="AD356">
        <v>2</v>
      </c>
      <c r="AE356">
        <v>2</v>
      </c>
      <c r="AF356">
        <v>2</v>
      </c>
      <c r="AG356" t="s">
        <v>67</v>
      </c>
      <c r="AH356">
        <v>0</v>
      </c>
      <c r="AI356" t="s">
        <v>71</v>
      </c>
      <c r="AJ356" s="3" t="s">
        <v>84</v>
      </c>
      <c r="AK356" s="3">
        <v>2</v>
      </c>
      <c r="AL356" s="3" t="s">
        <v>84</v>
      </c>
    </row>
    <row r="357" spans="1:38" x14ac:dyDescent="0.3">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v>5296</v>
      </c>
      <c r="S357">
        <v>20156</v>
      </c>
      <c r="T357">
        <v>1</v>
      </c>
      <c r="U357" t="s">
        <v>43</v>
      </c>
      <c r="V357">
        <v>17</v>
      </c>
      <c r="W357">
        <v>3</v>
      </c>
      <c r="X357">
        <v>2</v>
      </c>
      <c r="Y357">
        <v>1</v>
      </c>
      <c r="Z357">
        <v>8</v>
      </c>
      <c r="AA357">
        <v>3</v>
      </c>
      <c r="AB357">
        <v>3</v>
      </c>
      <c r="AC357">
        <v>8</v>
      </c>
      <c r="AD357">
        <v>7</v>
      </c>
      <c r="AE357">
        <v>7</v>
      </c>
      <c r="AF357">
        <v>7</v>
      </c>
      <c r="AG357" t="s">
        <v>65</v>
      </c>
      <c r="AH357">
        <v>0</v>
      </c>
      <c r="AI357" t="s">
        <v>71</v>
      </c>
      <c r="AJ357" s="3" t="s">
        <v>84</v>
      </c>
      <c r="AK357" s="3">
        <v>0</v>
      </c>
      <c r="AL357" s="3" t="s">
        <v>83</v>
      </c>
    </row>
    <row r="358" spans="1:38" x14ac:dyDescent="0.3">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v>6781</v>
      </c>
      <c r="S358">
        <v>17078</v>
      </c>
      <c r="T358">
        <v>3</v>
      </c>
      <c r="U358" t="s">
        <v>43</v>
      </c>
      <c r="V358">
        <v>23</v>
      </c>
      <c r="W358">
        <v>4</v>
      </c>
      <c r="X358">
        <v>2</v>
      </c>
      <c r="Y358">
        <v>0</v>
      </c>
      <c r="Z358">
        <v>14</v>
      </c>
      <c r="AA358">
        <v>6</v>
      </c>
      <c r="AB358">
        <v>3</v>
      </c>
      <c r="AC358">
        <v>1</v>
      </c>
      <c r="AD358">
        <v>0</v>
      </c>
      <c r="AE358">
        <v>0</v>
      </c>
      <c r="AF358">
        <v>0</v>
      </c>
      <c r="AG358" t="s">
        <v>67</v>
      </c>
      <c r="AH358">
        <v>0</v>
      </c>
      <c r="AI358" t="s">
        <v>72</v>
      </c>
      <c r="AJ358" s="3" t="s">
        <v>82</v>
      </c>
      <c r="AK358" s="3">
        <v>1</v>
      </c>
      <c r="AL358" s="3" t="s">
        <v>83</v>
      </c>
    </row>
    <row r="359" spans="1:38" x14ac:dyDescent="0.3">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v>2174</v>
      </c>
      <c r="S359">
        <v>9150</v>
      </c>
      <c r="T359">
        <v>1</v>
      </c>
      <c r="U359" t="s">
        <v>35</v>
      </c>
      <c r="V359">
        <v>11</v>
      </c>
      <c r="W359">
        <v>3</v>
      </c>
      <c r="X359">
        <v>3</v>
      </c>
      <c r="Y359">
        <v>0</v>
      </c>
      <c r="Z359">
        <v>3</v>
      </c>
      <c r="AA359">
        <v>3</v>
      </c>
      <c r="AB359">
        <v>3</v>
      </c>
      <c r="AC359">
        <v>3</v>
      </c>
      <c r="AD359">
        <v>2</v>
      </c>
      <c r="AE359">
        <v>1</v>
      </c>
      <c r="AF359">
        <v>2</v>
      </c>
      <c r="AG359" t="s">
        <v>67</v>
      </c>
      <c r="AH359">
        <v>1</v>
      </c>
      <c r="AI359" t="s">
        <v>70</v>
      </c>
      <c r="AJ359" s="3" t="s">
        <v>83</v>
      </c>
      <c r="AK359" s="3">
        <v>3</v>
      </c>
      <c r="AL359" s="3" t="s">
        <v>82</v>
      </c>
    </row>
    <row r="360" spans="1:38" x14ac:dyDescent="0.3">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v>6653</v>
      </c>
      <c r="S360">
        <v>15276</v>
      </c>
      <c r="T360">
        <v>4</v>
      </c>
      <c r="U360" t="s">
        <v>43</v>
      </c>
      <c r="V360">
        <v>15</v>
      </c>
      <c r="W360">
        <v>3</v>
      </c>
      <c r="X360">
        <v>2</v>
      </c>
      <c r="Y360">
        <v>0</v>
      </c>
      <c r="Z360">
        <v>7</v>
      </c>
      <c r="AA360">
        <v>6</v>
      </c>
      <c r="AB360">
        <v>3</v>
      </c>
      <c r="AC360">
        <v>1</v>
      </c>
      <c r="AD360">
        <v>0</v>
      </c>
      <c r="AE360">
        <v>0</v>
      </c>
      <c r="AF360">
        <v>0</v>
      </c>
      <c r="AG360" t="s">
        <v>67</v>
      </c>
      <c r="AH360">
        <v>0</v>
      </c>
      <c r="AI360" t="s">
        <v>72</v>
      </c>
      <c r="AJ360" s="3" t="s">
        <v>82</v>
      </c>
      <c r="AK360" s="3">
        <v>1</v>
      </c>
      <c r="AL360" s="3" t="s">
        <v>83</v>
      </c>
    </row>
    <row r="361" spans="1:38" x14ac:dyDescent="0.3">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v>9699</v>
      </c>
      <c r="S361">
        <v>7246</v>
      </c>
      <c r="T361">
        <v>4</v>
      </c>
      <c r="U361" t="s">
        <v>43</v>
      </c>
      <c r="V361">
        <v>11</v>
      </c>
      <c r="W361">
        <v>3</v>
      </c>
      <c r="X361">
        <v>1</v>
      </c>
      <c r="Y361">
        <v>1</v>
      </c>
      <c r="Z361">
        <v>16</v>
      </c>
      <c r="AA361">
        <v>2</v>
      </c>
      <c r="AB361">
        <v>3</v>
      </c>
      <c r="AC361">
        <v>13</v>
      </c>
      <c r="AD361">
        <v>9</v>
      </c>
      <c r="AE361">
        <v>1</v>
      </c>
      <c r="AF361">
        <v>12</v>
      </c>
      <c r="AG361" t="s">
        <v>65</v>
      </c>
      <c r="AH361">
        <v>0</v>
      </c>
      <c r="AI361" t="s">
        <v>71</v>
      </c>
      <c r="AJ361" s="3" t="s">
        <v>82</v>
      </c>
      <c r="AK361" s="3">
        <v>0</v>
      </c>
      <c r="AL361" s="3" t="s">
        <v>83</v>
      </c>
    </row>
    <row r="362" spans="1:38" x14ac:dyDescent="0.3">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v>6755</v>
      </c>
      <c r="S362">
        <v>2967</v>
      </c>
      <c r="T362">
        <v>2</v>
      </c>
      <c r="U362" t="s">
        <v>43</v>
      </c>
      <c r="V362">
        <v>11</v>
      </c>
      <c r="W362">
        <v>3</v>
      </c>
      <c r="X362">
        <v>3</v>
      </c>
      <c r="Y362">
        <v>0</v>
      </c>
      <c r="Z362">
        <v>15</v>
      </c>
      <c r="AA362">
        <v>2</v>
      </c>
      <c r="AB362">
        <v>3</v>
      </c>
      <c r="AC362">
        <v>3</v>
      </c>
      <c r="AD362">
        <v>2</v>
      </c>
      <c r="AE362">
        <v>1</v>
      </c>
      <c r="AF362">
        <v>2</v>
      </c>
      <c r="AG362" t="s">
        <v>67</v>
      </c>
      <c r="AH362">
        <v>0</v>
      </c>
      <c r="AI362" t="s">
        <v>71</v>
      </c>
      <c r="AJ362" s="3" t="s">
        <v>84</v>
      </c>
      <c r="AK362" s="3">
        <v>1</v>
      </c>
      <c r="AL362" s="3" t="s">
        <v>83</v>
      </c>
    </row>
    <row r="363" spans="1:38" x14ac:dyDescent="0.3">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v>2213</v>
      </c>
      <c r="S363">
        <v>22495</v>
      </c>
      <c r="T363">
        <v>3</v>
      </c>
      <c r="U363" t="s">
        <v>35</v>
      </c>
      <c r="V363">
        <v>13</v>
      </c>
      <c r="W363">
        <v>3</v>
      </c>
      <c r="X363">
        <v>3</v>
      </c>
      <c r="Y363">
        <v>1</v>
      </c>
      <c r="Z363">
        <v>10</v>
      </c>
      <c r="AA363">
        <v>3</v>
      </c>
      <c r="AB363">
        <v>3</v>
      </c>
      <c r="AC363">
        <v>7</v>
      </c>
      <c r="AD363">
        <v>7</v>
      </c>
      <c r="AE363">
        <v>1</v>
      </c>
      <c r="AF363">
        <v>7</v>
      </c>
      <c r="AG363" t="s">
        <v>65</v>
      </c>
      <c r="AH363">
        <v>0</v>
      </c>
      <c r="AI363" t="s">
        <v>69</v>
      </c>
      <c r="AJ363" s="3" t="s">
        <v>84</v>
      </c>
      <c r="AK363" s="3">
        <v>1</v>
      </c>
      <c r="AL363" s="3" t="s">
        <v>83</v>
      </c>
    </row>
    <row r="364" spans="1:38" x14ac:dyDescent="0.3">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v>2610</v>
      </c>
      <c r="S364">
        <v>2851</v>
      </c>
      <c r="T364">
        <v>1</v>
      </c>
      <c r="U364" t="s">
        <v>43</v>
      </c>
      <c r="V364">
        <v>24</v>
      </c>
      <c r="W364">
        <v>4</v>
      </c>
      <c r="X364">
        <v>3</v>
      </c>
      <c r="Y364">
        <v>0</v>
      </c>
      <c r="Z364">
        <v>3</v>
      </c>
      <c r="AA364">
        <v>3</v>
      </c>
      <c r="AB364">
        <v>2</v>
      </c>
      <c r="AC364">
        <v>3</v>
      </c>
      <c r="AD364">
        <v>2</v>
      </c>
      <c r="AE364">
        <v>2</v>
      </c>
      <c r="AF364">
        <v>2</v>
      </c>
      <c r="AG364" t="s">
        <v>67</v>
      </c>
      <c r="AH364">
        <v>0</v>
      </c>
      <c r="AI364" t="s">
        <v>70</v>
      </c>
      <c r="AJ364" s="3" t="s">
        <v>82</v>
      </c>
      <c r="AK364" s="3">
        <v>1</v>
      </c>
      <c r="AL364" s="3" t="s">
        <v>83</v>
      </c>
    </row>
    <row r="365" spans="1:38" x14ac:dyDescent="0.3">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v>2851</v>
      </c>
      <c r="S365">
        <v>9150</v>
      </c>
      <c r="T365">
        <v>1</v>
      </c>
      <c r="U365" t="s">
        <v>35</v>
      </c>
      <c r="V365">
        <v>13</v>
      </c>
      <c r="W365">
        <v>3</v>
      </c>
      <c r="X365">
        <v>2</v>
      </c>
      <c r="Y365">
        <v>0</v>
      </c>
      <c r="Z365">
        <v>1</v>
      </c>
      <c r="AA365">
        <v>2</v>
      </c>
      <c r="AB365">
        <v>3</v>
      </c>
      <c r="AC365">
        <v>1</v>
      </c>
      <c r="AD365">
        <v>0</v>
      </c>
      <c r="AE365">
        <v>0</v>
      </c>
      <c r="AF365">
        <v>0</v>
      </c>
      <c r="AG365" t="s">
        <v>67</v>
      </c>
      <c r="AH365">
        <v>1</v>
      </c>
      <c r="AI365" t="s">
        <v>72</v>
      </c>
      <c r="AJ365" s="3" t="s">
        <v>84</v>
      </c>
      <c r="AK365" s="3">
        <v>2</v>
      </c>
      <c r="AL365" s="3" t="s">
        <v>84</v>
      </c>
    </row>
    <row r="366" spans="1:38" x14ac:dyDescent="0.3">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v>3452</v>
      </c>
      <c r="S366">
        <v>17663</v>
      </c>
      <c r="T366">
        <v>6</v>
      </c>
      <c r="U366" t="s">
        <v>43</v>
      </c>
      <c r="V366">
        <v>20</v>
      </c>
      <c r="W366">
        <v>4</v>
      </c>
      <c r="X366">
        <v>2</v>
      </c>
      <c r="Y366">
        <v>1</v>
      </c>
      <c r="Z366">
        <v>17</v>
      </c>
      <c r="AA366">
        <v>3</v>
      </c>
      <c r="AB366">
        <v>3</v>
      </c>
      <c r="AC366">
        <v>5</v>
      </c>
      <c r="AD366">
        <v>4</v>
      </c>
      <c r="AE366">
        <v>0</v>
      </c>
      <c r="AF366">
        <v>3</v>
      </c>
      <c r="AG366" t="s">
        <v>68</v>
      </c>
      <c r="AH366">
        <v>0</v>
      </c>
      <c r="AI366" t="s">
        <v>71</v>
      </c>
      <c r="AJ366" s="3" t="s">
        <v>83</v>
      </c>
      <c r="AK366" s="3">
        <v>1</v>
      </c>
      <c r="AL366" s="3" t="s">
        <v>83</v>
      </c>
    </row>
    <row r="367" spans="1:38" x14ac:dyDescent="0.3">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v>5258</v>
      </c>
      <c r="S367">
        <v>16044</v>
      </c>
      <c r="T367">
        <v>2</v>
      </c>
      <c r="U367" t="s">
        <v>43</v>
      </c>
      <c r="V367">
        <v>14</v>
      </c>
      <c r="W367">
        <v>3</v>
      </c>
      <c r="X367">
        <v>3</v>
      </c>
      <c r="Y367">
        <v>0</v>
      </c>
      <c r="Z367">
        <v>7</v>
      </c>
      <c r="AA367">
        <v>2</v>
      </c>
      <c r="AB367">
        <v>4</v>
      </c>
      <c r="AC367">
        <v>1</v>
      </c>
      <c r="AD367">
        <v>0</v>
      </c>
      <c r="AE367">
        <v>0</v>
      </c>
      <c r="AF367">
        <v>0</v>
      </c>
      <c r="AG367" t="s">
        <v>67</v>
      </c>
      <c r="AH367">
        <v>0</v>
      </c>
      <c r="AI367" t="s">
        <v>71</v>
      </c>
      <c r="AJ367" s="3" t="s">
        <v>84</v>
      </c>
      <c r="AK367" s="3">
        <v>1</v>
      </c>
      <c r="AL367" s="3" t="s">
        <v>83</v>
      </c>
    </row>
    <row r="368" spans="1:38" x14ac:dyDescent="0.3">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v>9355</v>
      </c>
      <c r="S368">
        <v>9558</v>
      </c>
      <c r="T368">
        <v>1</v>
      </c>
      <c r="U368" t="s">
        <v>43</v>
      </c>
      <c r="V368">
        <v>18</v>
      </c>
      <c r="W368">
        <v>3</v>
      </c>
      <c r="X368">
        <v>3</v>
      </c>
      <c r="Y368">
        <v>0</v>
      </c>
      <c r="Z368">
        <v>8</v>
      </c>
      <c r="AA368">
        <v>5</v>
      </c>
      <c r="AB368">
        <v>3</v>
      </c>
      <c r="AC368">
        <v>8</v>
      </c>
      <c r="AD368">
        <v>7</v>
      </c>
      <c r="AE368">
        <v>7</v>
      </c>
      <c r="AF368">
        <v>7</v>
      </c>
      <c r="AG368" t="s">
        <v>65</v>
      </c>
      <c r="AH368">
        <v>1</v>
      </c>
      <c r="AI368" t="s">
        <v>70</v>
      </c>
      <c r="AJ368" s="3" t="s">
        <v>83</v>
      </c>
      <c r="AK368" s="3">
        <v>1</v>
      </c>
      <c r="AL368" s="3" t="s">
        <v>83</v>
      </c>
    </row>
    <row r="369" spans="1:38" x14ac:dyDescent="0.3">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v>10496</v>
      </c>
      <c r="S369">
        <v>2755</v>
      </c>
      <c r="T369">
        <v>6</v>
      </c>
      <c r="U369" t="s">
        <v>43</v>
      </c>
      <c r="V369">
        <v>15</v>
      </c>
      <c r="W369">
        <v>3</v>
      </c>
      <c r="X369">
        <v>4</v>
      </c>
      <c r="Y369">
        <v>0</v>
      </c>
      <c r="Z369">
        <v>20</v>
      </c>
      <c r="AA369">
        <v>2</v>
      </c>
      <c r="AB369">
        <v>3</v>
      </c>
      <c r="AC369">
        <v>4</v>
      </c>
      <c r="AD369">
        <v>3</v>
      </c>
      <c r="AE369">
        <v>1</v>
      </c>
      <c r="AF369">
        <v>3</v>
      </c>
      <c r="AG369" t="s">
        <v>68</v>
      </c>
      <c r="AH369">
        <v>0</v>
      </c>
      <c r="AI369" t="s">
        <v>70</v>
      </c>
      <c r="AJ369" s="3" t="s">
        <v>82</v>
      </c>
      <c r="AK369" s="3">
        <v>0</v>
      </c>
      <c r="AL369" s="3" t="s">
        <v>83</v>
      </c>
    </row>
    <row r="370" spans="1:38" x14ac:dyDescent="0.3">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v>6380</v>
      </c>
      <c r="S370">
        <v>6110</v>
      </c>
      <c r="T370">
        <v>2</v>
      </c>
      <c r="U370" t="s">
        <v>35</v>
      </c>
      <c r="V370">
        <v>12</v>
      </c>
      <c r="W370">
        <v>3</v>
      </c>
      <c r="X370">
        <v>1</v>
      </c>
      <c r="Y370">
        <v>2</v>
      </c>
      <c r="Z370">
        <v>8</v>
      </c>
      <c r="AA370">
        <v>6</v>
      </c>
      <c r="AB370">
        <v>3</v>
      </c>
      <c r="AC370">
        <v>6</v>
      </c>
      <c r="AD370">
        <v>4</v>
      </c>
      <c r="AE370">
        <v>1</v>
      </c>
      <c r="AF370">
        <v>0</v>
      </c>
      <c r="AG370" t="s">
        <v>65</v>
      </c>
      <c r="AH370">
        <v>1</v>
      </c>
      <c r="AI370" t="s">
        <v>69</v>
      </c>
      <c r="AJ370" s="3" t="s">
        <v>84</v>
      </c>
      <c r="AK370" s="3">
        <v>1</v>
      </c>
      <c r="AL370" s="3" t="s">
        <v>83</v>
      </c>
    </row>
    <row r="371" spans="1:38" x14ac:dyDescent="0.3">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v>2657</v>
      </c>
      <c r="S371">
        <v>7551</v>
      </c>
      <c r="T371">
        <v>0</v>
      </c>
      <c r="U371" t="s">
        <v>35</v>
      </c>
      <c r="V371">
        <v>16</v>
      </c>
      <c r="W371">
        <v>3</v>
      </c>
      <c r="X371">
        <v>4</v>
      </c>
      <c r="Y371">
        <v>0</v>
      </c>
      <c r="Z371">
        <v>3</v>
      </c>
      <c r="AA371">
        <v>5</v>
      </c>
      <c r="AB371">
        <v>3</v>
      </c>
      <c r="AC371">
        <v>2</v>
      </c>
      <c r="AD371">
        <v>2</v>
      </c>
      <c r="AE371">
        <v>2</v>
      </c>
      <c r="AF371">
        <v>2</v>
      </c>
      <c r="AG371" t="s">
        <v>67</v>
      </c>
      <c r="AH371">
        <v>0</v>
      </c>
      <c r="AI371" t="s">
        <v>70</v>
      </c>
      <c r="AJ371" s="3" t="s">
        <v>83</v>
      </c>
      <c r="AK371" s="3">
        <v>3</v>
      </c>
      <c r="AL371" s="3" t="s">
        <v>82</v>
      </c>
    </row>
    <row r="372" spans="1:38" x14ac:dyDescent="0.3">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v>2716</v>
      </c>
      <c r="S372">
        <v>25422</v>
      </c>
      <c r="T372">
        <v>1</v>
      </c>
      <c r="U372" t="s">
        <v>43</v>
      </c>
      <c r="V372">
        <v>15</v>
      </c>
      <c r="W372">
        <v>3</v>
      </c>
      <c r="X372">
        <v>4</v>
      </c>
      <c r="Y372">
        <v>0</v>
      </c>
      <c r="Z372">
        <v>1</v>
      </c>
      <c r="AA372">
        <v>0</v>
      </c>
      <c r="AB372">
        <v>3</v>
      </c>
      <c r="AC372">
        <v>1</v>
      </c>
      <c r="AD372">
        <v>0</v>
      </c>
      <c r="AE372">
        <v>0</v>
      </c>
      <c r="AF372">
        <v>0</v>
      </c>
      <c r="AG372" t="s">
        <v>67</v>
      </c>
      <c r="AH372">
        <v>1</v>
      </c>
      <c r="AI372" t="s">
        <v>71</v>
      </c>
      <c r="AJ372" s="3" t="s">
        <v>83</v>
      </c>
      <c r="AK372" s="3">
        <v>2</v>
      </c>
      <c r="AL372" s="3" t="s">
        <v>84</v>
      </c>
    </row>
    <row r="373" spans="1:38" x14ac:dyDescent="0.3">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v>2201</v>
      </c>
      <c r="S373">
        <v>18168</v>
      </c>
      <c r="T373">
        <v>9</v>
      </c>
      <c r="U373" t="s">
        <v>43</v>
      </c>
      <c r="V373">
        <v>16</v>
      </c>
      <c r="W373">
        <v>3</v>
      </c>
      <c r="X373">
        <v>4</v>
      </c>
      <c r="Y373">
        <v>0</v>
      </c>
      <c r="Z373">
        <v>6</v>
      </c>
      <c r="AA373">
        <v>4</v>
      </c>
      <c r="AB373">
        <v>3</v>
      </c>
      <c r="AC373">
        <v>3</v>
      </c>
      <c r="AD373">
        <v>2</v>
      </c>
      <c r="AE373">
        <v>1</v>
      </c>
      <c r="AF373">
        <v>2</v>
      </c>
      <c r="AG373" t="s">
        <v>67</v>
      </c>
      <c r="AH373">
        <v>0</v>
      </c>
      <c r="AI373" t="s">
        <v>72</v>
      </c>
      <c r="AJ373" s="3" t="s">
        <v>82</v>
      </c>
      <c r="AK373" s="3">
        <v>1</v>
      </c>
      <c r="AL373" s="3" t="s">
        <v>83</v>
      </c>
    </row>
    <row r="374" spans="1:38" x14ac:dyDescent="0.3">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v>6540</v>
      </c>
      <c r="S374">
        <v>19394</v>
      </c>
      <c r="T374">
        <v>9</v>
      </c>
      <c r="U374" t="s">
        <v>43</v>
      </c>
      <c r="V374">
        <v>19</v>
      </c>
      <c r="W374">
        <v>3</v>
      </c>
      <c r="X374">
        <v>3</v>
      </c>
      <c r="Y374">
        <v>0</v>
      </c>
      <c r="Z374">
        <v>10</v>
      </c>
      <c r="AA374">
        <v>5</v>
      </c>
      <c r="AB374">
        <v>3</v>
      </c>
      <c r="AC374">
        <v>1</v>
      </c>
      <c r="AD374">
        <v>1</v>
      </c>
      <c r="AE374">
        <v>0</v>
      </c>
      <c r="AF374">
        <v>0</v>
      </c>
      <c r="AG374" t="s">
        <v>67</v>
      </c>
      <c r="AH374">
        <v>0</v>
      </c>
      <c r="AI374" t="s">
        <v>72</v>
      </c>
      <c r="AJ374" s="3" t="s">
        <v>83</v>
      </c>
      <c r="AK374" s="3">
        <v>2</v>
      </c>
      <c r="AL374" s="3" t="s">
        <v>84</v>
      </c>
    </row>
    <row r="375" spans="1:38" x14ac:dyDescent="0.3">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v>3816</v>
      </c>
      <c r="S375">
        <v>17881</v>
      </c>
      <c r="T375">
        <v>1</v>
      </c>
      <c r="U375" t="s">
        <v>43</v>
      </c>
      <c r="V375">
        <v>11</v>
      </c>
      <c r="W375">
        <v>3</v>
      </c>
      <c r="X375">
        <v>2</v>
      </c>
      <c r="Y375">
        <v>1</v>
      </c>
      <c r="Z375">
        <v>5</v>
      </c>
      <c r="AA375">
        <v>2</v>
      </c>
      <c r="AB375">
        <v>3</v>
      </c>
      <c r="AC375">
        <v>5</v>
      </c>
      <c r="AD375">
        <v>2</v>
      </c>
      <c r="AE375">
        <v>0</v>
      </c>
      <c r="AF375">
        <v>4</v>
      </c>
      <c r="AG375" t="s">
        <v>68</v>
      </c>
      <c r="AH375">
        <v>0</v>
      </c>
      <c r="AI375" t="s">
        <v>71</v>
      </c>
      <c r="AJ375" s="3" t="s">
        <v>83</v>
      </c>
      <c r="AK375" s="3">
        <v>1</v>
      </c>
      <c r="AL375" s="3" t="s">
        <v>83</v>
      </c>
    </row>
    <row r="376" spans="1:38" x14ac:dyDescent="0.3">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v>5253</v>
      </c>
      <c r="S376">
        <v>20750</v>
      </c>
      <c r="T376">
        <v>1</v>
      </c>
      <c r="U376" t="s">
        <v>43</v>
      </c>
      <c r="V376">
        <v>16</v>
      </c>
      <c r="W376">
        <v>3</v>
      </c>
      <c r="X376">
        <v>4</v>
      </c>
      <c r="Y376">
        <v>0</v>
      </c>
      <c r="Z376">
        <v>7</v>
      </c>
      <c r="AA376">
        <v>1</v>
      </c>
      <c r="AB376">
        <v>3</v>
      </c>
      <c r="AC376">
        <v>7</v>
      </c>
      <c r="AD376">
        <v>5</v>
      </c>
      <c r="AE376">
        <v>0</v>
      </c>
      <c r="AF376">
        <v>7</v>
      </c>
      <c r="AG376" t="s">
        <v>65</v>
      </c>
      <c r="AH376">
        <v>0</v>
      </c>
      <c r="AI376" t="s">
        <v>72</v>
      </c>
      <c r="AJ376" s="3" t="s">
        <v>82</v>
      </c>
      <c r="AK376" s="3">
        <v>0</v>
      </c>
      <c r="AL376" s="3" t="s">
        <v>83</v>
      </c>
    </row>
    <row r="377" spans="1:38" x14ac:dyDescent="0.3">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v>10965</v>
      </c>
      <c r="S377">
        <v>12066</v>
      </c>
      <c r="T377">
        <v>8</v>
      </c>
      <c r="U377" t="s">
        <v>43</v>
      </c>
      <c r="V377">
        <v>24</v>
      </c>
      <c r="W377">
        <v>4</v>
      </c>
      <c r="X377">
        <v>3</v>
      </c>
      <c r="Y377">
        <v>0</v>
      </c>
      <c r="Z377">
        <v>26</v>
      </c>
      <c r="AA377">
        <v>2</v>
      </c>
      <c r="AB377">
        <v>3</v>
      </c>
      <c r="AC377">
        <v>5</v>
      </c>
      <c r="AD377">
        <v>2</v>
      </c>
      <c r="AE377">
        <v>0</v>
      </c>
      <c r="AF377">
        <v>0</v>
      </c>
      <c r="AG377" t="s">
        <v>68</v>
      </c>
      <c r="AH377">
        <v>0</v>
      </c>
      <c r="AI377" t="s">
        <v>72</v>
      </c>
      <c r="AJ377" s="3" t="s">
        <v>84</v>
      </c>
      <c r="AK377" s="3">
        <v>0</v>
      </c>
      <c r="AL377" s="3" t="s">
        <v>83</v>
      </c>
    </row>
    <row r="378" spans="1:38" x14ac:dyDescent="0.3">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v>4936</v>
      </c>
      <c r="S378">
        <v>14862</v>
      </c>
      <c r="T378">
        <v>4</v>
      </c>
      <c r="U378" t="s">
        <v>43</v>
      </c>
      <c r="V378">
        <v>11</v>
      </c>
      <c r="W378">
        <v>3</v>
      </c>
      <c r="X378">
        <v>3</v>
      </c>
      <c r="Y378">
        <v>1</v>
      </c>
      <c r="Z378">
        <v>18</v>
      </c>
      <c r="AA378">
        <v>2</v>
      </c>
      <c r="AB378">
        <v>2</v>
      </c>
      <c r="AC378">
        <v>7</v>
      </c>
      <c r="AD378">
        <v>7</v>
      </c>
      <c r="AE378">
        <v>0</v>
      </c>
      <c r="AF378">
        <v>7</v>
      </c>
      <c r="AG378" t="s">
        <v>65</v>
      </c>
      <c r="AH378">
        <v>0</v>
      </c>
      <c r="AI378" t="s">
        <v>70</v>
      </c>
      <c r="AJ378" s="3" t="s">
        <v>82</v>
      </c>
      <c r="AK378" s="3">
        <v>0</v>
      </c>
      <c r="AL378" s="3" t="s">
        <v>83</v>
      </c>
    </row>
    <row r="379" spans="1:38" x14ac:dyDescent="0.3">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v>2543</v>
      </c>
      <c r="S379">
        <v>11868</v>
      </c>
      <c r="T379">
        <v>4</v>
      </c>
      <c r="U379" t="s">
        <v>43</v>
      </c>
      <c r="V379">
        <v>13</v>
      </c>
      <c r="W379">
        <v>3</v>
      </c>
      <c r="X379">
        <v>2</v>
      </c>
      <c r="Y379">
        <v>1</v>
      </c>
      <c r="Z379">
        <v>6</v>
      </c>
      <c r="AA379">
        <v>3</v>
      </c>
      <c r="AB379">
        <v>3</v>
      </c>
      <c r="AC379">
        <v>2</v>
      </c>
      <c r="AD379">
        <v>2</v>
      </c>
      <c r="AE379">
        <v>2</v>
      </c>
      <c r="AF379">
        <v>2</v>
      </c>
      <c r="AG379" t="s">
        <v>67</v>
      </c>
      <c r="AH379">
        <v>0</v>
      </c>
      <c r="AI379" t="s">
        <v>69</v>
      </c>
      <c r="AJ379" s="3" t="s">
        <v>84</v>
      </c>
      <c r="AK379" s="3">
        <v>1</v>
      </c>
      <c r="AL379" s="3" t="s">
        <v>83</v>
      </c>
    </row>
    <row r="380" spans="1:38" x14ac:dyDescent="0.3">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v>5304</v>
      </c>
      <c r="S380">
        <v>4652</v>
      </c>
      <c r="T380">
        <v>8</v>
      </c>
      <c r="U380" t="s">
        <v>35</v>
      </c>
      <c r="V380">
        <v>13</v>
      </c>
      <c r="W380">
        <v>3</v>
      </c>
      <c r="X380">
        <v>2</v>
      </c>
      <c r="Y380">
        <v>0</v>
      </c>
      <c r="Z380">
        <v>9</v>
      </c>
      <c r="AA380">
        <v>3</v>
      </c>
      <c r="AB380">
        <v>2</v>
      </c>
      <c r="AC380">
        <v>5</v>
      </c>
      <c r="AD380">
        <v>2</v>
      </c>
      <c r="AE380">
        <v>0</v>
      </c>
      <c r="AF380">
        <v>4</v>
      </c>
      <c r="AG380" t="s">
        <v>68</v>
      </c>
      <c r="AH380">
        <v>1</v>
      </c>
      <c r="AI380" t="s">
        <v>71</v>
      </c>
      <c r="AJ380" s="3" t="s">
        <v>82</v>
      </c>
      <c r="AK380" s="3">
        <v>1</v>
      </c>
      <c r="AL380" s="3" t="s">
        <v>83</v>
      </c>
    </row>
    <row r="381" spans="1:38" x14ac:dyDescent="0.3">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v>16659</v>
      </c>
      <c r="S381">
        <v>23258</v>
      </c>
      <c r="T381">
        <v>2</v>
      </c>
      <c r="U381" t="s">
        <v>35</v>
      </c>
      <c r="V381">
        <v>13</v>
      </c>
      <c r="W381">
        <v>3</v>
      </c>
      <c r="X381">
        <v>3</v>
      </c>
      <c r="Y381">
        <v>0</v>
      </c>
      <c r="Z381">
        <v>30</v>
      </c>
      <c r="AA381">
        <v>2</v>
      </c>
      <c r="AB381">
        <v>3</v>
      </c>
      <c r="AC381">
        <v>5</v>
      </c>
      <c r="AD381">
        <v>4</v>
      </c>
      <c r="AE381">
        <v>1</v>
      </c>
      <c r="AF381">
        <v>2</v>
      </c>
      <c r="AG381" t="s">
        <v>68</v>
      </c>
      <c r="AH381">
        <v>0</v>
      </c>
      <c r="AI381" t="s">
        <v>71</v>
      </c>
      <c r="AJ381" s="3" t="s">
        <v>82</v>
      </c>
      <c r="AK381" s="3">
        <v>1</v>
      </c>
      <c r="AL381" s="3" t="s">
        <v>83</v>
      </c>
    </row>
    <row r="382" spans="1:38" x14ac:dyDescent="0.3">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v>4260</v>
      </c>
      <c r="S382">
        <v>5915</v>
      </c>
      <c r="T382">
        <v>1</v>
      </c>
      <c r="U382" t="s">
        <v>35</v>
      </c>
      <c r="V382">
        <v>12</v>
      </c>
      <c r="W382">
        <v>3</v>
      </c>
      <c r="X382">
        <v>4</v>
      </c>
      <c r="Y382">
        <v>1</v>
      </c>
      <c r="Z382">
        <v>5</v>
      </c>
      <c r="AA382">
        <v>2</v>
      </c>
      <c r="AB382">
        <v>4</v>
      </c>
      <c r="AC382">
        <v>5</v>
      </c>
      <c r="AD382">
        <v>2</v>
      </c>
      <c r="AE382">
        <v>0</v>
      </c>
      <c r="AF382">
        <v>3</v>
      </c>
      <c r="AG382" t="s">
        <v>68</v>
      </c>
      <c r="AH382">
        <v>0</v>
      </c>
      <c r="AI382" t="s">
        <v>69</v>
      </c>
      <c r="AJ382" s="3" t="s">
        <v>84</v>
      </c>
      <c r="AK382" s="3">
        <v>1</v>
      </c>
      <c r="AL382" s="3" t="s">
        <v>83</v>
      </c>
    </row>
    <row r="383" spans="1:38" x14ac:dyDescent="0.3">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v>2476</v>
      </c>
      <c r="S383">
        <v>17434</v>
      </c>
      <c r="T383">
        <v>1</v>
      </c>
      <c r="U383" t="s">
        <v>43</v>
      </c>
      <c r="V383">
        <v>18</v>
      </c>
      <c r="W383">
        <v>3</v>
      </c>
      <c r="X383">
        <v>1</v>
      </c>
      <c r="Y383">
        <v>1</v>
      </c>
      <c r="Z383">
        <v>1</v>
      </c>
      <c r="AA383">
        <v>3</v>
      </c>
      <c r="AB383">
        <v>3</v>
      </c>
      <c r="AC383">
        <v>1</v>
      </c>
      <c r="AD383">
        <v>0</v>
      </c>
      <c r="AE383">
        <v>0</v>
      </c>
      <c r="AF383">
        <v>0</v>
      </c>
      <c r="AG383" t="s">
        <v>67</v>
      </c>
      <c r="AH383">
        <v>0</v>
      </c>
      <c r="AI383" t="s">
        <v>72</v>
      </c>
      <c r="AJ383" s="3" t="s">
        <v>83</v>
      </c>
      <c r="AK383" s="3">
        <v>2</v>
      </c>
      <c r="AL383" s="3" t="s">
        <v>84</v>
      </c>
    </row>
    <row r="384" spans="1:38" x14ac:dyDescent="0.3">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v>3102</v>
      </c>
      <c r="S384">
        <v>6582</v>
      </c>
      <c r="T384">
        <v>0</v>
      </c>
      <c r="U384" t="s">
        <v>43</v>
      </c>
      <c r="V384">
        <v>22</v>
      </c>
      <c r="W384">
        <v>4</v>
      </c>
      <c r="X384">
        <v>3</v>
      </c>
      <c r="Y384">
        <v>0</v>
      </c>
      <c r="Z384">
        <v>7</v>
      </c>
      <c r="AA384">
        <v>2</v>
      </c>
      <c r="AB384">
        <v>3</v>
      </c>
      <c r="AC384">
        <v>6</v>
      </c>
      <c r="AD384">
        <v>4</v>
      </c>
      <c r="AE384">
        <v>0</v>
      </c>
      <c r="AF384">
        <v>4</v>
      </c>
      <c r="AG384" t="s">
        <v>65</v>
      </c>
      <c r="AH384">
        <v>1</v>
      </c>
      <c r="AI384" t="s">
        <v>71</v>
      </c>
      <c r="AJ384" s="3" t="s">
        <v>83</v>
      </c>
      <c r="AK384" s="3">
        <v>1</v>
      </c>
      <c r="AL384" s="3" t="s">
        <v>83</v>
      </c>
    </row>
    <row r="385" spans="1:38" x14ac:dyDescent="0.3">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v>2244</v>
      </c>
      <c r="S385">
        <v>24440</v>
      </c>
      <c r="T385">
        <v>1</v>
      </c>
      <c r="U385" t="s">
        <v>43</v>
      </c>
      <c r="V385">
        <v>13</v>
      </c>
      <c r="W385">
        <v>3</v>
      </c>
      <c r="X385">
        <v>4</v>
      </c>
      <c r="Y385">
        <v>1</v>
      </c>
      <c r="Z385">
        <v>2</v>
      </c>
      <c r="AA385">
        <v>1</v>
      </c>
      <c r="AB385">
        <v>3</v>
      </c>
      <c r="AC385">
        <v>2</v>
      </c>
      <c r="AD385">
        <v>1</v>
      </c>
      <c r="AE385">
        <v>1</v>
      </c>
      <c r="AF385">
        <v>2</v>
      </c>
      <c r="AG385" t="s">
        <v>67</v>
      </c>
      <c r="AH385">
        <v>0</v>
      </c>
      <c r="AI385" t="s">
        <v>72</v>
      </c>
      <c r="AJ385" s="3" t="s">
        <v>83</v>
      </c>
      <c r="AK385" s="3">
        <v>2</v>
      </c>
      <c r="AL385" s="3" t="s">
        <v>84</v>
      </c>
    </row>
    <row r="386" spans="1:38" x14ac:dyDescent="0.3">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v>7596</v>
      </c>
      <c r="S386">
        <v>3809</v>
      </c>
      <c r="T386">
        <v>1</v>
      </c>
      <c r="U386" t="s">
        <v>43</v>
      </c>
      <c r="V386">
        <v>13</v>
      </c>
      <c r="W386">
        <v>3</v>
      </c>
      <c r="X386">
        <v>2</v>
      </c>
      <c r="Y386">
        <v>2</v>
      </c>
      <c r="Z386">
        <v>10</v>
      </c>
      <c r="AA386">
        <v>2</v>
      </c>
      <c r="AB386">
        <v>3</v>
      </c>
      <c r="AC386">
        <v>10</v>
      </c>
      <c r="AD386">
        <v>9</v>
      </c>
      <c r="AE386">
        <v>9</v>
      </c>
      <c r="AF386">
        <v>0</v>
      </c>
      <c r="AG386" t="s">
        <v>65</v>
      </c>
      <c r="AH386">
        <v>0</v>
      </c>
      <c r="AI386" t="s">
        <v>72</v>
      </c>
      <c r="AJ386" s="3" t="s">
        <v>84</v>
      </c>
      <c r="AK386" s="3">
        <v>0</v>
      </c>
      <c r="AL386" s="3" t="s">
        <v>83</v>
      </c>
    </row>
    <row r="387" spans="1:38" x14ac:dyDescent="0.3">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v>2285</v>
      </c>
      <c r="S387">
        <v>3427</v>
      </c>
      <c r="T387">
        <v>9</v>
      </c>
      <c r="U387" t="s">
        <v>35</v>
      </c>
      <c r="V387">
        <v>23</v>
      </c>
      <c r="W387">
        <v>4</v>
      </c>
      <c r="X387">
        <v>3</v>
      </c>
      <c r="Y387">
        <v>0</v>
      </c>
      <c r="Z387">
        <v>3</v>
      </c>
      <c r="AA387">
        <v>4</v>
      </c>
      <c r="AB387">
        <v>3</v>
      </c>
      <c r="AC387">
        <v>1</v>
      </c>
      <c r="AD387">
        <v>0</v>
      </c>
      <c r="AE387">
        <v>0</v>
      </c>
      <c r="AF387">
        <v>0</v>
      </c>
      <c r="AG387" t="s">
        <v>67</v>
      </c>
      <c r="AH387">
        <v>1</v>
      </c>
      <c r="AI387" t="s">
        <v>71</v>
      </c>
      <c r="AJ387" s="3" t="s">
        <v>82</v>
      </c>
      <c r="AK387" s="3">
        <v>2</v>
      </c>
      <c r="AL387" s="3" t="s">
        <v>84</v>
      </c>
    </row>
    <row r="388" spans="1:38" x14ac:dyDescent="0.3">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v>3034</v>
      </c>
      <c r="S388">
        <v>26914</v>
      </c>
      <c r="T388">
        <v>1</v>
      </c>
      <c r="U388" t="s">
        <v>43</v>
      </c>
      <c r="V388">
        <v>12</v>
      </c>
      <c r="W388">
        <v>3</v>
      </c>
      <c r="X388">
        <v>3</v>
      </c>
      <c r="Y388">
        <v>1</v>
      </c>
      <c r="Z388">
        <v>18</v>
      </c>
      <c r="AA388">
        <v>2</v>
      </c>
      <c r="AB388">
        <v>2</v>
      </c>
      <c r="AC388">
        <v>18</v>
      </c>
      <c r="AD388">
        <v>7</v>
      </c>
      <c r="AE388">
        <v>12</v>
      </c>
      <c r="AF388">
        <v>17</v>
      </c>
      <c r="AG388" t="s">
        <v>65</v>
      </c>
      <c r="AH388">
        <v>0</v>
      </c>
      <c r="AI388" t="s">
        <v>71</v>
      </c>
      <c r="AJ388" s="3" t="s">
        <v>83</v>
      </c>
      <c r="AK388" s="3">
        <v>1</v>
      </c>
      <c r="AL388" s="3" t="s">
        <v>83</v>
      </c>
    </row>
    <row r="389" spans="1:38" x14ac:dyDescent="0.3">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v>5715</v>
      </c>
      <c r="S389">
        <v>22553</v>
      </c>
      <c r="T389">
        <v>7</v>
      </c>
      <c r="U389" t="s">
        <v>43</v>
      </c>
      <c r="V389">
        <v>12</v>
      </c>
      <c r="W389">
        <v>3</v>
      </c>
      <c r="X389">
        <v>3</v>
      </c>
      <c r="Y389">
        <v>2</v>
      </c>
      <c r="Z389">
        <v>8</v>
      </c>
      <c r="AA389">
        <v>5</v>
      </c>
      <c r="AB389">
        <v>3</v>
      </c>
      <c r="AC389">
        <v>5</v>
      </c>
      <c r="AD389">
        <v>4</v>
      </c>
      <c r="AE389">
        <v>1</v>
      </c>
      <c r="AF389">
        <v>3</v>
      </c>
      <c r="AG389" t="s">
        <v>68</v>
      </c>
      <c r="AH389">
        <v>0</v>
      </c>
      <c r="AI389" t="s">
        <v>71</v>
      </c>
      <c r="AJ389" s="3" t="s">
        <v>83</v>
      </c>
      <c r="AK389" s="3">
        <v>1</v>
      </c>
      <c r="AL389" s="3" t="s">
        <v>83</v>
      </c>
    </row>
    <row r="390" spans="1:38" x14ac:dyDescent="0.3">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v>2576</v>
      </c>
      <c r="S390">
        <v>20490</v>
      </c>
      <c r="T390">
        <v>3</v>
      </c>
      <c r="U390" t="s">
        <v>43</v>
      </c>
      <c r="V390">
        <v>16</v>
      </c>
      <c r="W390">
        <v>3</v>
      </c>
      <c r="X390">
        <v>2</v>
      </c>
      <c r="Y390">
        <v>1</v>
      </c>
      <c r="Z390">
        <v>8</v>
      </c>
      <c r="AA390">
        <v>5</v>
      </c>
      <c r="AB390">
        <v>3</v>
      </c>
      <c r="AC390">
        <v>5</v>
      </c>
      <c r="AD390">
        <v>2</v>
      </c>
      <c r="AE390">
        <v>1</v>
      </c>
      <c r="AF390">
        <v>2</v>
      </c>
      <c r="AG390" t="s">
        <v>68</v>
      </c>
      <c r="AH390">
        <v>0</v>
      </c>
      <c r="AI390" t="s">
        <v>70</v>
      </c>
      <c r="AJ390" s="3" t="s">
        <v>83</v>
      </c>
      <c r="AK390" s="3">
        <v>1</v>
      </c>
      <c r="AL390" s="3" t="s">
        <v>83</v>
      </c>
    </row>
    <row r="391" spans="1:38" x14ac:dyDescent="0.3">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v>4197</v>
      </c>
      <c r="S391">
        <v>21123</v>
      </c>
      <c r="T391">
        <v>2</v>
      </c>
      <c r="U391" t="s">
        <v>35</v>
      </c>
      <c r="V391">
        <v>12</v>
      </c>
      <c r="W391">
        <v>3</v>
      </c>
      <c r="X391">
        <v>4</v>
      </c>
      <c r="Y391">
        <v>0</v>
      </c>
      <c r="Z391">
        <v>18</v>
      </c>
      <c r="AA391">
        <v>2</v>
      </c>
      <c r="AB391">
        <v>2</v>
      </c>
      <c r="AC391">
        <v>1</v>
      </c>
      <c r="AD391">
        <v>0</v>
      </c>
      <c r="AE391">
        <v>0</v>
      </c>
      <c r="AF391">
        <v>1</v>
      </c>
      <c r="AG391" t="s">
        <v>67</v>
      </c>
      <c r="AH391">
        <v>0</v>
      </c>
      <c r="AI391" t="s">
        <v>70</v>
      </c>
      <c r="AJ391" s="3" t="s">
        <v>83</v>
      </c>
      <c r="AK391" s="3">
        <v>3</v>
      </c>
      <c r="AL391" s="3" t="s">
        <v>82</v>
      </c>
    </row>
    <row r="392" spans="1:38" x14ac:dyDescent="0.3">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v>14336</v>
      </c>
      <c r="S392">
        <v>4345</v>
      </c>
      <c r="T392">
        <v>1</v>
      </c>
      <c r="U392" t="s">
        <v>43</v>
      </c>
      <c r="V392">
        <v>11</v>
      </c>
      <c r="W392">
        <v>3</v>
      </c>
      <c r="X392">
        <v>3</v>
      </c>
      <c r="Y392">
        <v>1</v>
      </c>
      <c r="Z392">
        <v>25</v>
      </c>
      <c r="AA392">
        <v>3</v>
      </c>
      <c r="AB392">
        <v>3</v>
      </c>
      <c r="AC392">
        <v>25</v>
      </c>
      <c r="AD392">
        <v>10</v>
      </c>
      <c r="AE392">
        <v>3</v>
      </c>
      <c r="AF392">
        <v>9</v>
      </c>
      <c r="AG392" t="s">
        <v>65</v>
      </c>
      <c r="AH392">
        <v>0</v>
      </c>
      <c r="AI392" t="s">
        <v>71</v>
      </c>
      <c r="AJ392" s="3" t="s">
        <v>83</v>
      </c>
      <c r="AK392" s="3">
        <v>1</v>
      </c>
      <c r="AL392" s="3" t="s">
        <v>83</v>
      </c>
    </row>
    <row r="393" spans="1:38" x14ac:dyDescent="0.3">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v>3448</v>
      </c>
      <c r="S393">
        <v>13436</v>
      </c>
      <c r="T393">
        <v>6</v>
      </c>
      <c r="U393" t="s">
        <v>43</v>
      </c>
      <c r="V393">
        <v>22</v>
      </c>
      <c r="W393">
        <v>4</v>
      </c>
      <c r="X393">
        <v>2</v>
      </c>
      <c r="Y393">
        <v>1</v>
      </c>
      <c r="Z393">
        <v>20</v>
      </c>
      <c r="AA393">
        <v>3</v>
      </c>
      <c r="AB393">
        <v>3</v>
      </c>
      <c r="AC393">
        <v>1</v>
      </c>
      <c r="AD393">
        <v>0</v>
      </c>
      <c r="AE393">
        <v>0</v>
      </c>
      <c r="AF393">
        <v>0</v>
      </c>
      <c r="AG393" t="s">
        <v>67</v>
      </c>
      <c r="AH393">
        <v>0</v>
      </c>
      <c r="AI393" t="s">
        <v>70</v>
      </c>
      <c r="AJ393" s="3" t="s">
        <v>84</v>
      </c>
      <c r="AK393" s="3">
        <v>1</v>
      </c>
      <c r="AL393" s="3" t="s">
        <v>83</v>
      </c>
    </row>
    <row r="394" spans="1:38" x14ac:dyDescent="0.3">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v>19406</v>
      </c>
      <c r="S394">
        <v>8509</v>
      </c>
      <c r="T394">
        <v>4</v>
      </c>
      <c r="U394" t="s">
        <v>43</v>
      </c>
      <c r="V394">
        <v>11</v>
      </c>
      <c r="W394">
        <v>3</v>
      </c>
      <c r="X394">
        <v>3</v>
      </c>
      <c r="Y394">
        <v>1</v>
      </c>
      <c r="Z394">
        <v>24</v>
      </c>
      <c r="AA394">
        <v>4</v>
      </c>
      <c r="AB394">
        <v>2</v>
      </c>
      <c r="AC394">
        <v>4</v>
      </c>
      <c r="AD394">
        <v>2</v>
      </c>
      <c r="AE394">
        <v>1</v>
      </c>
      <c r="AF394">
        <v>2</v>
      </c>
      <c r="AG394" t="s">
        <v>68</v>
      </c>
      <c r="AH394">
        <v>0</v>
      </c>
      <c r="AI394" t="s">
        <v>70</v>
      </c>
      <c r="AJ394" s="3" t="s">
        <v>83</v>
      </c>
      <c r="AK394" s="3">
        <v>1</v>
      </c>
      <c r="AL394" s="3" t="s">
        <v>83</v>
      </c>
    </row>
    <row r="395" spans="1:38" x14ac:dyDescent="0.3">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v>6538</v>
      </c>
      <c r="S395">
        <v>12740</v>
      </c>
      <c r="T395">
        <v>9</v>
      </c>
      <c r="U395" t="s">
        <v>43</v>
      </c>
      <c r="V395">
        <v>15</v>
      </c>
      <c r="W395">
        <v>3</v>
      </c>
      <c r="X395">
        <v>1</v>
      </c>
      <c r="Y395">
        <v>1</v>
      </c>
      <c r="Z395">
        <v>6</v>
      </c>
      <c r="AA395">
        <v>3</v>
      </c>
      <c r="AB395">
        <v>3</v>
      </c>
      <c r="AC395">
        <v>3</v>
      </c>
      <c r="AD395">
        <v>2</v>
      </c>
      <c r="AE395">
        <v>1</v>
      </c>
      <c r="AF395">
        <v>2</v>
      </c>
      <c r="AG395" t="s">
        <v>67</v>
      </c>
      <c r="AH395">
        <v>0</v>
      </c>
      <c r="AI395" t="s">
        <v>69</v>
      </c>
      <c r="AJ395" s="3" t="s">
        <v>84</v>
      </c>
      <c r="AK395" s="3">
        <v>1</v>
      </c>
      <c r="AL395" s="3" t="s">
        <v>83</v>
      </c>
    </row>
    <row r="396" spans="1:38" x14ac:dyDescent="0.3">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v>4306</v>
      </c>
      <c r="S396">
        <v>4156</v>
      </c>
      <c r="T396">
        <v>1</v>
      </c>
      <c r="U396" t="s">
        <v>43</v>
      </c>
      <c r="V396">
        <v>12</v>
      </c>
      <c r="W396">
        <v>3</v>
      </c>
      <c r="X396">
        <v>2</v>
      </c>
      <c r="Y396">
        <v>1</v>
      </c>
      <c r="Z396">
        <v>13</v>
      </c>
      <c r="AA396">
        <v>5</v>
      </c>
      <c r="AB396">
        <v>1</v>
      </c>
      <c r="AC396">
        <v>13</v>
      </c>
      <c r="AD396">
        <v>10</v>
      </c>
      <c r="AE396">
        <v>3</v>
      </c>
      <c r="AF396">
        <v>12</v>
      </c>
      <c r="AG396" t="s">
        <v>65</v>
      </c>
      <c r="AH396">
        <v>0</v>
      </c>
      <c r="AI396" t="s">
        <v>71</v>
      </c>
      <c r="AJ396" s="3" t="s">
        <v>83</v>
      </c>
      <c r="AK396" s="3">
        <v>1</v>
      </c>
      <c r="AL396" s="3" t="s">
        <v>83</v>
      </c>
    </row>
    <row r="397" spans="1:38" x14ac:dyDescent="0.3">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v>2258</v>
      </c>
      <c r="S397">
        <v>15238</v>
      </c>
      <c r="T397">
        <v>7</v>
      </c>
      <c r="U397" t="s">
        <v>43</v>
      </c>
      <c r="V397">
        <v>20</v>
      </c>
      <c r="W397">
        <v>4</v>
      </c>
      <c r="X397">
        <v>1</v>
      </c>
      <c r="Y397">
        <v>1</v>
      </c>
      <c r="Z397">
        <v>8</v>
      </c>
      <c r="AA397">
        <v>1</v>
      </c>
      <c r="AB397">
        <v>3</v>
      </c>
      <c r="AC397">
        <v>3</v>
      </c>
      <c r="AD397">
        <v>2</v>
      </c>
      <c r="AE397">
        <v>1</v>
      </c>
      <c r="AF397">
        <v>2</v>
      </c>
      <c r="AG397" t="s">
        <v>67</v>
      </c>
      <c r="AH397">
        <v>0</v>
      </c>
      <c r="AI397" t="s">
        <v>71</v>
      </c>
      <c r="AJ397" s="3" t="s">
        <v>82</v>
      </c>
      <c r="AK397" s="3">
        <v>1</v>
      </c>
      <c r="AL397" s="3" t="s">
        <v>83</v>
      </c>
    </row>
    <row r="398" spans="1:38" x14ac:dyDescent="0.3">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v>4522</v>
      </c>
      <c r="S398">
        <v>2227</v>
      </c>
      <c r="T398">
        <v>4</v>
      </c>
      <c r="U398" t="s">
        <v>35</v>
      </c>
      <c r="V398">
        <v>14</v>
      </c>
      <c r="W398">
        <v>3</v>
      </c>
      <c r="X398">
        <v>4</v>
      </c>
      <c r="Y398">
        <v>0</v>
      </c>
      <c r="Z398">
        <v>8</v>
      </c>
      <c r="AA398">
        <v>3</v>
      </c>
      <c r="AB398">
        <v>3</v>
      </c>
      <c r="AC398">
        <v>5</v>
      </c>
      <c r="AD398">
        <v>2</v>
      </c>
      <c r="AE398">
        <v>0</v>
      </c>
      <c r="AF398">
        <v>2</v>
      </c>
      <c r="AG398" t="s">
        <v>68</v>
      </c>
      <c r="AH398">
        <v>0</v>
      </c>
      <c r="AI398" t="s">
        <v>70</v>
      </c>
      <c r="AJ398" s="3" t="s">
        <v>84</v>
      </c>
      <c r="AK398" s="3">
        <v>1</v>
      </c>
      <c r="AL398" s="3" t="s">
        <v>83</v>
      </c>
    </row>
    <row r="399" spans="1:38" x14ac:dyDescent="0.3">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v>4487</v>
      </c>
      <c r="S399">
        <v>12090</v>
      </c>
      <c r="T399">
        <v>1</v>
      </c>
      <c r="U399" t="s">
        <v>35</v>
      </c>
      <c r="V399">
        <v>11</v>
      </c>
      <c r="W399">
        <v>3</v>
      </c>
      <c r="X399">
        <v>2</v>
      </c>
      <c r="Y399">
        <v>0</v>
      </c>
      <c r="Z399">
        <v>5</v>
      </c>
      <c r="AA399">
        <v>3</v>
      </c>
      <c r="AB399">
        <v>3</v>
      </c>
      <c r="AC399">
        <v>5</v>
      </c>
      <c r="AD399">
        <v>4</v>
      </c>
      <c r="AE399">
        <v>1</v>
      </c>
      <c r="AF399">
        <v>3</v>
      </c>
      <c r="AG399" t="s">
        <v>68</v>
      </c>
      <c r="AH399">
        <v>0</v>
      </c>
      <c r="AI399" t="s">
        <v>70</v>
      </c>
      <c r="AJ399" s="3" t="s">
        <v>82</v>
      </c>
      <c r="AK399" s="3">
        <v>1</v>
      </c>
      <c r="AL399" s="3" t="s">
        <v>83</v>
      </c>
    </row>
    <row r="400" spans="1:38" x14ac:dyDescent="0.3">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v>4449</v>
      </c>
      <c r="S400">
        <v>23866</v>
      </c>
      <c r="T400">
        <v>3</v>
      </c>
      <c r="U400" t="s">
        <v>35</v>
      </c>
      <c r="V400">
        <v>15</v>
      </c>
      <c r="W400">
        <v>3</v>
      </c>
      <c r="X400">
        <v>1</v>
      </c>
      <c r="Y400">
        <v>2</v>
      </c>
      <c r="Z400">
        <v>15</v>
      </c>
      <c r="AA400">
        <v>2</v>
      </c>
      <c r="AB400">
        <v>3</v>
      </c>
      <c r="AC400">
        <v>13</v>
      </c>
      <c r="AD400">
        <v>11</v>
      </c>
      <c r="AE400">
        <v>10</v>
      </c>
      <c r="AF400">
        <v>7</v>
      </c>
      <c r="AG400" t="s">
        <v>65</v>
      </c>
      <c r="AH400">
        <v>0</v>
      </c>
      <c r="AI400" t="s">
        <v>72</v>
      </c>
      <c r="AJ400" s="3" t="s">
        <v>84</v>
      </c>
      <c r="AK400" s="3">
        <v>1</v>
      </c>
      <c r="AL400" s="3" t="s">
        <v>83</v>
      </c>
    </row>
    <row r="401" spans="1:38" x14ac:dyDescent="0.3">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v>2218</v>
      </c>
      <c r="S401">
        <v>16193</v>
      </c>
      <c r="T401">
        <v>1</v>
      </c>
      <c r="U401" t="s">
        <v>43</v>
      </c>
      <c r="V401">
        <v>12</v>
      </c>
      <c r="W401">
        <v>3</v>
      </c>
      <c r="X401">
        <v>3</v>
      </c>
      <c r="Y401">
        <v>1</v>
      </c>
      <c r="Z401">
        <v>4</v>
      </c>
      <c r="AA401">
        <v>3</v>
      </c>
      <c r="AB401">
        <v>3</v>
      </c>
      <c r="AC401">
        <v>4</v>
      </c>
      <c r="AD401">
        <v>2</v>
      </c>
      <c r="AE401">
        <v>3</v>
      </c>
      <c r="AF401">
        <v>2</v>
      </c>
      <c r="AG401" t="s">
        <v>68</v>
      </c>
      <c r="AH401">
        <v>0</v>
      </c>
      <c r="AI401" t="s">
        <v>71</v>
      </c>
      <c r="AJ401" s="3" t="s">
        <v>83</v>
      </c>
      <c r="AK401" s="3">
        <v>1</v>
      </c>
      <c r="AL401" s="3" t="s">
        <v>83</v>
      </c>
    </row>
    <row r="402" spans="1:38" x14ac:dyDescent="0.3">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v>19197</v>
      </c>
      <c r="S402">
        <v>8213</v>
      </c>
      <c r="T402">
        <v>1</v>
      </c>
      <c r="U402" t="s">
        <v>35</v>
      </c>
      <c r="V402">
        <v>14</v>
      </c>
      <c r="W402">
        <v>3</v>
      </c>
      <c r="X402">
        <v>3</v>
      </c>
      <c r="Y402">
        <v>1</v>
      </c>
      <c r="Z402">
        <v>21</v>
      </c>
      <c r="AA402">
        <v>3</v>
      </c>
      <c r="AB402">
        <v>3</v>
      </c>
      <c r="AC402">
        <v>21</v>
      </c>
      <c r="AD402">
        <v>8</v>
      </c>
      <c r="AE402">
        <v>1</v>
      </c>
      <c r="AF402">
        <v>6</v>
      </c>
      <c r="AG402" t="s">
        <v>65</v>
      </c>
      <c r="AH402">
        <v>0</v>
      </c>
      <c r="AI402" t="s">
        <v>71</v>
      </c>
      <c r="AJ402" s="3" t="s">
        <v>84</v>
      </c>
      <c r="AK402" s="3">
        <v>1</v>
      </c>
      <c r="AL402" s="3" t="s">
        <v>83</v>
      </c>
    </row>
    <row r="403" spans="1:38" x14ac:dyDescent="0.3">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v>13212</v>
      </c>
      <c r="S403">
        <v>18256</v>
      </c>
      <c r="T403">
        <v>9</v>
      </c>
      <c r="U403" t="s">
        <v>43</v>
      </c>
      <c r="V403">
        <v>11</v>
      </c>
      <c r="W403">
        <v>3</v>
      </c>
      <c r="X403">
        <v>4</v>
      </c>
      <c r="Y403">
        <v>3</v>
      </c>
      <c r="Z403">
        <v>36</v>
      </c>
      <c r="AA403">
        <v>0</v>
      </c>
      <c r="AB403">
        <v>2</v>
      </c>
      <c r="AC403">
        <v>7</v>
      </c>
      <c r="AD403">
        <v>7</v>
      </c>
      <c r="AE403">
        <v>7</v>
      </c>
      <c r="AF403">
        <v>7</v>
      </c>
      <c r="AG403" t="s">
        <v>65</v>
      </c>
      <c r="AH403">
        <v>0</v>
      </c>
      <c r="AI403" t="s">
        <v>71</v>
      </c>
      <c r="AJ403" s="3" t="s">
        <v>83</v>
      </c>
      <c r="AK403" s="3">
        <v>1</v>
      </c>
      <c r="AL403" s="3" t="s">
        <v>83</v>
      </c>
    </row>
    <row r="404" spans="1:38" x14ac:dyDescent="0.3">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v>6577</v>
      </c>
      <c r="S404">
        <v>19558</v>
      </c>
      <c r="T404">
        <v>0</v>
      </c>
      <c r="U404" t="s">
        <v>43</v>
      </c>
      <c r="V404">
        <v>11</v>
      </c>
      <c r="W404">
        <v>3</v>
      </c>
      <c r="X404">
        <v>2</v>
      </c>
      <c r="Y404">
        <v>0</v>
      </c>
      <c r="Z404">
        <v>6</v>
      </c>
      <c r="AA404">
        <v>6</v>
      </c>
      <c r="AB404">
        <v>3</v>
      </c>
      <c r="AC404">
        <v>5</v>
      </c>
      <c r="AD404">
        <v>4</v>
      </c>
      <c r="AE404">
        <v>4</v>
      </c>
      <c r="AF404">
        <v>4</v>
      </c>
      <c r="AG404" t="s">
        <v>68</v>
      </c>
      <c r="AH404">
        <v>0</v>
      </c>
      <c r="AI404" t="s">
        <v>69</v>
      </c>
      <c r="AJ404" s="3" t="s">
        <v>84</v>
      </c>
      <c r="AK404" s="3">
        <v>0</v>
      </c>
      <c r="AL404" s="3" t="s">
        <v>83</v>
      </c>
    </row>
    <row r="405" spans="1:38" x14ac:dyDescent="0.3">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v>8392</v>
      </c>
      <c r="S405">
        <v>19566</v>
      </c>
      <c r="T405">
        <v>1</v>
      </c>
      <c r="U405" t="s">
        <v>43</v>
      </c>
      <c r="V405">
        <v>16</v>
      </c>
      <c r="W405">
        <v>3</v>
      </c>
      <c r="X405">
        <v>3</v>
      </c>
      <c r="Y405">
        <v>1</v>
      </c>
      <c r="Z405">
        <v>10</v>
      </c>
      <c r="AA405">
        <v>2</v>
      </c>
      <c r="AB405">
        <v>3</v>
      </c>
      <c r="AC405">
        <v>10</v>
      </c>
      <c r="AD405">
        <v>7</v>
      </c>
      <c r="AE405">
        <v>0</v>
      </c>
      <c r="AF405">
        <v>7</v>
      </c>
      <c r="AG405" t="s">
        <v>65</v>
      </c>
      <c r="AH405">
        <v>0</v>
      </c>
      <c r="AI405" t="s">
        <v>71</v>
      </c>
      <c r="AJ405" s="3" t="s">
        <v>83</v>
      </c>
      <c r="AK405" s="3">
        <v>1</v>
      </c>
      <c r="AL405" s="3" t="s">
        <v>83</v>
      </c>
    </row>
    <row r="406" spans="1:38" x14ac:dyDescent="0.3">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v>4558</v>
      </c>
      <c r="S406">
        <v>13535</v>
      </c>
      <c r="T406">
        <v>1</v>
      </c>
      <c r="U406" t="s">
        <v>43</v>
      </c>
      <c r="V406">
        <v>12</v>
      </c>
      <c r="W406">
        <v>3</v>
      </c>
      <c r="X406">
        <v>4</v>
      </c>
      <c r="Y406">
        <v>1</v>
      </c>
      <c r="Z406">
        <v>10</v>
      </c>
      <c r="AA406">
        <v>2</v>
      </c>
      <c r="AB406">
        <v>3</v>
      </c>
      <c r="AC406">
        <v>10</v>
      </c>
      <c r="AD406">
        <v>0</v>
      </c>
      <c r="AE406">
        <v>1</v>
      </c>
      <c r="AF406">
        <v>8</v>
      </c>
      <c r="AG406" t="s">
        <v>65</v>
      </c>
      <c r="AH406">
        <v>0</v>
      </c>
      <c r="AI406" t="s">
        <v>70</v>
      </c>
      <c r="AJ406" s="3" t="s">
        <v>83</v>
      </c>
      <c r="AK406" s="3">
        <v>1</v>
      </c>
      <c r="AL406" s="3" t="s">
        <v>83</v>
      </c>
    </row>
    <row r="407" spans="1:38" x14ac:dyDescent="0.3">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v>4031</v>
      </c>
      <c r="S407">
        <v>9396</v>
      </c>
      <c r="T407">
        <v>5</v>
      </c>
      <c r="U407" t="s">
        <v>43</v>
      </c>
      <c r="V407">
        <v>13</v>
      </c>
      <c r="W407">
        <v>3</v>
      </c>
      <c r="X407">
        <v>3</v>
      </c>
      <c r="Y407">
        <v>1</v>
      </c>
      <c r="Z407">
        <v>6</v>
      </c>
      <c r="AA407">
        <v>5</v>
      </c>
      <c r="AB407">
        <v>3</v>
      </c>
      <c r="AC407">
        <v>2</v>
      </c>
      <c r="AD407">
        <v>2</v>
      </c>
      <c r="AE407">
        <v>0</v>
      </c>
      <c r="AF407">
        <v>2</v>
      </c>
      <c r="AG407" t="s">
        <v>67</v>
      </c>
      <c r="AH407">
        <v>1</v>
      </c>
      <c r="AI407" t="s">
        <v>72</v>
      </c>
      <c r="AJ407" s="3" t="s">
        <v>83</v>
      </c>
      <c r="AK407" s="3">
        <v>2</v>
      </c>
      <c r="AL407" s="3" t="s">
        <v>84</v>
      </c>
    </row>
    <row r="408" spans="1:38" x14ac:dyDescent="0.3">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v>7969</v>
      </c>
      <c r="S408">
        <v>19609</v>
      </c>
      <c r="T408">
        <v>2</v>
      </c>
      <c r="U408" t="s">
        <v>35</v>
      </c>
      <c r="V408">
        <v>14</v>
      </c>
      <c r="W408">
        <v>3</v>
      </c>
      <c r="X408">
        <v>3</v>
      </c>
      <c r="Y408">
        <v>0</v>
      </c>
      <c r="Z408">
        <v>28</v>
      </c>
      <c r="AA408">
        <v>4</v>
      </c>
      <c r="AB408">
        <v>3</v>
      </c>
      <c r="AC408">
        <v>5</v>
      </c>
      <c r="AD408">
        <v>4</v>
      </c>
      <c r="AE408">
        <v>0</v>
      </c>
      <c r="AF408">
        <v>4</v>
      </c>
      <c r="AG408" t="s">
        <v>68</v>
      </c>
      <c r="AH408">
        <v>0</v>
      </c>
      <c r="AI408" t="s">
        <v>72</v>
      </c>
      <c r="AJ408" s="3" t="s">
        <v>84</v>
      </c>
      <c r="AK408" s="3">
        <v>1</v>
      </c>
      <c r="AL408" s="3" t="s">
        <v>83</v>
      </c>
    </row>
    <row r="409" spans="1:38" x14ac:dyDescent="0.3">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v>2654</v>
      </c>
      <c r="S409">
        <v>9655</v>
      </c>
      <c r="T409">
        <v>3</v>
      </c>
      <c r="U409" t="s">
        <v>43</v>
      </c>
      <c r="V409">
        <v>21</v>
      </c>
      <c r="W409">
        <v>4</v>
      </c>
      <c r="X409">
        <v>4</v>
      </c>
      <c r="Y409">
        <v>2</v>
      </c>
      <c r="Z409">
        <v>8</v>
      </c>
      <c r="AA409">
        <v>3</v>
      </c>
      <c r="AB409">
        <v>2</v>
      </c>
      <c r="AC409">
        <v>2</v>
      </c>
      <c r="AD409">
        <v>2</v>
      </c>
      <c r="AE409">
        <v>0</v>
      </c>
      <c r="AF409">
        <v>2</v>
      </c>
      <c r="AG409" t="s">
        <v>67</v>
      </c>
      <c r="AH409">
        <v>0</v>
      </c>
      <c r="AI409" t="s">
        <v>69</v>
      </c>
      <c r="AJ409" s="3" t="s">
        <v>82</v>
      </c>
      <c r="AK409" s="3">
        <v>1</v>
      </c>
      <c r="AL409" s="3" t="s">
        <v>83</v>
      </c>
    </row>
    <row r="410" spans="1:38" x14ac:dyDescent="0.3">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v>16555</v>
      </c>
      <c r="S410">
        <v>10310</v>
      </c>
      <c r="T410">
        <v>2</v>
      </c>
      <c r="U410" t="s">
        <v>43</v>
      </c>
      <c r="V410">
        <v>13</v>
      </c>
      <c r="W410">
        <v>3</v>
      </c>
      <c r="X410">
        <v>4</v>
      </c>
      <c r="Y410">
        <v>0</v>
      </c>
      <c r="Z410">
        <v>31</v>
      </c>
      <c r="AA410">
        <v>2</v>
      </c>
      <c r="AB410">
        <v>1</v>
      </c>
      <c r="AC410">
        <v>5</v>
      </c>
      <c r="AD410">
        <v>2</v>
      </c>
      <c r="AE410">
        <v>1</v>
      </c>
      <c r="AF410">
        <v>4</v>
      </c>
      <c r="AG410" t="s">
        <v>68</v>
      </c>
      <c r="AH410">
        <v>0</v>
      </c>
      <c r="AI410" t="s">
        <v>70</v>
      </c>
      <c r="AJ410" s="3" t="s">
        <v>82</v>
      </c>
      <c r="AK410" s="3">
        <v>0</v>
      </c>
      <c r="AL410" s="3" t="s">
        <v>83</v>
      </c>
    </row>
    <row r="411" spans="1:38" x14ac:dyDescent="0.3">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v>4556</v>
      </c>
      <c r="S411">
        <v>12932</v>
      </c>
      <c r="T411">
        <v>2</v>
      </c>
      <c r="U411" t="s">
        <v>43</v>
      </c>
      <c r="V411">
        <v>11</v>
      </c>
      <c r="W411">
        <v>3</v>
      </c>
      <c r="X411">
        <v>2</v>
      </c>
      <c r="Y411">
        <v>1</v>
      </c>
      <c r="Z411">
        <v>19</v>
      </c>
      <c r="AA411">
        <v>3</v>
      </c>
      <c r="AB411">
        <v>3</v>
      </c>
      <c r="AC411">
        <v>5</v>
      </c>
      <c r="AD411">
        <v>4</v>
      </c>
      <c r="AE411">
        <v>0</v>
      </c>
      <c r="AF411">
        <v>2</v>
      </c>
      <c r="AG411" t="s">
        <v>68</v>
      </c>
      <c r="AH411">
        <v>0</v>
      </c>
      <c r="AI411" t="s">
        <v>69</v>
      </c>
      <c r="AJ411" s="3" t="s">
        <v>84</v>
      </c>
      <c r="AK411" s="3">
        <v>0</v>
      </c>
      <c r="AL411" s="3" t="s">
        <v>83</v>
      </c>
    </row>
    <row r="412" spans="1:38" x14ac:dyDescent="0.3">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v>6091</v>
      </c>
      <c r="S412">
        <v>24793</v>
      </c>
      <c r="T412">
        <v>2</v>
      </c>
      <c r="U412" t="s">
        <v>43</v>
      </c>
      <c r="V412">
        <v>20</v>
      </c>
      <c r="W412">
        <v>4</v>
      </c>
      <c r="X412">
        <v>3</v>
      </c>
      <c r="Y412">
        <v>0</v>
      </c>
      <c r="Z412">
        <v>11</v>
      </c>
      <c r="AA412">
        <v>2</v>
      </c>
      <c r="AB412">
        <v>3</v>
      </c>
      <c r="AC412">
        <v>5</v>
      </c>
      <c r="AD412">
        <v>4</v>
      </c>
      <c r="AE412">
        <v>0</v>
      </c>
      <c r="AF412">
        <v>2</v>
      </c>
      <c r="AG412" t="s">
        <v>68</v>
      </c>
      <c r="AH412">
        <v>0</v>
      </c>
      <c r="AI412" t="s">
        <v>70</v>
      </c>
      <c r="AJ412" s="3" t="s">
        <v>82</v>
      </c>
      <c r="AK412" s="3">
        <v>0</v>
      </c>
      <c r="AL412" s="3" t="s">
        <v>83</v>
      </c>
    </row>
    <row r="413" spans="1:38" x14ac:dyDescent="0.3">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v>19566</v>
      </c>
      <c r="S413">
        <v>3854</v>
      </c>
      <c r="T413">
        <v>5</v>
      </c>
      <c r="U413" t="s">
        <v>43</v>
      </c>
      <c r="V413">
        <v>11</v>
      </c>
      <c r="W413">
        <v>3</v>
      </c>
      <c r="X413">
        <v>4</v>
      </c>
      <c r="Y413">
        <v>0</v>
      </c>
      <c r="Z413">
        <v>33</v>
      </c>
      <c r="AA413">
        <v>5</v>
      </c>
      <c r="AB413">
        <v>1</v>
      </c>
      <c r="AC413">
        <v>29</v>
      </c>
      <c r="AD413">
        <v>8</v>
      </c>
      <c r="AE413">
        <v>11</v>
      </c>
      <c r="AF413">
        <v>10</v>
      </c>
      <c r="AG413" t="s">
        <v>65</v>
      </c>
      <c r="AH413">
        <v>0</v>
      </c>
      <c r="AI413" t="s">
        <v>71</v>
      </c>
      <c r="AJ413" s="3" t="s">
        <v>83</v>
      </c>
      <c r="AK413" s="3">
        <v>1</v>
      </c>
      <c r="AL413" s="3" t="s">
        <v>83</v>
      </c>
    </row>
    <row r="414" spans="1:38" x14ac:dyDescent="0.3">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v>4810</v>
      </c>
      <c r="S414">
        <v>26314</v>
      </c>
      <c r="T414">
        <v>2</v>
      </c>
      <c r="U414" t="s">
        <v>43</v>
      </c>
      <c r="V414">
        <v>14</v>
      </c>
      <c r="W414">
        <v>3</v>
      </c>
      <c r="X414">
        <v>3</v>
      </c>
      <c r="Y414">
        <v>1</v>
      </c>
      <c r="Z414">
        <v>19</v>
      </c>
      <c r="AA414">
        <v>5</v>
      </c>
      <c r="AB414">
        <v>2</v>
      </c>
      <c r="AC414">
        <v>10</v>
      </c>
      <c r="AD414">
        <v>7</v>
      </c>
      <c r="AE414">
        <v>0</v>
      </c>
      <c r="AF414">
        <v>8</v>
      </c>
      <c r="AG414" t="s">
        <v>65</v>
      </c>
      <c r="AH414">
        <v>0</v>
      </c>
      <c r="AI414" t="s">
        <v>69</v>
      </c>
      <c r="AJ414" s="3" t="s">
        <v>84</v>
      </c>
      <c r="AK414" s="3">
        <v>0</v>
      </c>
      <c r="AL414" s="3" t="s">
        <v>83</v>
      </c>
    </row>
    <row r="415" spans="1:38" x14ac:dyDescent="0.3">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v>4523</v>
      </c>
      <c r="S415">
        <v>4386</v>
      </c>
      <c r="T415">
        <v>0</v>
      </c>
      <c r="U415" t="s">
        <v>43</v>
      </c>
      <c r="V415">
        <v>11</v>
      </c>
      <c r="W415">
        <v>3</v>
      </c>
      <c r="X415">
        <v>4</v>
      </c>
      <c r="Y415">
        <v>3</v>
      </c>
      <c r="Z415">
        <v>7</v>
      </c>
      <c r="AA415">
        <v>4</v>
      </c>
      <c r="AB415">
        <v>4</v>
      </c>
      <c r="AC415">
        <v>6</v>
      </c>
      <c r="AD415">
        <v>5</v>
      </c>
      <c r="AE415">
        <v>0</v>
      </c>
      <c r="AF415">
        <v>4</v>
      </c>
      <c r="AG415" t="s">
        <v>65</v>
      </c>
      <c r="AH415">
        <v>0</v>
      </c>
      <c r="AI415" t="s">
        <v>70</v>
      </c>
      <c r="AJ415" s="3" t="s">
        <v>82</v>
      </c>
      <c r="AK415" s="3">
        <v>0</v>
      </c>
      <c r="AL415" s="3" t="s">
        <v>83</v>
      </c>
    </row>
    <row r="416" spans="1:38" x14ac:dyDescent="0.3">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v>3202</v>
      </c>
      <c r="S416">
        <v>21972</v>
      </c>
      <c r="T416">
        <v>1</v>
      </c>
      <c r="U416" t="s">
        <v>35</v>
      </c>
      <c r="V416">
        <v>16</v>
      </c>
      <c r="W416">
        <v>3</v>
      </c>
      <c r="X416">
        <v>2</v>
      </c>
      <c r="Y416">
        <v>0</v>
      </c>
      <c r="Z416">
        <v>6</v>
      </c>
      <c r="AA416">
        <v>4</v>
      </c>
      <c r="AB416">
        <v>3</v>
      </c>
      <c r="AC416">
        <v>5</v>
      </c>
      <c r="AD416">
        <v>3</v>
      </c>
      <c r="AE416">
        <v>1</v>
      </c>
      <c r="AF416">
        <v>4</v>
      </c>
      <c r="AG416" t="s">
        <v>68</v>
      </c>
      <c r="AH416">
        <v>1</v>
      </c>
      <c r="AI416" t="s">
        <v>70</v>
      </c>
      <c r="AJ416" s="3" t="s">
        <v>83</v>
      </c>
      <c r="AK416" s="3">
        <v>2</v>
      </c>
      <c r="AL416" s="3" t="s">
        <v>84</v>
      </c>
    </row>
    <row r="417" spans="1:38" x14ac:dyDescent="0.3">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v>2351</v>
      </c>
      <c r="S417">
        <v>12253</v>
      </c>
      <c r="T417">
        <v>0</v>
      </c>
      <c r="U417" t="s">
        <v>43</v>
      </c>
      <c r="V417">
        <v>16</v>
      </c>
      <c r="W417">
        <v>3</v>
      </c>
      <c r="X417">
        <v>4</v>
      </c>
      <c r="Y417">
        <v>1</v>
      </c>
      <c r="Z417">
        <v>3</v>
      </c>
      <c r="AA417">
        <v>3</v>
      </c>
      <c r="AB417">
        <v>2</v>
      </c>
      <c r="AC417">
        <v>2</v>
      </c>
      <c r="AD417">
        <v>2</v>
      </c>
      <c r="AE417">
        <v>1</v>
      </c>
      <c r="AF417">
        <v>0</v>
      </c>
      <c r="AG417" t="s">
        <v>67</v>
      </c>
      <c r="AH417">
        <v>1</v>
      </c>
      <c r="AI417" t="s">
        <v>72</v>
      </c>
      <c r="AJ417" s="3" t="s">
        <v>84</v>
      </c>
      <c r="AK417" s="3">
        <v>1</v>
      </c>
      <c r="AL417" s="3" t="s">
        <v>83</v>
      </c>
    </row>
    <row r="418" spans="1:38" x14ac:dyDescent="0.3">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v>1702</v>
      </c>
      <c r="S418">
        <v>12106</v>
      </c>
      <c r="T418">
        <v>1</v>
      </c>
      <c r="U418" t="s">
        <v>35</v>
      </c>
      <c r="V418">
        <v>23</v>
      </c>
      <c r="W418">
        <v>4</v>
      </c>
      <c r="X418">
        <v>3</v>
      </c>
      <c r="Y418">
        <v>1</v>
      </c>
      <c r="Z418">
        <v>1</v>
      </c>
      <c r="AA418">
        <v>3</v>
      </c>
      <c r="AB418">
        <v>3</v>
      </c>
      <c r="AC418">
        <v>1</v>
      </c>
      <c r="AD418">
        <v>0</v>
      </c>
      <c r="AE418">
        <v>0</v>
      </c>
      <c r="AF418">
        <v>0</v>
      </c>
      <c r="AG418" t="s">
        <v>67</v>
      </c>
      <c r="AH418">
        <v>0</v>
      </c>
      <c r="AI418" t="s">
        <v>71</v>
      </c>
      <c r="AJ418" s="3" t="s">
        <v>82</v>
      </c>
      <c r="AK418" s="3">
        <v>2</v>
      </c>
      <c r="AL418" s="3" t="s">
        <v>84</v>
      </c>
    </row>
    <row r="419" spans="1:38" x14ac:dyDescent="0.3">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v>18041</v>
      </c>
      <c r="S419">
        <v>13022</v>
      </c>
      <c r="T419">
        <v>0</v>
      </c>
      <c r="U419" t="s">
        <v>43</v>
      </c>
      <c r="V419">
        <v>14</v>
      </c>
      <c r="W419">
        <v>3</v>
      </c>
      <c r="X419">
        <v>4</v>
      </c>
      <c r="Y419">
        <v>0</v>
      </c>
      <c r="Z419">
        <v>21</v>
      </c>
      <c r="AA419">
        <v>2</v>
      </c>
      <c r="AB419">
        <v>3</v>
      </c>
      <c r="AC419">
        <v>20</v>
      </c>
      <c r="AD419">
        <v>15</v>
      </c>
      <c r="AE419">
        <v>1</v>
      </c>
      <c r="AF419">
        <v>12</v>
      </c>
      <c r="AG419" t="s">
        <v>65</v>
      </c>
      <c r="AH419">
        <v>0</v>
      </c>
      <c r="AI419" t="s">
        <v>71</v>
      </c>
      <c r="AJ419" s="3" t="s">
        <v>84</v>
      </c>
      <c r="AK419" s="3">
        <v>0</v>
      </c>
      <c r="AL419" s="3" t="s">
        <v>83</v>
      </c>
    </row>
    <row r="420" spans="1:38" x14ac:dyDescent="0.3">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v>2886</v>
      </c>
      <c r="S420">
        <v>3032</v>
      </c>
      <c r="T420">
        <v>1</v>
      </c>
      <c r="U420" t="s">
        <v>43</v>
      </c>
      <c r="V420">
        <v>22</v>
      </c>
      <c r="W420">
        <v>4</v>
      </c>
      <c r="X420">
        <v>2</v>
      </c>
      <c r="Y420">
        <v>2</v>
      </c>
      <c r="Z420">
        <v>3</v>
      </c>
      <c r="AA420">
        <v>3</v>
      </c>
      <c r="AB420">
        <v>1</v>
      </c>
      <c r="AC420">
        <v>3</v>
      </c>
      <c r="AD420">
        <v>2</v>
      </c>
      <c r="AE420">
        <v>0</v>
      </c>
      <c r="AF420">
        <v>2</v>
      </c>
      <c r="AG420" t="s">
        <v>67</v>
      </c>
      <c r="AH420">
        <v>0</v>
      </c>
      <c r="AI420" t="s">
        <v>70</v>
      </c>
      <c r="AJ420" s="3" t="s">
        <v>82</v>
      </c>
      <c r="AK420" s="3">
        <v>1</v>
      </c>
      <c r="AL420" s="3" t="s">
        <v>83</v>
      </c>
    </row>
    <row r="421" spans="1:38" x14ac:dyDescent="0.3">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v>2097</v>
      </c>
      <c r="S421">
        <v>16734</v>
      </c>
      <c r="T421">
        <v>4</v>
      </c>
      <c r="U421" t="s">
        <v>43</v>
      </c>
      <c r="V421">
        <v>15</v>
      </c>
      <c r="W421">
        <v>3</v>
      </c>
      <c r="X421">
        <v>3</v>
      </c>
      <c r="Y421">
        <v>1</v>
      </c>
      <c r="Z421">
        <v>9</v>
      </c>
      <c r="AA421">
        <v>3</v>
      </c>
      <c r="AB421">
        <v>1</v>
      </c>
      <c r="AC421">
        <v>5</v>
      </c>
      <c r="AD421">
        <v>3</v>
      </c>
      <c r="AE421">
        <v>1</v>
      </c>
      <c r="AF421">
        <v>4</v>
      </c>
      <c r="AG421" t="s">
        <v>68</v>
      </c>
      <c r="AH421">
        <v>0</v>
      </c>
      <c r="AI421" t="s">
        <v>72</v>
      </c>
      <c r="AJ421" s="3" t="s">
        <v>82</v>
      </c>
      <c r="AK421" s="3">
        <v>0</v>
      </c>
      <c r="AL421" s="3" t="s">
        <v>83</v>
      </c>
    </row>
    <row r="422" spans="1:38" x14ac:dyDescent="0.3">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v>11935</v>
      </c>
      <c r="S422">
        <v>21526</v>
      </c>
      <c r="T422">
        <v>1</v>
      </c>
      <c r="U422" t="s">
        <v>43</v>
      </c>
      <c r="V422">
        <v>18</v>
      </c>
      <c r="W422">
        <v>3</v>
      </c>
      <c r="X422">
        <v>3</v>
      </c>
      <c r="Y422">
        <v>0</v>
      </c>
      <c r="Z422">
        <v>10</v>
      </c>
      <c r="AA422">
        <v>2</v>
      </c>
      <c r="AB422">
        <v>3</v>
      </c>
      <c r="AC422">
        <v>10</v>
      </c>
      <c r="AD422">
        <v>2</v>
      </c>
      <c r="AE422">
        <v>0</v>
      </c>
      <c r="AF422">
        <v>7</v>
      </c>
      <c r="AG422" t="s">
        <v>65</v>
      </c>
      <c r="AH422">
        <v>0</v>
      </c>
      <c r="AI422" t="s">
        <v>71</v>
      </c>
      <c r="AJ422" s="3" t="s">
        <v>84</v>
      </c>
      <c r="AK422" s="3">
        <v>0</v>
      </c>
      <c r="AL422" s="3" t="s">
        <v>83</v>
      </c>
    </row>
    <row r="423" spans="1:38" x14ac:dyDescent="0.3">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v>2546</v>
      </c>
      <c r="S423">
        <v>18300</v>
      </c>
      <c r="T423">
        <v>5</v>
      </c>
      <c r="U423" t="s">
        <v>43</v>
      </c>
      <c r="V423">
        <v>16</v>
      </c>
      <c r="W423">
        <v>3</v>
      </c>
      <c r="X423">
        <v>2</v>
      </c>
      <c r="Y423">
        <v>0</v>
      </c>
      <c r="Z423">
        <v>6</v>
      </c>
      <c r="AA423">
        <v>2</v>
      </c>
      <c r="AB423">
        <v>4</v>
      </c>
      <c r="AC423">
        <v>2</v>
      </c>
      <c r="AD423">
        <v>2</v>
      </c>
      <c r="AE423">
        <v>1</v>
      </c>
      <c r="AF423">
        <v>1</v>
      </c>
      <c r="AG423" t="s">
        <v>67</v>
      </c>
      <c r="AH423">
        <v>1</v>
      </c>
      <c r="AI423" t="s">
        <v>72</v>
      </c>
      <c r="AJ423" s="3" t="s">
        <v>83</v>
      </c>
      <c r="AK423" s="3">
        <v>2</v>
      </c>
      <c r="AL423" s="3" t="s">
        <v>84</v>
      </c>
    </row>
    <row r="424" spans="1:38" x14ac:dyDescent="0.3">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v>2564</v>
      </c>
      <c r="S424">
        <v>18437</v>
      </c>
      <c r="T424">
        <v>1</v>
      </c>
      <c r="U424" t="s">
        <v>43</v>
      </c>
      <c r="V424">
        <v>12</v>
      </c>
      <c r="W424">
        <v>3</v>
      </c>
      <c r="X424">
        <v>3</v>
      </c>
      <c r="Y424">
        <v>0</v>
      </c>
      <c r="Z424">
        <v>1</v>
      </c>
      <c r="AA424">
        <v>3</v>
      </c>
      <c r="AB424">
        <v>4</v>
      </c>
      <c r="AC424">
        <v>1</v>
      </c>
      <c r="AD424">
        <v>0</v>
      </c>
      <c r="AE424">
        <v>0</v>
      </c>
      <c r="AF424">
        <v>0</v>
      </c>
      <c r="AG424" t="s">
        <v>67</v>
      </c>
      <c r="AH424">
        <v>1</v>
      </c>
      <c r="AI424" t="s">
        <v>72</v>
      </c>
      <c r="AJ424" s="3" t="s">
        <v>82</v>
      </c>
      <c r="AK424" s="3">
        <v>1</v>
      </c>
      <c r="AL424" s="3" t="s">
        <v>83</v>
      </c>
    </row>
    <row r="425" spans="1:38" x14ac:dyDescent="0.3">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v>8412</v>
      </c>
      <c r="S425">
        <v>2890</v>
      </c>
      <c r="T425">
        <v>0</v>
      </c>
      <c r="U425" t="s">
        <v>43</v>
      </c>
      <c r="V425">
        <v>11</v>
      </c>
      <c r="W425">
        <v>3</v>
      </c>
      <c r="X425">
        <v>3</v>
      </c>
      <c r="Y425">
        <v>0</v>
      </c>
      <c r="Z425">
        <v>10</v>
      </c>
      <c r="AA425">
        <v>3</v>
      </c>
      <c r="AB425">
        <v>3</v>
      </c>
      <c r="AC425">
        <v>9</v>
      </c>
      <c r="AD425">
        <v>8</v>
      </c>
      <c r="AE425">
        <v>7</v>
      </c>
      <c r="AF425">
        <v>8</v>
      </c>
      <c r="AG425" t="s">
        <v>65</v>
      </c>
      <c r="AH425">
        <v>0</v>
      </c>
      <c r="AI425" t="s">
        <v>72</v>
      </c>
      <c r="AJ425" s="3" t="s">
        <v>83</v>
      </c>
      <c r="AK425" s="3">
        <v>1</v>
      </c>
      <c r="AL425" s="3" t="s">
        <v>83</v>
      </c>
    </row>
    <row r="426" spans="1:38" x14ac:dyDescent="0.3">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v>14118</v>
      </c>
      <c r="S426">
        <v>22102</v>
      </c>
      <c r="T426">
        <v>3</v>
      </c>
      <c r="U426" t="s">
        <v>43</v>
      </c>
      <c r="V426">
        <v>12</v>
      </c>
      <c r="W426">
        <v>3</v>
      </c>
      <c r="X426">
        <v>3</v>
      </c>
      <c r="Y426">
        <v>1</v>
      </c>
      <c r="Z426">
        <v>32</v>
      </c>
      <c r="AA426">
        <v>3</v>
      </c>
      <c r="AB426">
        <v>2</v>
      </c>
      <c r="AC426">
        <v>1</v>
      </c>
      <c r="AD426">
        <v>0</v>
      </c>
      <c r="AE426">
        <v>0</v>
      </c>
      <c r="AF426">
        <v>0</v>
      </c>
      <c r="AG426" t="s">
        <v>67</v>
      </c>
      <c r="AH426">
        <v>0</v>
      </c>
      <c r="AI426" t="s">
        <v>71</v>
      </c>
      <c r="AJ426" s="3" t="s">
        <v>82</v>
      </c>
      <c r="AK426" s="3">
        <v>1</v>
      </c>
      <c r="AL426" s="3" t="s">
        <v>83</v>
      </c>
    </row>
    <row r="427" spans="1:38" x14ac:dyDescent="0.3">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v>17046</v>
      </c>
      <c r="S427">
        <v>9314</v>
      </c>
      <c r="T427">
        <v>0</v>
      </c>
      <c r="U427" t="s">
        <v>43</v>
      </c>
      <c r="V427">
        <v>15</v>
      </c>
      <c r="W427">
        <v>3</v>
      </c>
      <c r="X427">
        <v>2</v>
      </c>
      <c r="Y427">
        <v>1</v>
      </c>
      <c r="Z427">
        <v>28</v>
      </c>
      <c r="AA427">
        <v>2</v>
      </c>
      <c r="AB427">
        <v>3</v>
      </c>
      <c r="AC427">
        <v>27</v>
      </c>
      <c r="AD427">
        <v>10</v>
      </c>
      <c r="AE427">
        <v>15</v>
      </c>
      <c r="AF427">
        <v>7</v>
      </c>
      <c r="AG427" t="s">
        <v>65</v>
      </c>
      <c r="AH427">
        <v>0</v>
      </c>
      <c r="AI427" t="s">
        <v>69</v>
      </c>
      <c r="AJ427" s="3" t="s">
        <v>84</v>
      </c>
      <c r="AK427" s="3">
        <v>0</v>
      </c>
      <c r="AL427" s="3" t="s">
        <v>83</v>
      </c>
    </row>
    <row r="428" spans="1:38" x14ac:dyDescent="0.3">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v>2564</v>
      </c>
      <c r="S428">
        <v>7181</v>
      </c>
      <c r="T428">
        <v>0</v>
      </c>
      <c r="U428" t="s">
        <v>43</v>
      </c>
      <c r="V428">
        <v>14</v>
      </c>
      <c r="W428">
        <v>3</v>
      </c>
      <c r="X428">
        <v>3</v>
      </c>
      <c r="Y428">
        <v>0</v>
      </c>
      <c r="Z428">
        <v>12</v>
      </c>
      <c r="AA428">
        <v>2</v>
      </c>
      <c r="AB428">
        <v>2</v>
      </c>
      <c r="AC428">
        <v>11</v>
      </c>
      <c r="AD428">
        <v>7</v>
      </c>
      <c r="AE428">
        <v>6</v>
      </c>
      <c r="AF428">
        <v>7</v>
      </c>
      <c r="AG428" t="s">
        <v>65</v>
      </c>
      <c r="AH428">
        <v>0</v>
      </c>
      <c r="AI428" t="s">
        <v>69</v>
      </c>
      <c r="AJ428" s="3" t="s">
        <v>82</v>
      </c>
      <c r="AK428" s="3">
        <v>0</v>
      </c>
      <c r="AL428" s="3" t="s">
        <v>83</v>
      </c>
    </row>
    <row r="429" spans="1:38" x14ac:dyDescent="0.3">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v>10266</v>
      </c>
      <c r="S429">
        <v>2845</v>
      </c>
      <c r="T429">
        <v>4</v>
      </c>
      <c r="U429" t="s">
        <v>43</v>
      </c>
      <c r="V429">
        <v>19</v>
      </c>
      <c r="W429">
        <v>3</v>
      </c>
      <c r="X429">
        <v>4</v>
      </c>
      <c r="Y429">
        <v>0</v>
      </c>
      <c r="Z429">
        <v>22</v>
      </c>
      <c r="AA429">
        <v>5</v>
      </c>
      <c r="AB429">
        <v>4</v>
      </c>
      <c r="AC429">
        <v>18</v>
      </c>
      <c r="AD429">
        <v>13</v>
      </c>
      <c r="AE429">
        <v>13</v>
      </c>
      <c r="AF429">
        <v>11</v>
      </c>
      <c r="AG429" t="s">
        <v>65</v>
      </c>
      <c r="AH429">
        <v>0</v>
      </c>
      <c r="AI429" t="s">
        <v>71</v>
      </c>
      <c r="AJ429" s="3" t="s">
        <v>83</v>
      </c>
      <c r="AK429" s="3">
        <v>1</v>
      </c>
      <c r="AL429" s="3" t="s">
        <v>83</v>
      </c>
    </row>
    <row r="430" spans="1:38" x14ac:dyDescent="0.3">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v>5070</v>
      </c>
      <c r="S430">
        <v>7389</v>
      </c>
      <c r="T430">
        <v>5</v>
      </c>
      <c r="U430" t="s">
        <v>43</v>
      </c>
      <c r="V430">
        <v>13</v>
      </c>
      <c r="W430">
        <v>3</v>
      </c>
      <c r="X430">
        <v>3</v>
      </c>
      <c r="Y430">
        <v>3</v>
      </c>
      <c r="Z430">
        <v>20</v>
      </c>
      <c r="AA430">
        <v>2</v>
      </c>
      <c r="AB430">
        <v>3</v>
      </c>
      <c r="AC430">
        <v>5</v>
      </c>
      <c r="AD430">
        <v>0</v>
      </c>
      <c r="AE430">
        <v>0</v>
      </c>
      <c r="AF430">
        <v>4</v>
      </c>
      <c r="AG430" t="s">
        <v>68</v>
      </c>
      <c r="AH430">
        <v>0</v>
      </c>
      <c r="AI430" t="s">
        <v>69</v>
      </c>
      <c r="AJ430" s="3" t="s">
        <v>82</v>
      </c>
      <c r="AK430" s="3">
        <v>0</v>
      </c>
      <c r="AL430" s="3" t="s">
        <v>83</v>
      </c>
    </row>
    <row r="431" spans="1:38" x14ac:dyDescent="0.3">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v>17861</v>
      </c>
      <c r="S431">
        <v>2288</v>
      </c>
      <c r="T431">
        <v>6</v>
      </c>
      <c r="U431" t="s">
        <v>43</v>
      </c>
      <c r="V431">
        <v>13</v>
      </c>
      <c r="W431">
        <v>3</v>
      </c>
      <c r="X431">
        <v>3</v>
      </c>
      <c r="Y431">
        <v>0</v>
      </c>
      <c r="Z431">
        <v>26</v>
      </c>
      <c r="AA431">
        <v>2</v>
      </c>
      <c r="AB431">
        <v>1</v>
      </c>
      <c r="AC431">
        <v>3</v>
      </c>
      <c r="AD431">
        <v>2</v>
      </c>
      <c r="AE431">
        <v>0</v>
      </c>
      <c r="AF431">
        <v>1</v>
      </c>
      <c r="AG431" t="s">
        <v>67</v>
      </c>
      <c r="AH431">
        <v>0</v>
      </c>
      <c r="AI431" t="s">
        <v>70</v>
      </c>
      <c r="AJ431" s="3" t="s">
        <v>84</v>
      </c>
      <c r="AK431" s="3">
        <v>1</v>
      </c>
      <c r="AL431" s="3" t="s">
        <v>83</v>
      </c>
    </row>
    <row r="432" spans="1:38" x14ac:dyDescent="0.3">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v>4230</v>
      </c>
      <c r="S432">
        <v>19225</v>
      </c>
      <c r="T432">
        <v>0</v>
      </c>
      <c r="U432" t="s">
        <v>43</v>
      </c>
      <c r="V432">
        <v>15</v>
      </c>
      <c r="W432">
        <v>3</v>
      </c>
      <c r="X432">
        <v>3</v>
      </c>
      <c r="Y432">
        <v>0</v>
      </c>
      <c r="Z432">
        <v>6</v>
      </c>
      <c r="AA432">
        <v>2</v>
      </c>
      <c r="AB432">
        <v>3</v>
      </c>
      <c r="AC432">
        <v>5</v>
      </c>
      <c r="AD432">
        <v>4</v>
      </c>
      <c r="AE432">
        <v>4</v>
      </c>
      <c r="AF432">
        <v>3</v>
      </c>
      <c r="AG432" t="s">
        <v>68</v>
      </c>
      <c r="AH432">
        <v>0</v>
      </c>
      <c r="AI432" t="s">
        <v>70</v>
      </c>
      <c r="AJ432" s="3" t="s">
        <v>84</v>
      </c>
      <c r="AK432" s="3">
        <v>0</v>
      </c>
      <c r="AL432" s="3" t="s">
        <v>83</v>
      </c>
    </row>
    <row r="433" spans="1:38" x14ac:dyDescent="0.3">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v>3780</v>
      </c>
      <c r="S433">
        <v>23428</v>
      </c>
      <c r="T433">
        <v>7</v>
      </c>
      <c r="U433" t="s">
        <v>43</v>
      </c>
      <c r="V433">
        <v>11</v>
      </c>
      <c r="W433">
        <v>3</v>
      </c>
      <c r="X433">
        <v>3</v>
      </c>
      <c r="Y433">
        <v>0</v>
      </c>
      <c r="Z433">
        <v>19</v>
      </c>
      <c r="AA433">
        <v>3</v>
      </c>
      <c r="AB433">
        <v>3</v>
      </c>
      <c r="AC433">
        <v>1</v>
      </c>
      <c r="AD433">
        <v>0</v>
      </c>
      <c r="AE433">
        <v>0</v>
      </c>
      <c r="AF433">
        <v>0</v>
      </c>
      <c r="AG433" t="s">
        <v>67</v>
      </c>
      <c r="AH433">
        <v>0</v>
      </c>
      <c r="AI433" t="s">
        <v>71</v>
      </c>
      <c r="AJ433" s="3" t="s">
        <v>84</v>
      </c>
      <c r="AK433" s="3">
        <v>1</v>
      </c>
      <c r="AL433" s="3" t="s">
        <v>83</v>
      </c>
    </row>
    <row r="434" spans="1:38" x14ac:dyDescent="0.3">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v>2768</v>
      </c>
      <c r="S434">
        <v>8416</v>
      </c>
      <c r="T434">
        <v>3</v>
      </c>
      <c r="U434" t="s">
        <v>43</v>
      </c>
      <c r="V434">
        <v>12</v>
      </c>
      <c r="W434">
        <v>3</v>
      </c>
      <c r="X434">
        <v>3</v>
      </c>
      <c r="Y434">
        <v>1</v>
      </c>
      <c r="Z434">
        <v>14</v>
      </c>
      <c r="AA434">
        <v>3</v>
      </c>
      <c r="AB434">
        <v>3</v>
      </c>
      <c r="AC434">
        <v>7</v>
      </c>
      <c r="AD434">
        <v>3</v>
      </c>
      <c r="AE434">
        <v>5</v>
      </c>
      <c r="AF434">
        <v>7</v>
      </c>
      <c r="AG434" t="s">
        <v>65</v>
      </c>
      <c r="AH434">
        <v>0</v>
      </c>
      <c r="AI434" t="s">
        <v>69</v>
      </c>
      <c r="AJ434" s="3" t="s">
        <v>84</v>
      </c>
      <c r="AK434" s="3">
        <v>0</v>
      </c>
      <c r="AL434" s="3" t="s">
        <v>83</v>
      </c>
    </row>
    <row r="435" spans="1:38" x14ac:dyDescent="0.3">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v>9071</v>
      </c>
      <c r="S435">
        <v>11563</v>
      </c>
      <c r="T435">
        <v>2</v>
      </c>
      <c r="U435" t="s">
        <v>35</v>
      </c>
      <c r="V435">
        <v>19</v>
      </c>
      <c r="W435">
        <v>3</v>
      </c>
      <c r="X435">
        <v>3</v>
      </c>
      <c r="Y435">
        <v>1</v>
      </c>
      <c r="Z435">
        <v>15</v>
      </c>
      <c r="AA435">
        <v>3</v>
      </c>
      <c r="AB435">
        <v>3</v>
      </c>
      <c r="AC435">
        <v>3</v>
      </c>
      <c r="AD435">
        <v>2</v>
      </c>
      <c r="AE435">
        <v>1</v>
      </c>
      <c r="AF435">
        <v>2</v>
      </c>
      <c r="AG435" t="s">
        <v>67</v>
      </c>
      <c r="AH435">
        <v>0</v>
      </c>
      <c r="AI435" t="s">
        <v>71</v>
      </c>
      <c r="AJ435" s="3" t="s">
        <v>82</v>
      </c>
      <c r="AK435" s="3">
        <v>2</v>
      </c>
      <c r="AL435" s="3" t="s">
        <v>84</v>
      </c>
    </row>
    <row r="436" spans="1:38" x14ac:dyDescent="0.3">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v>10648</v>
      </c>
      <c r="S436">
        <v>14394</v>
      </c>
      <c r="T436">
        <v>1</v>
      </c>
      <c r="U436" t="s">
        <v>43</v>
      </c>
      <c r="V436">
        <v>25</v>
      </c>
      <c r="W436">
        <v>4</v>
      </c>
      <c r="X436">
        <v>4</v>
      </c>
      <c r="Y436">
        <v>1</v>
      </c>
      <c r="Z436">
        <v>13</v>
      </c>
      <c r="AA436">
        <v>6</v>
      </c>
      <c r="AB436">
        <v>4</v>
      </c>
      <c r="AC436">
        <v>13</v>
      </c>
      <c r="AD436">
        <v>8</v>
      </c>
      <c r="AE436">
        <v>0</v>
      </c>
      <c r="AF436">
        <v>8</v>
      </c>
      <c r="AG436" t="s">
        <v>65</v>
      </c>
      <c r="AH436">
        <v>0</v>
      </c>
      <c r="AI436" t="s">
        <v>70</v>
      </c>
      <c r="AJ436" s="3" t="s">
        <v>83</v>
      </c>
      <c r="AK436" s="3">
        <v>1</v>
      </c>
      <c r="AL436" s="3" t="s">
        <v>83</v>
      </c>
    </row>
    <row r="437" spans="1:38" x14ac:dyDescent="0.3">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v>13610</v>
      </c>
      <c r="S437">
        <v>24619</v>
      </c>
      <c r="T437">
        <v>7</v>
      </c>
      <c r="U437" t="s">
        <v>35</v>
      </c>
      <c r="V437">
        <v>12</v>
      </c>
      <c r="W437">
        <v>3</v>
      </c>
      <c r="X437">
        <v>4</v>
      </c>
      <c r="Y437">
        <v>0</v>
      </c>
      <c r="Z437">
        <v>15</v>
      </c>
      <c r="AA437">
        <v>2</v>
      </c>
      <c r="AB437">
        <v>4</v>
      </c>
      <c r="AC437">
        <v>7</v>
      </c>
      <c r="AD437">
        <v>6</v>
      </c>
      <c r="AE437">
        <v>7</v>
      </c>
      <c r="AF437">
        <v>7</v>
      </c>
      <c r="AG437" t="s">
        <v>65</v>
      </c>
      <c r="AH437">
        <v>1</v>
      </c>
      <c r="AI437" t="s">
        <v>71</v>
      </c>
      <c r="AJ437" s="3" t="s">
        <v>84</v>
      </c>
      <c r="AK437" s="3">
        <v>1</v>
      </c>
      <c r="AL437" s="3" t="s">
        <v>83</v>
      </c>
    </row>
    <row r="438" spans="1:38" x14ac:dyDescent="0.3">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v>3408</v>
      </c>
      <c r="S438">
        <v>6705</v>
      </c>
      <c r="T438">
        <v>7</v>
      </c>
      <c r="U438" t="s">
        <v>43</v>
      </c>
      <c r="V438">
        <v>13</v>
      </c>
      <c r="W438">
        <v>3</v>
      </c>
      <c r="X438">
        <v>1</v>
      </c>
      <c r="Y438">
        <v>3</v>
      </c>
      <c r="Z438">
        <v>8</v>
      </c>
      <c r="AA438">
        <v>2</v>
      </c>
      <c r="AB438">
        <v>3</v>
      </c>
      <c r="AC438">
        <v>4</v>
      </c>
      <c r="AD438">
        <v>3</v>
      </c>
      <c r="AE438">
        <v>1</v>
      </c>
      <c r="AF438">
        <v>3</v>
      </c>
      <c r="AG438" t="s">
        <v>68</v>
      </c>
      <c r="AH438">
        <v>1</v>
      </c>
      <c r="AI438" t="s">
        <v>71</v>
      </c>
      <c r="AJ438" s="3" t="s">
        <v>82</v>
      </c>
      <c r="AK438" s="3">
        <v>0</v>
      </c>
      <c r="AL438" s="3" t="s">
        <v>83</v>
      </c>
    </row>
    <row r="439" spans="1:38" x14ac:dyDescent="0.3">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v>2983</v>
      </c>
      <c r="S439">
        <v>18398</v>
      </c>
      <c r="T439">
        <v>0</v>
      </c>
      <c r="U439" t="s">
        <v>43</v>
      </c>
      <c r="V439">
        <v>14</v>
      </c>
      <c r="W439">
        <v>3</v>
      </c>
      <c r="X439">
        <v>1</v>
      </c>
      <c r="Y439">
        <v>0</v>
      </c>
      <c r="Z439">
        <v>4</v>
      </c>
      <c r="AA439">
        <v>3</v>
      </c>
      <c r="AB439">
        <v>3</v>
      </c>
      <c r="AC439">
        <v>3</v>
      </c>
      <c r="AD439">
        <v>2</v>
      </c>
      <c r="AE439">
        <v>1</v>
      </c>
      <c r="AF439">
        <v>2</v>
      </c>
      <c r="AG439" t="s">
        <v>67</v>
      </c>
      <c r="AH439">
        <v>0</v>
      </c>
      <c r="AI439" t="s">
        <v>71</v>
      </c>
      <c r="AJ439" s="3" t="s">
        <v>83</v>
      </c>
      <c r="AK439" s="3">
        <v>2</v>
      </c>
      <c r="AL439" s="3" t="s">
        <v>84</v>
      </c>
    </row>
    <row r="440" spans="1:38" x14ac:dyDescent="0.3">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v>7632</v>
      </c>
      <c r="S440">
        <v>14295</v>
      </c>
      <c r="T440">
        <v>4</v>
      </c>
      <c r="U440" t="s">
        <v>35</v>
      </c>
      <c r="V440">
        <v>12</v>
      </c>
      <c r="W440">
        <v>3</v>
      </c>
      <c r="X440">
        <v>3</v>
      </c>
      <c r="Y440">
        <v>0</v>
      </c>
      <c r="Z440">
        <v>10</v>
      </c>
      <c r="AA440">
        <v>2</v>
      </c>
      <c r="AB440">
        <v>3</v>
      </c>
      <c r="AC440">
        <v>8</v>
      </c>
      <c r="AD440">
        <v>7</v>
      </c>
      <c r="AE440">
        <v>0</v>
      </c>
      <c r="AF440">
        <v>0</v>
      </c>
      <c r="AG440" t="s">
        <v>65</v>
      </c>
      <c r="AH440">
        <v>0</v>
      </c>
      <c r="AI440" t="s">
        <v>71</v>
      </c>
      <c r="AJ440" s="3" t="s">
        <v>84</v>
      </c>
      <c r="AK440" s="3">
        <v>1</v>
      </c>
      <c r="AL440" s="3" t="s">
        <v>83</v>
      </c>
    </row>
    <row r="441" spans="1:38" x14ac:dyDescent="0.3">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v>9824</v>
      </c>
      <c r="S441">
        <v>22908</v>
      </c>
      <c r="T441">
        <v>3</v>
      </c>
      <c r="U441" t="s">
        <v>43</v>
      </c>
      <c r="V441">
        <v>12</v>
      </c>
      <c r="W441">
        <v>3</v>
      </c>
      <c r="X441">
        <v>1</v>
      </c>
      <c r="Y441">
        <v>0</v>
      </c>
      <c r="Z441">
        <v>12</v>
      </c>
      <c r="AA441">
        <v>2</v>
      </c>
      <c r="AB441">
        <v>3</v>
      </c>
      <c r="AC441">
        <v>1</v>
      </c>
      <c r="AD441">
        <v>0</v>
      </c>
      <c r="AE441">
        <v>0</v>
      </c>
      <c r="AF441">
        <v>0</v>
      </c>
      <c r="AG441" t="s">
        <v>67</v>
      </c>
      <c r="AH441">
        <v>1</v>
      </c>
      <c r="AI441" t="s">
        <v>71</v>
      </c>
      <c r="AJ441" s="3" t="s">
        <v>84</v>
      </c>
      <c r="AK441" s="3">
        <v>1</v>
      </c>
      <c r="AL441" s="3" t="s">
        <v>83</v>
      </c>
    </row>
    <row r="442" spans="1:38" x14ac:dyDescent="0.3">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v>9950</v>
      </c>
      <c r="S442">
        <v>11533</v>
      </c>
      <c r="T442">
        <v>9</v>
      </c>
      <c r="U442" t="s">
        <v>35</v>
      </c>
      <c r="V442">
        <v>15</v>
      </c>
      <c r="W442">
        <v>3</v>
      </c>
      <c r="X442">
        <v>3</v>
      </c>
      <c r="Y442">
        <v>3</v>
      </c>
      <c r="Z442">
        <v>11</v>
      </c>
      <c r="AA442">
        <v>2</v>
      </c>
      <c r="AB442">
        <v>3</v>
      </c>
      <c r="AC442">
        <v>3</v>
      </c>
      <c r="AD442">
        <v>2</v>
      </c>
      <c r="AE442">
        <v>0</v>
      </c>
      <c r="AF442">
        <v>2</v>
      </c>
      <c r="AG442" t="s">
        <v>67</v>
      </c>
      <c r="AH442">
        <v>1</v>
      </c>
      <c r="AI442" t="s">
        <v>71</v>
      </c>
      <c r="AJ442" s="3" t="s">
        <v>83</v>
      </c>
      <c r="AK442" s="3">
        <v>3</v>
      </c>
      <c r="AL442" s="3" t="s">
        <v>82</v>
      </c>
    </row>
    <row r="443" spans="1:38" x14ac:dyDescent="0.3">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v>2093</v>
      </c>
      <c r="S443">
        <v>9260</v>
      </c>
      <c r="T443">
        <v>4</v>
      </c>
      <c r="U443" t="s">
        <v>43</v>
      </c>
      <c r="V443">
        <v>17</v>
      </c>
      <c r="W443">
        <v>3</v>
      </c>
      <c r="X443">
        <v>4</v>
      </c>
      <c r="Y443">
        <v>1</v>
      </c>
      <c r="Z443">
        <v>8</v>
      </c>
      <c r="AA443">
        <v>4</v>
      </c>
      <c r="AB443">
        <v>3</v>
      </c>
      <c r="AC443">
        <v>2</v>
      </c>
      <c r="AD443">
        <v>2</v>
      </c>
      <c r="AE443">
        <v>2</v>
      </c>
      <c r="AF443">
        <v>0</v>
      </c>
      <c r="AG443" t="s">
        <v>67</v>
      </c>
      <c r="AH443">
        <v>0</v>
      </c>
      <c r="AI443" t="s">
        <v>71</v>
      </c>
      <c r="AJ443" s="3" t="s">
        <v>84</v>
      </c>
      <c r="AK443" s="3">
        <v>1</v>
      </c>
      <c r="AL443" s="3" t="s">
        <v>83</v>
      </c>
    </row>
    <row r="444" spans="1:38" x14ac:dyDescent="0.3">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v>9980</v>
      </c>
      <c r="S444">
        <v>15318</v>
      </c>
      <c r="T444">
        <v>1</v>
      </c>
      <c r="U444" t="s">
        <v>43</v>
      </c>
      <c r="V444">
        <v>14</v>
      </c>
      <c r="W444">
        <v>3</v>
      </c>
      <c r="X444">
        <v>4</v>
      </c>
      <c r="Y444">
        <v>0</v>
      </c>
      <c r="Z444">
        <v>10</v>
      </c>
      <c r="AA444">
        <v>3</v>
      </c>
      <c r="AB444">
        <v>2</v>
      </c>
      <c r="AC444">
        <v>10</v>
      </c>
      <c r="AD444">
        <v>3</v>
      </c>
      <c r="AE444">
        <v>9</v>
      </c>
      <c r="AF444">
        <v>7</v>
      </c>
      <c r="AG444" t="s">
        <v>65</v>
      </c>
      <c r="AH444">
        <v>0</v>
      </c>
      <c r="AI444" t="s">
        <v>70</v>
      </c>
      <c r="AJ444" s="3" t="s">
        <v>82</v>
      </c>
      <c r="AK444" s="3">
        <v>0</v>
      </c>
      <c r="AL444" s="3" t="s">
        <v>83</v>
      </c>
    </row>
    <row r="445" spans="1:38" x14ac:dyDescent="0.3">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v>3894</v>
      </c>
      <c r="S445">
        <v>9129</v>
      </c>
      <c r="T445">
        <v>5</v>
      </c>
      <c r="U445" t="s">
        <v>43</v>
      </c>
      <c r="V445">
        <v>16</v>
      </c>
      <c r="W445">
        <v>3</v>
      </c>
      <c r="X445">
        <v>3</v>
      </c>
      <c r="Y445">
        <v>0</v>
      </c>
      <c r="Z445">
        <v>4</v>
      </c>
      <c r="AA445">
        <v>3</v>
      </c>
      <c r="AB445">
        <v>3</v>
      </c>
      <c r="AC445">
        <v>2</v>
      </c>
      <c r="AD445">
        <v>2</v>
      </c>
      <c r="AE445">
        <v>1</v>
      </c>
      <c r="AF445">
        <v>2</v>
      </c>
      <c r="AG445" t="s">
        <v>67</v>
      </c>
      <c r="AH445">
        <v>1</v>
      </c>
      <c r="AI445" t="s">
        <v>71</v>
      </c>
      <c r="AJ445" s="3" t="s">
        <v>84</v>
      </c>
      <c r="AK445" s="3">
        <v>1</v>
      </c>
      <c r="AL445" s="3" t="s">
        <v>83</v>
      </c>
    </row>
    <row r="446" spans="1:38" x14ac:dyDescent="0.3">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v>4051</v>
      </c>
      <c r="S446">
        <v>19658</v>
      </c>
      <c r="T446">
        <v>2</v>
      </c>
      <c r="U446" t="s">
        <v>43</v>
      </c>
      <c r="V446">
        <v>14</v>
      </c>
      <c r="W446">
        <v>3</v>
      </c>
      <c r="X446">
        <v>1</v>
      </c>
      <c r="Y446">
        <v>1</v>
      </c>
      <c r="Z446">
        <v>14</v>
      </c>
      <c r="AA446">
        <v>2</v>
      </c>
      <c r="AB446">
        <v>3</v>
      </c>
      <c r="AC446">
        <v>9</v>
      </c>
      <c r="AD446">
        <v>7</v>
      </c>
      <c r="AE446">
        <v>6</v>
      </c>
      <c r="AF446">
        <v>7</v>
      </c>
      <c r="AG446" t="s">
        <v>65</v>
      </c>
      <c r="AH446">
        <v>0</v>
      </c>
      <c r="AI446" t="s">
        <v>72</v>
      </c>
      <c r="AJ446" s="3" t="s">
        <v>82</v>
      </c>
      <c r="AK446" s="3">
        <v>0</v>
      </c>
      <c r="AL446" s="3" t="s">
        <v>83</v>
      </c>
    </row>
    <row r="447" spans="1:38" x14ac:dyDescent="0.3">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v>16835</v>
      </c>
      <c r="S447">
        <v>9873</v>
      </c>
      <c r="T447">
        <v>3</v>
      </c>
      <c r="U447" t="s">
        <v>43</v>
      </c>
      <c r="V447">
        <v>23</v>
      </c>
      <c r="W447">
        <v>4</v>
      </c>
      <c r="X447">
        <v>4</v>
      </c>
      <c r="Y447">
        <v>0</v>
      </c>
      <c r="Z447">
        <v>37</v>
      </c>
      <c r="AA447">
        <v>2</v>
      </c>
      <c r="AB447">
        <v>3</v>
      </c>
      <c r="AC447">
        <v>10</v>
      </c>
      <c r="AD447">
        <v>9</v>
      </c>
      <c r="AE447">
        <v>7</v>
      </c>
      <c r="AF447">
        <v>7</v>
      </c>
      <c r="AG447" t="s">
        <v>65</v>
      </c>
      <c r="AH447">
        <v>0</v>
      </c>
      <c r="AI447" t="s">
        <v>70</v>
      </c>
      <c r="AJ447" s="3" t="s">
        <v>83</v>
      </c>
      <c r="AK447" s="3">
        <v>1</v>
      </c>
      <c r="AL447" s="3" t="s">
        <v>83</v>
      </c>
    </row>
    <row r="448" spans="1:38" x14ac:dyDescent="0.3">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v>6230</v>
      </c>
      <c r="S448">
        <v>13430</v>
      </c>
      <c r="T448">
        <v>7</v>
      </c>
      <c r="U448" t="s">
        <v>43</v>
      </c>
      <c r="V448">
        <v>14</v>
      </c>
      <c r="W448">
        <v>3</v>
      </c>
      <c r="X448">
        <v>4</v>
      </c>
      <c r="Y448">
        <v>0</v>
      </c>
      <c r="Z448">
        <v>16</v>
      </c>
      <c r="AA448">
        <v>3</v>
      </c>
      <c r="AB448">
        <v>3</v>
      </c>
      <c r="AC448">
        <v>14</v>
      </c>
      <c r="AD448">
        <v>3</v>
      </c>
      <c r="AE448">
        <v>1</v>
      </c>
      <c r="AF448">
        <v>10</v>
      </c>
      <c r="AG448" t="s">
        <v>65</v>
      </c>
      <c r="AH448">
        <v>0</v>
      </c>
      <c r="AI448" t="s">
        <v>69</v>
      </c>
      <c r="AJ448" s="3" t="s">
        <v>82</v>
      </c>
      <c r="AK448" s="3">
        <v>0</v>
      </c>
      <c r="AL448" s="3" t="s">
        <v>83</v>
      </c>
    </row>
    <row r="449" spans="1:38" x14ac:dyDescent="0.3">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v>4717</v>
      </c>
      <c r="S449">
        <v>18659</v>
      </c>
      <c r="T449">
        <v>9</v>
      </c>
      <c r="U449" t="s">
        <v>43</v>
      </c>
      <c r="V449">
        <v>11</v>
      </c>
      <c r="W449">
        <v>3</v>
      </c>
      <c r="X449">
        <v>3</v>
      </c>
      <c r="Y449">
        <v>0</v>
      </c>
      <c r="Z449">
        <v>15</v>
      </c>
      <c r="AA449">
        <v>2</v>
      </c>
      <c r="AB449">
        <v>3</v>
      </c>
      <c r="AC449">
        <v>11</v>
      </c>
      <c r="AD449">
        <v>9</v>
      </c>
      <c r="AE449">
        <v>6</v>
      </c>
      <c r="AF449">
        <v>9</v>
      </c>
      <c r="AG449" t="s">
        <v>65</v>
      </c>
      <c r="AH449">
        <v>0</v>
      </c>
      <c r="AI449" t="s">
        <v>70</v>
      </c>
      <c r="AJ449" s="3" t="s">
        <v>84</v>
      </c>
      <c r="AK449" s="3">
        <v>0</v>
      </c>
      <c r="AL449" s="3" t="s">
        <v>83</v>
      </c>
    </row>
    <row r="450" spans="1:38" x14ac:dyDescent="0.3">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v>13237</v>
      </c>
      <c r="S450">
        <v>20364</v>
      </c>
      <c r="T450">
        <v>7</v>
      </c>
      <c r="U450" t="s">
        <v>43</v>
      </c>
      <c r="V450">
        <v>15</v>
      </c>
      <c r="W450">
        <v>3</v>
      </c>
      <c r="X450">
        <v>3</v>
      </c>
      <c r="Y450">
        <v>0</v>
      </c>
      <c r="Z450">
        <v>22</v>
      </c>
      <c r="AA450">
        <v>3</v>
      </c>
      <c r="AB450">
        <v>3</v>
      </c>
      <c r="AC450">
        <v>20</v>
      </c>
      <c r="AD450">
        <v>6</v>
      </c>
      <c r="AE450">
        <v>5</v>
      </c>
      <c r="AF450">
        <v>13</v>
      </c>
      <c r="AG450" t="s">
        <v>65</v>
      </c>
      <c r="AH450">
        <v>0</v>
      </c>
      <c r="AI450" t="s">
        <v>71</v>
      </c>
      <c r="AJ450" s="3" t="s">
        <v>84</v>
      </c>
      <c r="AK450" s="3">
        <v>0</v>
      </c>
      <c r="AL450" s="3" t="s">
        <v>83</v>
      </c>
    </row>
    <row r="451" spans="1:38" x14ac:dyDescent="0.3">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v>3755</v>
      </c>
      <c r="S451">
        <v>17872</v>
      </c>
      <c r="T451">
        <v>1</v>
      </c>
      <c r="U451" t="s">
        <v>43</v>
      </c>
      <c r="V451">
        <v>11</v>
      </c>
      <c r="W451">
        <v>3</v>
      </c>
      <c r="X451">
        <v>1</v>
      </c>
      <c r="Y451">
        <v>1</v>
      </c>
      <c r="Z451">
        <v>8</v>
      </c>
      <c r="AA451">
        <v>3</v>
      </c>
      <c r="AB451">
        <v>3</v>
      </c>
      <c r="AC451">
        <v>8</v>
      </c>
      <c r="AD451">
        <v>3</v>
      </c>
      <c r="AE451">
        <v>0</v>
      </c>
      <c r="AF451">
        <v>7</v>
      </c>
      <c r="AG451" t="s">
        <v>65</v>
      </c>
      <c r="AH451">
        <v>0</v>
      </c>
      <c r="AI451" t="s">
        <v>70</v>
      </c>
      <c r="AJ451" s="3" t="s">
        <v>84</v>
      </c>
      <c r="AK451" s="3">
        <v>0</v>
      </c>
      <c r="AL451" s="3" t="s">
        <v>83</v>
      </c>
    </row>
    <row r="452" spans="1:38" x14ac:dyDescent="0.3">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v>6582</v>
      </c>
      <c r="S452">
        <v>8346</v>
      </c>
      <c r="T452">
        <v>4</v>
      </c>
      <c r="U452" t="s">
        <v>35</v>
      </c>
      <c r="V452">
        <v>13</v>
      </c>
      <c r="W452">
        <v>3</v>
      </c>
      <c r="X452">
        <v>3</v>
      </c>
      <c r="Y452">
        <v>0</v>
      </c>
      <c r="Z452">
        <v>10</v>
      </c>
      <c r="AA452">
        <v>2</v>
      </c>
      <c r="AB452">
        <v>4</v>
      </c>
      <c r="AC452">
        <v>6</v>
      </c>
      <c r="AD452">
        <v>5</v>
      </c>
      <c r="AE452">
        <v>0</v>
      </c>
      <c r="AF452">
        <v>5</v>
      </c>
      <c r="AG452" t="s">
        <v>65</v>
      </c>
      <c r="AH452">
        <v>0</v>
      </c>
      <c r="AI452" t="s">
        <v>71</v>
      </c>
      <c r="AJ452" s="3" t="s">
        <v>82</v>
      </c>
      <c r="AK452" s="3">
        <v>1</v>
      </c>
      <c r="AL452" s="3" t="s">
        <v>83</v>
      </c>
    </row>
    <row r="453" spans="1:38" x14ac:dyDescent="0.3">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v>7406</v>
      </c>
      <c r="S453">
        <v>6950</v>
      </c>
      <c r="T453">
        <v>1</v>
      </c>
      <c r="U453" t="s">
        <v>35</v>
      </c>
      <c r="V453">
        <v>21</v>
      </c>
      <c r="W453">
        <v>4</v>
      </c>
      <c r="X453">
        <v>4</v>
      </c>
      <c r="Y453">
        <v>1</v>
      </c>
      <c r="Z453">
        <v>10</v>
      </c>
      <c r="AA453">
        <v>5</v>
      </c>
      <c r="AB453">
        <v>2</v>
      </c>
      <c r="AC453">
        <v>10</v>
      </c>
      <c r="AD453">
        <v>9</v>
      </c>
      <c r="AE453">
        <v>5</v>
      </c>
      <c r="AF453">
        <v>8</v>
      </c>
      <c r="AG453" t="s">
        <v>65</v>
      </c>
      <c r="AH453">
        <v>0</v>
      </c>
      <c r="AI453" t="s">
        <v>71</v>
      </c>
      <c r="AJ453" s="3" t="s">
        <v>83</v>
      </c>
      <c r="AK453" s="3">
        <v>2</v>
      </c>
      <c r="AL453" s="3" t="s">
        <v>84</v>
      </c>
    </row>
    <row r="454" spans="1:38" x14ac:dyDescent="0.3">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v>4805</v>
      </c>
      <c r="S454">
        <v>16177</v>
      </c>
      <c r="T454">
        <v>0</v>
      </c>
      <c r="U454" t="s">
        <v>43</v>
      </c>
      <c r="V454">
        <v>19</v>
      </c>
      <c r="W454">
        <v>3</v>
      </c>
      <c r="X454">
        <v>2</v>
      </c>
      <c r="Y454">
        <v>1</v>
      </c>
      <c r="Z454">
        <v>9</v>
      </c>
      <c r="AA454">
        <v>3</v>
      </c>
      <c r="AB454">
        <v>4</v>
      </c>
      <c r="AC454">
        <v>8</v>
      </c>
      <c r="AD454">
        <v>7</v>
      </c>
      <c r="AE454">
        <v>3</v>
      </c>
      <c r="AF454">
        <v>7</v>
      </c>
      <c r="AG454" t="s">
        <v>65</v>
      </c>
      <c r="AH454">
        <v>0</v>
      </c>
      <c r="AI454" t="s">
        <v>70</v>
      </c>
      <c r="AJ454" s="3" t="s">
        <v>83</v>
      </c>
      <c r="AK454" s="3">
        <v>1</v>
      </c>
      <c r="AL454" s="3" t="s">
        <v>83</v>
      </c>
    </row>
    <row r="455" spans="1:38" x14ac:dyDescent="0.3">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v>2741</v>
      </c>
      <c r="S455">
        <v>22808</v>
      </c>
      <c r="T455">
        <v>0</v>
      </c>
      <c r="U455" t="s">
        <v>35</v>
      </c>
      <c r="V455">
        <v>11</v>
      </c>
      <c r="W455">
        <v>3</v>
      </c>
      <c r="X455">
        <v>2</v>
      </c>
      <c r="Y455">
        <v>1</v>
      </c>
      <c r="Z455">
        <v>8</v>
      </c>
      <c r="AA455">
        <v>2</v>
      </c>
      <c r="AB455">
        <v>2</v>
      </c>
      <c r="AC455">
        <v>7</v>
      </c>
      <c r="AD455">
        <v>7</v>
      </c>
      <c r="AE455">
        <v>1</v>
      </c>
      <c r="AF455">
        <v>0</v>
      </c>
      <c r="AG455" t="s">
        <v>65</v>
      </c>
      <c r="AH455">
        <v>1</v>
      </c>
      <c r="AI455" t="s">
        <v>70</v>
      </c>
      <c r="AJ455" s="3" t="s">
        <v>84</v>
      </c>
      <c r="AK455" s="3">
        <v>1</v>
      </c>
      <c r="AL455" s="3" t="s">
        <v>83</v>
      </c>
    </row>
    <row r="456" spans="1:38" x14ac:dyDescent="0.3">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v>4262</v>
      </c>
      <c r="S456">
        <v>22645</v>
      </c>
      <c r="T456">
        <v>4</v>
      </c>
      <c r="U456" t="s">
        <v>43</v>
      </c>
      <c r="V456">
        <v>12</v>
      </c>
      <c r="W456">
        <v>3</v>
      </c>
      <c r="X456">
        <v>2</v>
      </c>
      <c r="Y456">
        <v>2</v>
      </c>
      <c r="Z456">
        <v>8</v>
      </c>
      <c r="AA456">
        <v>2</v>
      </c>
      <c r="AB456">
        <v>4</v>
      </c>
      <c r="AC456">
        <v>3</v>
      </c>
      <c r="AD456">
        <v>2</v>
      </c>
      <c r="AE456">
        <v>1</v>
      </c>
      <c r="AF456">
        <v>2</v>
      </c>
      <c r="AG456" t="s">
        <v>67</v>
      </c>
      <c r="AH456">
        <v>0</v>
      </c>
      <c r="AI456" t="s">
        <v>72</v>
      </c>
      <c r="AJ456" s="3" t="s">
        <v>82</v>
      </c>
      <c r="AK456" s="3">
        <v>1</v>
      </c>
      <c r="AL456" s="3" t="s">
        <v>83</v>
      </c>
    </row>
    <row r="457" spans="1:38" x14ac:dyDescent="0.3">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v>16184</v>
      </c>
      <c r="S457">
        <v>22578</v>
      </c>
      <c r="T457">
        <v>4</v>
      </c>
      <c r="U457" t="s">
        <v>43</v>
      </c>
      <c r="V457">
        <v>19</v>
      </c>
      <c r="W457">
        <v>3</v>
      </c>
      <c r="X457">
        <v>3</v>
      </c>
      <c r="Y457">
        <v>1</v>
      </c>
      <c r="Z457">
        <v>10</v>
      </c>
      <c r="AA457">
        <v>2</v>
      </c>
      <c r="AB457">
        <v>3</v>
      </c>
      <c r="AC457">
        <v>6</v>
      </c>
      <c r="AD457">
        <v>1</v>
      </c>
      <c r="AE457">
        <v>0</v>
      </c>
      <c r="AF457">
        <v>5</v>
      </c>
      <c r="AG457" t="s">
        <v>65</v>
      </c>
      <c r="AH457">
        <v>0</v>
      </c>
      <c r="AI457" t="s">
        <v>72</v>
      </c>
      <c r="AJ457" s="3" t="s">
        <v>84</v>
      </c>
      <c r="AK457" s="3">
        <v>0</v>
      </c>
      <c r="AL457" s="3" t="s">
        <v>83</v>
      </c>
    </row>
    <row r="458" spans="1:38" x14ac:dyDescent="0.3">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v>11557</v>
      </c>
      <c r="S458">
        <v>25291</v>
      </c>
      <c r="T458">
        <v>9</v>
      </c>
      <c r="U458" t="s">
        <v>43</v>
      </c>
      <c r="V458">
        <v>21</v>
      </c>
      <c r="W458">
        <v>4</v>
      </c>
      <c r="X458">
        <v>3</v>
      </c>
      <c r="Y458">
        <v>1</v>
      </c>
      <c r="Z458">
        <v>10</v>
      </c>
      <c r="AA458">
        <v>3</v>
      </c>
      <c r="AB458">
        <v>2</v>
      </c>
      <c r="AC458">
        <v>5</v>
      </c>
      <c r="AD458">
        <v>4</v>
      </c>
      <c r="AE458">
        <v>0</v>
      </c>
      <c r="AF458">
        <v>1</v>
      </c>
      <c r="AG458" t="s">
        <v>68</v>
      </c>
      <c r="AH458">
        <v>0</v>
      </c>
      <c r="AI458" t="s">
        <v>71</v>
      </c>
      <c r="AJ458" s="3" t="s">
        <v>82</v>
      </c>
      <c r="AK458" s="3">
        <v>0</v>
      </c>
      <c r="AL458" s="3" t="s">
        <v>83</v>
      </c>
    </row>
    <row r="459" spans="1:38" x14ac:dyDescent="0.3">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v>1878</v>
      </c>
      <c r="S459">
        <v>8059</v>
      </c>
      <c r="T459">
        <v>1</v>
      </c>
      <c r="U459" t="s">
        <v>35</v>
      </c>
      <c r="V459">
        <v>14</v>
      </c>
      <c r="W459">
        <v>3</v>
      </c>
      <c r="X459">
        <v>4</v>
      </c>
      <c r="Y459">
        <v>0</v>
      </c>
      <c r="Z459">
        <v>0</v>
      </c>
      <c r="AA459">
        <v>3</v>
      </c>
      <c r="AB459">
        <v>3</v>
      </c>
      <c r="AC459">
        <v>0</v>
      </c>
      <c r="AD459">
        <v>0</v>
      </c>
      <c r="AE459">
        <v>0</v>
      </c>
      <c r="AF459">
        <v>0</v>
      </c>
      <c r="AG459" t="s">
        <v>66</v>
      </c>
      <c r="AH459">
        <v>1</v>
      </c>
      <c r="AI459" t="s">
        <v>71</v>
      </c>
      <c r="AJ459" s="3" t="s">
        <v>83</v>
      </c>
      <c r="AK459" s="3">
        <v>3</v>
      </c>
      <c r="AL459" s="3" t="s">
        <v>82</v>
      </c>
    </row>
    <row r="460" spans="1:38" x14ac:dyDescent="0.3">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v>10932</v>
      </c>
      <c r="S460">
        <v>11373</v>
      </c>
      <c r="T460">
        <v>3</v>
      </c>
      <c r="U460" t="s">
        <v>43</v>
      </c>
      <c r="V460">
        <v>15</v>
      </c>
      <c r="W460">
        <v>3</v>
      </c>
      <c r="X460">
        <v>3</v>
      </c>
      <c r="Y460">
        <v>1</v>
      </c>
      <c r="Z460">
        <v>20</v>
      </c>
      <c r="AA460">
        <v>2</v>
      </c>
      <c r="AB460">
        <v>3</v>
      </c>
      <c r="AC460">
        <v>1</v>
      </c>
      <c r="AD460">
        <v>0</v>
      </c>
      <c r="AE460">
        <v>0</v>
      </c>
      <c r="AF460">
        <v>1</v>
      </c>
      <c r="AG460" t="s">
        <v>67</v>
      </c>
      <c r="AH460">
        <v>0</v>
      </c>
      <c r="AI460" t="s">
        <v>72</v>
      </c>
      <c r="AJ460" s="3" t="s">
        <v>83</v>
      </c>
      <c r="AK460" s="3">
        <v>2</v>
      </c>
      <c r="AL460" s="3" t="s">
        <v>84</v>
      </c>
    </row>
    <row r="461" spans="1:38" x14ac:dyDescent="0.3">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v>6811</v>
      </c>
      <c r="S461">
        <v>2112</v>
      </c>
      <c r="T461">
        <v>2</v>
      </c>
      <c r="U461" t="s">
        <v>35</v>
      </c>
      <c r="V461">
        <v>17</v>
      </c>
      <c r="W461">
        <v>3</v>
      </c>
      <c r="X461">
        <v>1</v>
      </c>
      <c r="Y461">
        <v>0</v>
      </c>
      <c r="Z461">
        <v>10</v>
      </c>
      <c r="AA461">
        <v>3</v>
      </c>
      <c r="AB461">
        <v>3</v>
      </c>
      <c r="AC461">
        <v>8</v>
      </c>
      <c r="AD461">
        <v>7</v>
      </c>
      <c r="AE461">
        <v>0</v>
      </c>
      <c r="AF461">
        <v>7</v>
      </c>
      <c r="AG461" t="s">
        <v>65</v>
      </c>
      <c r="AH461">
        <v>0</v>
      </c>
      <c r="AI461" t="s">
        <v>70</v>
      </c>
      <c r="AJ461" s="3" t="s">
        <v>84</v>
      </c>
      <c r="AK461" s="3">
        <v>1</v>
      </c>
      <c r="AL461" s="3" t="s">
        <v>83</v>
      </c>
    </row>
    <row r="462" spans="1:38" x14ac:dyDescent="0.3">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v>4306</v>
      </c>
      <c r="S462">
        <v>4267</v>
      </c>
      <c r="T462">
        <v>5</v>
      </c>
      <c r="U462" t="s">
        <v>43</v>
      </c>
      <c r="V462">
        <v>12</v>
      </c>
      <c r="W462">
        <v>3</v>
      </c>
      <c r="X462">
        <v>1</v>
      </c>
      <c r="Y462">
        <v>2</v>
      </c>
      <c r="Z462">
        <v>8</v>
      </c>
      <c r="AA462">
        <v>5</v>
      </c>
      <c r="AB462">
        <v>3</v>
      </c>
      <c r="AC462">
        <v>0</v>
      </c>
      <c r="AD462">
        <v>0</v>
      </c>
      <c r="AE462">
        <v>0</v>
      </c>
      <c r="AF462">
        <v>0</v>
      </c>
      <c r="AG462" t="s">
        <v>66</v>
      </c>
      <c r="AH462">
        <v>0</v>
      </c>
      <c r="AI462" t="s">
        <v>70</v>
      </c>
      <c r="AJ462" s="3" t="s">
        <v>84</v>
      </c>
      <c r="AK462" s="3">
        <v>1</v>
      </c>
      <c r="AL462" s="3" t="s">
        <v>83</v>
      </c>
    </row>
    <row r="463" spans="1:38" x14ac:dyDescent="0.3">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v>4859</v>
      </c>
      <c r="S463">
        <v>6698</v>
      </c>
      <c r="T463">
        <v>1</v>
      </c>
      <c r="U463" t="s">
        <v>43</v>
      </c>
      <c r="V463">
        <v>16</v>
      </c>
      <c r="W463">
        <v>3</v>
      </c>
      <c r="X463">
        <v>4</v>
      </c>
      <c r="Y463">
        <v>0</v>
      </c>
      <c r="Z463">
        <v>5</v>
      </c>
      <c r="AA463">
        <v>3</v>
      </c>
      <c r="AB463">
        <v>3</v>
      </c>
      <c r="AC463">
        <v>5</v>
      </c>
      <c r="AD463">
        <v>4</v>
      </c>
      <c r="AE463">
        <v>0</v>
      </c>
      <c r="AF463">
        <v>3</v>
      </c>
      <c r="AG463" t="s">
        <v>68</v>
      </c>
      <c r="AH463">
        <v>0</v>
      </c>
      <c r="AI463" t="s">
        <v>72</v>
      </c>
      <c r="AJ463" s="3" t="s">
        <v>84</v>
      </c>
      <c r="AK463" s="3">
        <v>0</v>
      </c>
      <c r="AL463" s="3" t="s">
        <v>83</v>
      </c>
    </row>
    <row r="464" spans="1:38" x14ac:dyDescent="0.3">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v>5337</v>
      </c>
      <c r="S464">
        <v>19921</v>
      </c>
      <c r="T464">
        <v>1</v>
      </c>
      <c r="U464" t="s">
        <v>43</v>
      </c>
      <c r="V464">
        <v>12</v>
      </c>
      <c r="W464">
        <v>3</v>
      </c>
      <c r="X464">
        <v>4</v>
      </c>
      <c r="Y464">
        <v>0</v>
      </c>
      <c r="Z464">
        <v>10</v>
      </c>
      <c r="AA464">
        <v>3</v>
      </c>
      <c r="AB464">
        <v>3</v>
      </c>
      <c r="AC464">
        <v>10</v>
      </c>
      <c r="AD464">
        <v>7</v>
      </c>
      <c r="AE464">
        <v>5</v>
      </c>
      <c r="AF464">
        <v>7</v>
      </c>
      <c r="AG464" t="s">
        <v>65</v>
      </c>
      <c r="AH464">
        <v>0</v>
      </c>
      <c r="AI464" t="s">
        <v>71</v>
      </c>
      <c r="AJ464" s="3" t="s">
        <v>82</v>
      </c>
      <c r="AK464" s="3">
        <v>0</v>
      </c>
      <c r="AL464" s="3" t="s">
        <v>83</v>
      </c>
    </row>
    <row r="465" spans="1:38" x14ac:dyDescent="0.3">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v>2340</v>
      </c>
      <c r="S465">
        <v>23213</v>
      </c>
      <c r="T465">
        <v>1</v>
      </c>
      <c r="U465" t="s">
        <v>35</v>
      </c>
      <c r="V465">
        <v>18</v>
      </c>
      <c r="W465">
        <v>3</v>
      </c>
      <c r="X465">
        <v>2</v>
      </c>
      <c r="Y465">
        <v>0</v>
      </c>
      <c r="Z465">
        <v>1</v>
      </c>
      <c r="AA465">
        <v>3</v>
      </c>
      <c r="AB465">
        <v>1</v>
      </c>
      <c r="AC465">
        <v>1</v>
      </c>
      <c r="AD465">
        <v>0</v>
      </c>
      <c r="AE465">
        <v>0</v>
      </c>
      <c r="AF465">
        <v>0</v>
      </c>
      <c r="AG465" t="s">
        <v>67</v>
      </c>
      <c r="AH465">
        <v>1</v>
      </c>
      <c r="AI465" t="s">
        <v>71</v>
      </c>
      <c r="AJ465" s="3" t="s">
        <v>82</v>
      </c>
      <c r="AK465" s="3">
        <v>2</v>
      </c>
      <c r="AL465" s="3" t="s">
        <v>84</v>
      </c>
    </row>
    <row r="466" spans="1:38" x14ac:dyDescent="0.3">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v>7491</v>
      </c>
      <c r="S466">
        <v>23848</v>
      </c>
      <c r="T466">
        <v>4</v>
      </c>
      <c r="U466" t="s">
        <v>43</v>
      </c>
      <c r="V466">
        <v>17</v>
      </c>
      <c r="W466">
        <v>3</v>
      </c>
      <c r="X466">
        <v>4</v>
      </c>
      <c r="Y466">
        <v>0</v>
      </c>
      <c r="Z466">
        <v>12</v>
      </c>
      <c r="AA466">
        <v>3</v>
      </c>
      <c r="AB466">
        <v>4</v>
      </c>
      <c r="AC466">
        <v>6</v>
      </c>
      <c r="AD466">
        <v>5</v>
      </c>
      <c r="AE466">
        <v>1</v>
      </c>
      <c r="AF466">
        <v>2</v>
      </c>
      <c r="AG466" t="s">
        <v>65</v>
      </c>
      <c r="AH466">
        <v>0</v>
      </c>
      <c r="AI466" t="s">
        <v>72</v>
      </c>
      <c r="AJ466" s="3" t="s">
        <v>82</v>
      </c>
      <c r="AK466" s="3">
        <v>0</v>
      </c>
      <c r="AL466" s="3" t="s">
        <v>83</v>
      </c>
    </row>
    <row r="467" spans="1:38" x14ac:dyDescent="0.3">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v>10527</v>
      </c>
      <c r="S467">
        <v>8984</v>
      </c>
      <c r="T467">
        <v>5</v>
      </c>
      <c r="U467" t="s">
        <v>43</v>
      </c>
      <c r="V467">
        <v>11</v>
      </c>
      <c r="W467">
        <v>3</v>
      </c>
      <c r="X467">
        <v>4</v>
      </c>
      <c r="Y467">
        <v>0</v>
      </c>
      <c r="Z467">
        <v>28</v>
      </c>
      <c r="AA467">
        <v>3</v>
      </c>
      <c r="AB467">
        <v>2</v>
      </c>
      <c r="AC467">
        <v>2</v>
      </c>
      <c r="AD467">
        <v>2</v>
      </c>
      <c r="AE467">
        <v>1</v>
      </c>
      <c r="AF467">
        <v>2</v>
      </c>
      <c r="AG467" t="s">
        <v>67</v>
      </c>
      <c r="AH467">
        <v>0</v>
      </c>
      <c r="AI467" t="s">
        <v>71</v>
      </c>
      <c r="AJ467" s="3" t="s">
        <v>84</v>
      </c>
      <c r="AK467" s="3">
        <v>1</v>
      </c>
      <c r="AL467" s="3" t="s">
        <v>83</v>
      </c>
    </row>
    <row r="468" spans="1:38" x14ac:dyDescent="0.3">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v>16595</v>
      </c>
      <c r="S468">
        <v>5626</v>
      </c>
      <c r="T468">
        <v>7</v>
      </c>
      <c r="U468" t="s">
        <v>43</v>
      </c>
      <c r="V468">
        <v>16</v>
      </c>
      <c r="W468">
        <v>3</v>
      </c>
      <c r="X468">
        <v>2</v>
      </c>
      <c r="Y468">
        <v>1</v>
      </c>
      <c r="Z468">
        <v>22</v>
      </c>
      <c r="AA468">
        <v>2</v>
      </c>
      <c r="AB468">
        <v>3</v>
      </c>
      <c r="AC468">
        <v>18</v>
      </c>
      <c r="AD468">
        <v>16</v>
      </c>
      <c r="AE468">
        <v>11</v>
      </c>
      <c r="AF468">
        <v>8</v>
      </c>
      <c r="AG468" t="s">
        <v>65</v>
      </c>
      <c r="AH468">
        <v>0</v>
      </c>
      <c r="AI468" t="s">
        <v>70</v>
      </c>
      <c r="AJ468" s="3" t="s">
        <v>83</v>
      </c>
      <c r="AK468" s="3">
        <v>1</v>
      </c>
      <c r="AL468" s="3" t="s">
        <v>83</v>
      </c>
    </row>
    <row r="469" spans="1:38" x14ac:dyDescent="0.3">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v>8834</v>
      </c>
      <c r="S469">
        <v>24666</v>
      </c>
      <c r="T469">
        <v>1</v>
      </c>
      <c r="U469" t="s">
        <v>43</v>
      </c>
      <c r="V469">
        <v>13</v>
      </c>
      <c r="W469">
        <v>3</v>
      </c>
      <c r="X469">
        <v>4</v>
      </c>
      <c r="Y469">
        <v>1</v>
      </c>
      <c r="Z469">
        <v>9</v>
      </c>
      <c r="AA469">
        <v>6</v>
      </c>
      <c r="AB469">
        <v>3</v>
      </c>
      <c r="AC469">
        <v>9</v>
      </c>
      <c r="AD469">
        <v>5</v>
      </c>
      <c r="AE469">
        <v>7</v>
      </c>
      <c r="AF469">
        <v>7</v>
      </c>
      <c r="AG469" t="s">
        <v>65</v>
      </c>
      <c r="AH469">
        <v>0</v>
      </c>
      <c r="AI469" t="s">
        <v>70</v>
      </c>
      <c r="AJ469" s="3" t="s">
        <v>83</v>
      </c>
      <c r="AK469" s="3">
        <v>1</v>
      </c>
      <c r="AL469" s="3" t="s">
        <v>83</v>
      </c>
    </row>
    <row r="470" spans="1:38" x14ac:dyDescent="0.3">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v>5577</v>
      </c>
      <c r="S470">
        <v>22087</v>
      </c>
      <c r="T470">
        <v>3</v>
      </c>
      <c r="U470" t="s">
        <v>35</v>
      </c>
      <c r="V470">
        <v>12</v>
      </c>
      <c r="W470">
        <v>3</v>
      </c>
      <c r="X470">
        <v>2</v>
      </c>
      <c r="Y470">
        <v>2</v>
      </c>
      <c r="Z470">
        <v>18</v>
      </c>
      <c r="AA470">
        <v>3</v>
      </c>
      <c r="AB470">
        <v>3</v>
      </c>
      <c r="AC470">
        <v>10</v>
      </c>
      <c r="AD470">
        <v>9</v>
      </c>
      <c r="AE470">
        <v>6</v>
      </c>
      <c r="AF470">
        <v>9</v>
      </c>
      <c r="AG470" t="s">
        <v>65</v>
      </c>
      <c r="AH470">
        <v>0</v>
      </c>
      <c r="AI470" t="s">
        <v>71</v>
      </c>
      <c r="AJ470" s="3" t="s">
        <v>83</v>
      </c>
      <c r="AK470" s="3">
        <v>2</v>
      </c>
      <c r="AL470" s="3" t="s">
        <v>84</v>
      </c>
    </row>
    <row r="471" spans="1:38" x14ac:dyDescent="0.3">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v>4707</v>
      </c>
      <c r="S471">
        <v>23914</v>
      </c>
      <c r="T471">
        <v>8</v>
      </c>
      <c r="U471" t="s">
        <v>43</v>
      </c>
      <c r="V471">
        <v>12</v>
      </c>
      <c r="W471">
        <v>3</v>
      </c>
      <c r="X471">
        <v>4</v>
      </c>
      <c r="Y471">
        <v>0</v>
      </c>
      <c r="Z471">
        <v>6</v>
      </c>
      <c r="AA471">
        <v>2</v>
      </c>
      <c r="AB471">
        <v>3</v>
      </c>
      <c r="AC471">
        <v>4</v>
      </c>
      <c r="AD471">
        <v>2</v>
      </c>
      <c r="AE471">
        <v>1</v>
      </c>
      <c r="AF471">
        <v>2</v>
      </c>
      <c r="AG471" t="s">
        <v>68</v>
      </c>
      <c r="AH471">
        <v>1</v>
      </c>
      <c r="AI471" t="s">
        <v>69</v>
      </c>
      <c r="AJ471" s="3" t="s">
        <v>84</v>
      </c>
      <c r="AK471" s="3">
        <v>0</v>
      </c>
      <c r="AL471" s="3" t="s">
        <v>83</v>
      </c>
    </row>
    <row r="472" spans="1:38" x14ac:dyDescent="0.3">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v>2400</v>
      </c>
      <c r="S472">
        <v>5530</v>
      </c>
      <c r="T472">
        <v>0</v>
      </c>
      <c r="U472" t="s">
        <v>43</v>
      </c>
      <c r="V472">
        <v>13</v>
      </c>
      <c r="W472">
        <v>3</v>
      </c>
      <c r="X472">
        <v>3</v>
      </c>
      <c r="Y472">
        <v>2</v>
      </c>
      <c r="Z472">
        <v>3</v>
      </c>
      <c r="AA472">
        <v>3</v>
      </c>
      <c r="AB472">
        <v>3</v>
      </c>
      <c r="AC472">
        <v>2</v>
      </c>
      <c r="AD472">
        <v>2</v>
      </c>
      <c r="AE472">
        <v>2</v>
      </c>
      <c r="AF472">
        <v>1</v>
      </c>
      <c r="AG472" t="s">
        <v>67</v>
      </c>
      <c r="AH472">
        <v>0</v>
      </c>
      <c r="AI472" t="s">
        <v>71</v>
      </c>
      <c r="AJ472" s="3" t="s">
        <v>82</v>
      </c>
      <c r="AK472" s="3">
        <v>1</v>
      </c>
      <c r="AL472" s="3" t="s">
        <v>83</v>
      </c>
    </row>
    <row r="473" spans="1:38" x14ac:dyDescent="0.3">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v>9824</v>
      </c>
      <c r="S473">
        <v>22174</v>
      </c>
      <c r="T473">
        <v>3</v>
      </c>
      <c r="U473" t="s">
        <v>43</v>
      </c>
      <c r="V473">
        <v>19</v>
      </c>
      <c r="W473">
        <v>3</v>
      </c>
      <c r="X473">
        <v>3</v>
      </c>
      <c r="Y473">
        <v>1</v>
      </c>
      <c r="Z473">
        <v>18</v>
      </c>
      <c r="AA473">
        <v>4</v>
      </c>
      <c r="AB473">
        <v>3</v>
      </c>
      <c r="AC473">
        <v>1</v>
      </c>
      <c r="AD473">
        <v>0</v>
      </c>
      <c r="AE473">
        <v>0</v>
      </c>
      <c r="AF473">
        <v>0</v>
      </c>
      <c r="AG473" t="s">
        <v>67</v>
      </c>
      <c r="AH473">
        <v>0</v>
      </c>
      <c r="AI473" t="s">
        <v>72</v>
      </c>
      <c r="AJ473" s="3" t="s">
        <v>84</v>
      </c>
      <c r="AK473" s="3">
        <v>1</v>
      </c>
      <c r="AL473" s="3" t="s">
        <v>83</v>
      </c>
    </row>
    <row r="474" spans="1:38" x14ac:dyDescent="0.3">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v>6447</v>
      </c>
      <c r="S474">
        <v>15701</v>
      </c>
      <c r="T474">
        <v>6</v>
      </c>
      <c r="U474" t="s">
        <v>43</v>
      </c>
      <c r="V474">
        <v>12</v>
      </c>
      <c r="W474">
        <v>3</v>
      </c>
      <c r="X474">
        <v>2</v>
      </c>
      <c r="Y474">
        <v>1</v>
      </c>
      <c r="Z474">
        <v>8</v>
      </c>
      <c r="AA474">
        <v>2</v>
      </c>
      <c r="AB474">
        <v>2</v>
      </c>
      <c r="AC474">
        <v>6</v>
      </c>
      <c r="AD474">
        <v>5</v>
      </c>
      <c r="AE474">
        <v>4</v>
      </c>
      <c r="AF474">
        <v>3</v>
      </c>
      <c r="AG474" t="s">
        <v>65</v>
      </c>
      <c r="AH474">
        <v>0</v>
      </c>
      <c r="AI474" t="s">
        <v>71</v>
      </c>
      <c r="AJ474" s="3" t="s">
        <v>83</v>
      </c>
      <c r="AK474" s="3">
        <v>1</v>
      </c>
      <c r="AL474" s="3" t="s">
        <v>83</v>
      </c>
    </row>
    <row r="475" spans="1:38" x14ac:dyDescent="0.3">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v>19502</v>
      </c>
      <c r="S475">
        <v>2125</v>
      </c>
      <c r="T475">
        <v>1</v>
      </c>
      <c r="U475" t="s">
        <v>35</v>
      </c>
      <c r="V475">
        <v>17</v>
      </c>
      <c r="W475">
        <v>3</v>
      </c>
      <c r="X475">
        <v>3</v>
      </c>
      <c r="Y475">
        <v>1</v>
      </c>
      <c r="Z475">
        <v>31</v>
      </c>
      <c r="AA475">
        <v>5</v>
      </c>
      <c r="AB475">
        <v>3</v>
      </c>
      <c r="AC475">
        <v>31</v>
      </c>
      <c r="AD475">
        <v>9</v>
      </c>
      <c r="AE475">
        <v>0</v>
      </c>
      <c r="AF475">
        <v>9</v>
      </c>
      <c r="AG475" t="s">
        <v>65</v>
      </c>
      <c r="AH475">
        <v>0</v>
      </c>
      <c r="AI475" t="s">
        <v>71</v>
      </c>
      <c r="AJ475" s="3" t="s">
        <v>84</v>
      </c>
      <c r="AK475" s="3">
        <v>1</v>
      </c>
      <c r="AL475" s="3" t="s">
        <v>83</v>
      </c>
    </row>
    <row r="476" spans="1:38" x14ac:dyDescent="0.3">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v>2725</v>
      </c>
      <c r="S476">
        <v>21630</v>
      </c>
      <c r="T476">
        <v>1</v>
      </c>
      <c r="U476" t="s">
        <v>35</v>
      </c>
      <c r="V476">
        <v>11</v>
      </c>
      <c r="W476">
        <v>3</v>
      </c>
      <c r="X476">
        <v>2</v>
      </c>
      <c r="Y476">
        <v>2</v>
      </c>
      <c r="Z476">
        <v>6</v>
      </c>
      <c r="AA476">
        <v>3</v>
      </c>
      <c r="AB476">
        <v>3</v>
      </c>
      <c r="AC476">
        <v>6</v>
      </c>
      <c r="AD476">
        <v>5</v>
      </c>
      <c r="AE476">
        <v>1</v>
      </c>
      <c r="AF476">
        <v>4</v>
      </c>
      <c r="AG476" t="s">
        <v>65</v>
      </c>
      <c r="AH476">
        <v>0</v>
      </c>
      <c r="AI476" t="s">
        <v>70</v>
      </c>
      <c r="AJ476" s="3" t="s">
        <v>82</v>
      </c>
      <c r="AK476" s="3">
        <v>1</v>
      </c>
      <c r="AL476" s="3" t="s">
        <v>83</v>
      </c>
    </row>
    <row r="477" spans="1:38" x14ac:dyDescent="0.3">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v>6272</v>
      </c>
      <c r="S477">
        <v>7428</v>
      </c>
      <c r="T477">
        <v>1</v>
      </c>
      <c r="U477" t="s">
        <v>43</v>
      </c>
      <c r="V477">
        <v>20</v>
      </c>
      <c r="W477">
        <v>4</v>
      </c>
      <c r="X477">
        <v>4</v>
      </c>
      <c r="Y477">
        <v>2</v>
      </c>
      <c r="Z477">
        <v>6</v>
      </c>
      <c r="AA477">
        <v>5</v>
      </c>
      <c r="AB477">
        <v>4</v>
      </c>
      <c r="AC477">
        <v>5</v>
      </c>
      <c r="AD477">
        <v>3</v>
      </c>
      <c r="AE477">
        <v>1</v>
      </c>
      <c r="AF477">
        <v>4</v>
      </c>
      <c r="AG477" t="s">
        <v>68</v>
      </c>
      <c r="AH477">
        <v>0</v>
      </c>
      <c r="AI477" t="s">
        <v>72</v>
      </c>
      <c r="AJ477" s="3" t="s">
        <v>83</v>
      </c>
      <c r="AK477" s="3">
        <v>1</v>
      </c>
      <c r="AL477" s="3" t="s">
        <v>83</v>
      </c>
    </row>
    <row r="478" spans="1:38" x14ac:dyDescent="0.3">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v>2127</v>
      </c>
      <c r="S478">
        <v>9100</v>
      </c>
      <c r="T478">
        <v>1</v>
      </c>
      <c r="U478" t="s">
        <v>43</v>
      </c>
      <c r="V478">
        <v>21</v>
      </c>
      <c r="W478">
        <v>4</v>
      </c>
      <c r="X478">
        <v>4</v>
      </c>
      <c r="Y478">
        <v>1</v>
      </c>
      <c r="Z478">
        <v>1</v>
      </c>
      <c r="AA478">
        <v>2</v>
      </c>
      <c r="AB478">
        <v>3</v>
      </c>
      <c r="AC478">
        <v>1</v>
      </c>
      <c r="AD478">
        <v>0</v>
      </c>
      <c r="AE478">
        <v>0</v>
      </c>
      <c r="AF478">
        <v>0</v>
      </c>
      <c r="AG478" t="s">
        <v>67</v>
      </c>
      <c r="AH478">
        <v>0</v>
      </c>
      <c r="AI478" t="s">
        <v>72</v>
      </c>
      <c r="AJ478" s="3" t="s">
        <v>83</v>
      </c>
      <c r="AK478" s="3">
        <v>2</v>
      </c>
      <c r="AL478" s="3" t="s">
        <v>84</v>
      </c>
    </row>
    <row r="479" spans="1:38" x14ac:dyDescent="0.3">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v>18200</v>
      </c>
      <c r="S479">
        <v>7999</v>
      </c>
      <c r="T479">
        <v>1</v>
      </c>
      <c r="U479" t="s">
        <v>43</v>
      </c>
      <c r="V479">
        <v>11</v>
      </c>
      <c r="W479">
        <v>3</v>
      </c>
      <c r="X479">
        <v>3</v>
      </c>
      <c r="Y479">
        <v>1</v>
      </c>
      <c r="Z479">
        <v>32</v>
      </c>
      <c r="AA479">
        <v>2</v>
      </c>
      <c r="AB479">
        <v>3</v>
      </c>
      <c r="AC479">
        <v>32</v>
      </c>
      <c r="AD479">
        <v>5</v>
      </c>
      <c r="AE479">
        <v>10</v>
      </c>
      <c r="AF479">
        <v>7</v>
      </c>
      <c r="AG479" t="s">
        <v>65</v>
      </c>
      <c r="AH479">
        <v>0</v>
      </c>
      <c r="AI479" t="s">
        <v>72</v>
      </c>
      <c r="AJ479" s="3" t="s">
        <v>83</v>
      </c>
      <c r="AK479" s="3">
        <v>1</v>
      </c>
      <c r="AL479" s="3" t="s">
        <v>83</v>
      </c>
    </row>
    <row r="480" spans="1:38" x14ac:dyDescent="0.3">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v>2096</v>
      </c>
      <c r="S480">
        <v>26376</v>
      </c>
      <c r="T480">
        <v>1</v>
      </c>
      <c r="U480" t="s">
        <v>43</v>
      </c>
      <c r="V480">
        <v>11</v>
      </c>
      <c r="W480">
        <v>3</v>
      </c>
      <c r="X480">
        <v>3</v>
      </c>
      <c r="Y480">
        <v>0</v>
      </c>
      <c r="Z480">
        <v>7</v>
      </c>
      <c r="AA480">
        <v>1</v>
      </c>
      <c r="AB480">
        <v>3</v>
      </c>
      <c r="AC480">
        <v>7</v>
      </c>
      <c r="AD480">
        <v>4</v>
      </c>
      <c r="AE480">
        <v>0</v>
      </c>
      <c r="AF480">
        <v>6</v>
      </c>
      <c r="AG480" t="s">
        <v>65</v>
      </c>
      <c r="AH480">
        <v>0</v>
      </c>
      <c r="AI480" t="s">
        <v>69</v>
      </c>
      <c r="AJ480" s="3" t="s">
        <v>84</v>
      </c>
      <c r="AK480" s="3">
        <v>0</v>
      </c>
      <c r="AL480" s="3" t="s">
        <v>83</v>
      </c>
    </row>
    <row r="481" spans="1:38" x14ac:dyDescent="0.3">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v>2886</v>
      </c>
      <c r="S481">
        <v>14168</v>
      </c>
      <c r="T481">
        <v>1</v>
      </c>
      <c r="U481" t="s">
        <v>35</v>
      </c>
      <c r="V481">
        <v>16</v>
      </c>
      <c r="W481">
        <v>3</v>
      </c>
      <c r="X481">
        <v>4</v>
      </c>
      <c r="Y481">
        <v>1</v>
      </c>
      <c r="Z481">
        <v>6</v>
      </c>
      <c r="AA481">
        <v>4</v>
      </c>
      <c r="AB481">
        <v>3</v>
      </c>
      <c r="AC481">
        <v>6</v>
      </c>
      <c r="AD481">
        <v>3</v>
      </c>
      <c r="AE481">
        <v>1</v>
      </c>
      <c r="AF481">
        <v>2</v>
      </c>
      <c r="AG481" t="s">
        <v>65</v>
      </c>
      <c r="AH481">
        <v>1</v>
      </c>
      <c r="AI481" t="s">
        <v>72</v>
      </c>
      <c r="AJ481" s="3" t="s">
        <v>84</v>
      </c>
      <c r="AK481" s="3">
        <v>1</v>
      </c>
      <c r="AL481" s="3" t="s">
        <v>83</v>
      </c>
    </row>
    <row r="482" spans="1:38" x14ac:dyDescent="0.3">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v>2033</v>
      </c>
      <c r="S482">
        <v>14470</v>
      </c>
      <c r="T482">
        <v>1</v>
      </c>
      <c r="U482" t="s">
        <v>43</v>
      </c>
      <c r="V482">
        <v>18</v>
      </c>
      <c r="W482">
        <v>3</v>
      </c>
      <c r="X482">
        <v>3</v>
      </c>
      <c r="Y482">
        <v>1</v>
      </c>
      <c r="Z482">
        <v>1</v>
      </c>
      <c r="AA482">
        <v>2</v>
      </c>
      <c r="AB482">
        <v>4</v>
      </c>
      <c r="AC482">
        <v>1</v>
      </c>
      <c r="AD482">
        <v>0</v>
      </c>
      <c r="AE482">
        <v>0</v>
      </c>
      <c r="AF482">
        <v>0</v>
      </c>
      <c r="AG482" t="s">
        <v>67</v>
      </c>
      <c r="AH482">
        <v>1</v>
      </c>
      <c r="AI482" t="s">
        <v>72</v>
      </c>
      <c r="AJ482" s="3" t="s">
        <v>83</v>
      </c>
      <c r="AK482" s="3">
        <v>2</v>
      </c>
      <c r="AL482" s="3" t="s">
        <v>84</v>
      </c>
    </row>
    <row r="483" spans="1:38" x14ac:dyDescent="0.3">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v>3622</v>
      </c>
      <c r="S483">
        <v>22794</v>
      </c>
      <c r="T483">
        <v>1</v>
      </c>
      <c r="U483" t="s">
        <v>35</v>
      </c>
      <c r="V483">
        <v>13</v>
      </c>
      <c r="W483">
        <v>3</v>
      </c>
      <c r="X483">
        <v>4</v>
      </c>
      <c r="Y483">
        <v>1</v>
      </c>
      <c r="Z483">
        <v>6</v>
      </c>
      <c r="AA483">
        <v>3</v>
      </c>
      <c r="AB483">
        <v>3</v>
      </c>
      <c r="AC483">
        <v>6</v>
      </c>
      <c r="AD483">
        <v>5</v>
      </c>
      <c r="AE483">
        <v>1</v>
      </c>
      <c r="AF483">
        <v>3</v>
      </c>
      <c r="AG483" t="s">
        <v>65</v>
      </c>
      <c r="AH483">
        <v>0</v>
      </c>
      <c r="AI483" t="s">
        <v>71</v>
      </c>
      <c r="AJ483" s="3" t="s">
        <v>82</v>
      </c>
      <c r="AK483" s="3">
        <v>1</v>
      </c>
      <c r="AL483" s="3" t="s">
        <v>83</v>
      </c>
    </row>
    <row r="484" spans="1:38" x14ac:dyDescent="0.3">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v>4233</v>
      </c>
      <c r="S484">
        <v>11512</v>
      </c>
      <c r="T484">
        <v>2</v>
      </c>
      <c r="U484" t="s">
        <v>43</v>
      </c>
      <c r="V484">
        <v>17</v>
      </c>
      <c r="W484">
        <v>3</v>
      </c>
      <c r="X484">
        <v>3</v>
      </c>
      <c r="Y484">
        <v>0</v>
      </c>
      <c r="Z484">
        <v>9</v>
      </c>
      <c r="AA484">
        <v>2</v>
      </c>
      <c r="AB484">
        <v>1</v>
      </c>
      <c r="AC484">
        <v>3</v>
      </c>
      <c r="AD484">
        <v>1</v>
      </c>
      <c r="AE484">
        <v>1</v>
      </c>
      <c r="AF484">
        <v>2</v>
      </c>
      <c r="AG484" t="s">
        <v>67</v>
      </c>
      <c r="AH484">
        <v>1</v>
      </c>
      <c r="AI484" t="s">
        <v>71</v>
      </c>
      <c r="AJ484" s="3" t="s">
        <v>83</v>
      </c>
      <c r="AK484" s="3">
        <v>2</v>
      </c>
      <c r="AL484" s="3" t="s">
        <v>84</v>
      </c>
    </row>
    <row r="485" spans="1:38" x14ac:dyDescent="0.3">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v>3681</v>
      </c>
      <c r="S485">
        <v>14004</v>
      </c>
      <c r="T485">
        <v>4</v>
      </c>
      <c r="U485" t="s">
        <v>43</v>
      </c>
      <c r="V485">
        <v>14</v>
      </c>
      <c r="W485">
        <v>3</v>
      </c>
      <c r="X485">
        <v>4</v>
      </c>
      <c r="Y485">
        <v>0</v>
      </c>
      <c r="Z485">
        <v>9</v>
      </c>
      <c r="AA485">
        <v>3</v>
      </c>
      <c r="AB485">
        <v>3</v>
      </c>
      <c r="AC485">
        <v>3</v>
      </c>
      <c r="AD485">
        <v>2</v>
      </c>
      <c r="AE485">
        <v>0</v>
      </c>
      <c r="AF485">
        <v>2</v>
      </c>
      <c r="AG485" t="s">
        <v>67</v>
      </c>
      <c r="AH485">
        <v>0</v>
      </c>
      <c r="AI485" t="s">
        <v>71</v>
      </c>
      <c r="AJ485" s="3" t="s">
        <v>82</v>
      </c>
      <c r="AK485" s="3">
        <v>1</v>
      </c>
      <c r="AL485" s="3" t="s">
        <v>83</v>
      </c>
    </row>
    <row r="486" spans="1:38" x14ac:dyDescent="0.3">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v>5460</v>
      </c>
      <c r="S486">
        <v>6219</v>
      </c>
      <c r="T486">
        <v>4</v>
      </c>
      <c r="U486" t="s">
        <v>43</v>
      </c>
      <c r="V486">
        <v>22</v>
      </c>
      <c r="W486">
        <v>4</v>
      </c>
      <c r="X486">
        <v>4</v>
      </c>
      <c r="Y486">
        <v>2</v>
      </c>
      <c r="Z486">
        <v>13</v>
      </c>
      <c r="AA486">
        <v>4</v>
      </c>
      <c r="AB486">
        <v>4</v>
      </c>
      <c r="AC486">
        <v>7</v>
      </c>
      <c r="AD486">
        <v>7</v>
      </c>
      <c r="AE486">
        <v>5</v>
      </c>
      <c r="AF486">
        <v>7</v>
      </c>
      <c r="AG486" t="s">
        <v>65</v>
      </c>
      <c r="AH486">
        <v>0</v>
      </c>
      <c r="AI486" t="s">
        <v>71</v>
      </c>
      <c r="AJ486" s="3" t="s">
        <v>82</v>
      </c>
      <c r="AK486" s="3">
        <v>0</v>
      </c>
      <c r="AL486" s="3" t="s">
        <v>83</v>
      </c>
    </row>
    <row r="487" spans="1:38" x14ac:dyDescent="0.3">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v>2187</v>
      </c>
      <c r="S487">
        <v>5013</v>
      </c>
      <c r="T487">
        <v>0</v>
      </c>
      <c r="U487" t="s">
        <v>43</v>
      </c>
      <c r="V487">
        <v>12</v>
      </c>
      <c r="W487">
        <v>3</v>
      </c>
      <c r="X487">
        <v>3</v>
      </c>
      <c r="Y487">
        <v>2</v>
      </c>
      <c r="Z487">
        <v>6</v>
      </c>
      <c r="AA487">
        <v>5</v>
      </c>
      <c r="AB487">
        <v>2</v>
      </c>
      <c r="AC487">
        <v>5</v>
      </c>
      <c r="AD487">
        <v>3</v>
      </c>
      <c r="AE487">
        <v>0</v>
      </c>
      <c r="AF487">
        <v>3</v>
      </c>
      <c r="AG487" t="s">
        <v>68</v>
      </c>
      <c r="AH487">
        <v>0</v>
      </c>
      <c r="AI487" t="s">
        <v>71</v>
      </c>
      <c r="AJ487" s="3" t="s">
        <v>84</v>
      </c>
      <c r="AK487" s="3">
        <v>0</v>
      </c>
      <c r="AL487" s="3" t="s">
        <v>83</v>
      </c>
    </row>
    <row r="488" spans="1:38" x14ac:dyDescent="0.3">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v>9602</v>
      </c>
      <c r="S488">
        <v>3010</v>
      </c>
      <c r="T488">
        <v>4</v>
      </c>
      <c r="U488" t="s">
        <v>35</v>
      </c>
      <c r="V488">
        <v>11</v>
      </c>
      <c r="W488">
        <v>3</v>
      </c>
      <c r="X488">
        <v>3</v>
      </c>
      <c r="Y488">
        <v>1</v>
      </c>
      <c r="Z488">
        <v>17</v>
      </c>
      <c r="AA488">
        <v>3</v>
      </c>
      <c r="AB488">
        <v>2</v>
      </c>
      <c r="AC488">
        <v>3</v>
      </c>
      <c r="AD488">
        <v>0</v>
      </c>
      <c r="AE488">
        <v>1</v>
      </c>
      <c r="AF488">
        <v>0</v>
      </c>
      <c r="AG488" t="s">
        <v>67</v>
      </c>
      <c r="AH488">
        <v>0</v>
      </c>
      <c r="AI488" t="s">
        <v>72</v>
      </c>
      <c r="AJ488" s="3" t="s">
        <v>84</v>
      </c>
      <c r="AK488" s="3">
        <v>2</v>
      </c>
      <c r="AL488" s="3" t="s">
        <v>84</v>
      </c>
    </row>
    <row r="489" spans="1:38" x14ac:dyDescent="0.3">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v>2836</v>
      </c>
      <c r="S489">
        <v>11757</v>
      </c>
      <c r="T489">
        <v>1</v>
      </c>
      <c r="U489" t="s">
        <v>43</v>
      </c>
      <c r="V489">
        <v>13</v>
      </c>
      <c r="W489">
        <v>3</v>
      </c>
      <c r="X489">
        <v>4</v>
      </c>
      <c r="Y489">
        <v>0</v>
      </c>
      <c r="Z489">
        <v>1</v>
      </c>
      <c r="AA489">
        <v>0</v>
      </c>
      <c r="AB489">
        <v>4</v>
      </c>
      <c r="AC489">
        <v>1</v>
      </c>
      <c r="AD489">
        <v>0</v>
      </c>
      <c r="AE489">
        <v>0</v>
      </c>
      <c r="AF489">
        <v>0</v>
      </c>
      <c r="AG489" t="s">
        <v>67</v>
      </c>
      <c r="AH489">
        <v>0</v>
      </c>
      <c r="AI489" t="s">
        <v>71</v>
      </c>
      <c r="AJ489" s="3" t="s">
        <v>83</v>
      </c>
      <c r="AK489" s="3">
        <v>2</v>
      </c>
      <c r="AL489" s="3" t="s">
        <v>84</v>
      </c>
    </row>
    <row r="490" spans="1:38" x14ac:dyDescent="0.3">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v>4089</v>
      </c>
      <c r="S490">
        <v>5718</v>
      </c>
      <c r="T490">
        <v>1</v>
      </c>
      <c r="U490" t="s">
        <v>43</v>
      </c>
      <c r="V490">
        <v>13</v>
      </c>
      <c r="W490">
        <v>3</v>
      </c>
      <c r="X490">
        <v>2</v>
      </c>
      <c r="Y490">
        <v>2</v>
      </c>
      <c r="Z490">
        <v>10</v>
      </c>
      <c r="AA490">
        <v>4</v>
      </c>
      <c r="AB490">
        <v>3</v>
      </c>
      <c r="AC490">
        <v>10</v>
      </c>
      <c r="AD490">
        <v>2</v>
      </c>
      <c r="AE490">
        <v>2</v>
      </c>
      <c r="AF490">
        <v>2</v>
      </c>
      <c r="AG490" t="s">
        <v>65</v>
      </c>
      <c r="AH490">
        <v>0</v>
      </c>
      <c r="AI490" t="s">
        <v>72</v>
      </c>
      <c r="AJ490" s="3" t="s">
        <v>82</v>
      </c>
      <c r="AK490" s="3">
        <v>0</v>
      </c>
      <c r="AL490" s="3" t="s">
        <v>83</v>
      </c>
    </row>
    <row r="491" spans="1:38" x14ac:dyDescent="0.3">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v>16627</v>
      </c>
      <c r="S491">
        <v>2671</v>
      </c>
      <c r="T491">
        <v>4</v>
      </c>
      <c r="U491" t="s">
        <v>35</v>
      </c>
      <c r="V491">
        <v>14</v>
      </c>
      <c r="W491">
        <v>3</v>
      </c>
      <c r="X491">
        <v>3</v>
      </c>
      <c r="Y491">
        <v>1</v>
      </c>
      <c r="Z491">
        <v>21</v>
      </c>
      <c r="AA491">
        <v>3</v>
      </c>
      <c r="AB491">
        <v>2</v>
      </c>
      <c r="AC491">
        <v>1</v>
      </c>
      <c r="AD491">
        <v>0</v>
      </c>
      <c r="AE491">
        <v>0</v>
      </c>
      <c r="AF491">
        <v>0</v>
      </c>
      <c r="AG491" t="s">
        <v>67</v>
      </c>
      <c r="AH491">
        <v>0</v>
      </c>
      <c r="AI491" t="s">
        <v>70</v>
      </c>
      <c r="AJ491" s="3" t="s">
        <v>82</v>
      </c>
      <c r="AK491" s="3">
        <v>2</v>
      </c>
      <c r="AL491" s="3" t="s">
        <v>84</v>
      </c>
    </row>
    <row r="492" spans="1:38" x14ac:dyDescent="0.3">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v>2619</v>
      </c>
      <c r="S492">
        <v>14561</v>
      </c>
      <c r="T492">
        <v>3</v>
      </c>
      <c r="U492" t="s">
        <v>43</v>
      </c>
      <c r="V492">
        <v>17</v>
      </c>
      <c r="W492">
        <v>3</v>
      </c>
      <c r="X492">
        <v>4</v>
      </c>
      <c r="Y492">
        <v>0</v>
      </c>
      <c r="Z492">
        <v>8</v>
      </c>
      <c r="AA492">
        <v>3</v>
      </c>
      <c r="AB492">
        <v>2</v>
      </c>
      <c r="AC492">
        <v>0</v>
      </c>
      <c r="AD492">
        <v>0</v>
      </c>
      <c r="AE492">
        <v>0</v>
      </c>
      <c r="AF492">
        <v>0</v>
      </c>
      <c r="AG492" t="s">
        <v>66</v>
      </c>
      <c r="AH492">
        <v>0</v>
      </c>
      <c r="AI492" t="s">
        <v>70</v>
      </c>
      <c r="AJ492" s="3" t="s">
        <v>83</v>
      </c>
      <c r="AK492" s="3">
        <v>2</v>
      </c>
      <c r="AL492" s="3" t="s">
        <v>84</v>
      </c>
    </row>
    <row r="493" spans="1:38" x14ac:dyDescent="0.3">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v>5679</v>
      </c>
      <c r="S493">
        <v>19627</v>
      </c>
      <c r="T493">
        <v>3</v>
      </c>
      <c r="U493" t="s">
        <v>35</v>
      </c>
      <c r="V493">
        <v>13</v>
      </c>
      <c r="W493">
        <v>3</v>
      </c>
      <c r="X493">
        <v>2</v>
      </c>
      <c r="Y493">
        <v>1</v>
      </c>
      <c r="Z493">
        <v>10</v>
      </c>
      <c r="AA493">
        <v>3</v>
      </c>
      <c r="AB493">
        <v>3</v>
      </c>
      <c r="AC493">
        <v>8</v>
      </c>
      <c r="AD493">
        <v>7</v>
      </c>
      <c r="AE493">
        <v>4</v>
      </c>
      <c r="AF493">
        <v>7</v>
      </c>
      <c r="AG493" t="s">
        <v>65</v>
      </c>
      <c r="AH493">
        <v>0</v>
      </c>
      <c r="AI493" t="s">
        <v>71</v>
      </c>
      <c r="AJ493" s="3" t="s">
        <v>84</v>
      </c>
      <c r="AK493" s="3">
        <v>1</v>
      </c>
      <c r="AL493" s="3" t="s">
        <v>83</v>
      </c>
    </row>
    <row r="494" spans="1:38" x14ac:dyDescent="0.3">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v>15402</v>
      </c>
      <c r="S494">
        <v>17997</v>
      </c>
      <c r="T494">
        <v>7</v>
      </c>
      <c r="U494" t="s">
        <v>43</v>
      </c>
      <c r="V494">
        <v>11</v>
      </c>
      <c r="W494">
        <v>3</v>
      </c>
      <c r="X494">
        <v>1</v>
      </c>
      <c r="Y494">
        <v>1</v>
      </c>
      <c r="Z494">
        <v>21</v>
      </c>
      <c r="AA494">
        <v>3</v>
      </c>
      <c r="AB494">
        <v>1</v>
      </c>
      <c r="AC494">
        <v>3</v>
      </c>
      <c r="AD494">
        <v>2</v>
      </c>
      <c r="AE494">
        <v>0</v>
      </c>
      <c r="AF494">
        <v>2</v>
      </c>
      <c r="AG494" t="s">
        <v>67</v>
      </c>
      <c r="AH494">
        <v>0</v>
      </c>
      <c r="AI494" t="s">
        <v>70</v>
      </c>
      <c r="AJ494" s="3" t="s">
        <v>83</v>
      </c>
      <c r="AK494" s="3">
        <v>2</v>
      </c>
      <c r="AL494" s="3" t="s">
        <v>84</v>
      </c>
    </row>
    <row r="495" spans="1:38" x14ac:dyDescent="0.3">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v>5985</v>
      </c>
      <c r="S495">
        <v>26894</v>
      </c>
      <c r="T495">
        <v>4</v>
      </c>
      <c r="U495" t="s">
        <v>43</v>
      </c>
      <c r="V495">
        <v>11</v>
      </c>
      <c r="W495">
        <v>3</v>
      </c>
      <c r="X495">
        <v>2</v>
      </c>
      <c r="Y495">
        <v>0</v>
      </c>
      <c r="Z495">
        <v>10</v>
      </c>
      <c r="AA495">
        <v>1</v>
      </c>
      <c r="AB495">
        <v>4</v>
      </c>
      <c r="AC495">
        <v>2</v>
      </c>
      <c r="AD495">
        <v>2</v>
      </c>
      <c r="AE495">
        <v>0</v>
      </c>
      <c r="AF495">
        <v>2</v>
      </c>
      <c r="AG495" t="s">
        <v>67</v>
      </c>
      <c r="AH495">
        <v>0</v>
      </c>
      <c r="AI495" t="s">
        <v>70</v>
      </c>
      <c r="AJ495" s="3" t="s">
        <v>84</v>
      </c>
      <c r="AK495" s="3">
        <v>1</v>
      </c>
      <c r="AL495" s="3" t="s">
        <v>83</v>
      </c>
    </row>
    <row r="496" spans="1:38" x14ac:dyDescent="0.3">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v>2579</v>
      </c>
      <c r="S496">
        <v>2912</v>
      </c>
      <c r="T496">
        <v>1</v>
      </c>
      <c r="U496" t="s">
        <v>35</v>
      </c>
      <c r="V496">
        <v>18</v>
      </c>
      <c r="W496">
        <v>3</v>
      </c>
      <c r="X496">
        <v>4</v>
      </c>
      <c r="Y496">
        <v>2</v>
      </c>
      <c r="Z496">
        <v>8</v>
      </c>
      <c r="AA496">
        <v>3</v>
      </c>
      <c r="AB496">
        <v>3</v>
      </c>
      <c r="AC496">
        <v>8</v>
      </c>
      <c r="AD496">
        <v>2</v>
      </c>
      <c r="AE496">
        <v>0</v>
      </c>
      <c r="AF496">
        <v>6</v>
      </c>
      <c r="AG496" t="s">
        <v>65</v>
      </c>
      <c r="AH496">
        <v>0</v>
      </c>
      <c r="AI496" t="s">
        <v>70</v>
      </c>
      <c r="AJ496" s="3" t="s">
        <v>84</v>
      </c>
      <c r="AK496" s="3">
        <v>1</v>
      </c>
      <c r="AL496" s="3" t="s">
        <v>83</v>
      </c>
    </row>
    <row r="497" spans="1:38" x14ac:dyDescent="0.3">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v>3041</v>
      </c>
      <c r="S497">
        <v>16346</v>
      </c>
      <c r="T497">
        <v>0</v>
      </c>
      <c r="U497" t="s">
        <v>43</v>
      </c>
      <c r="V497">
        <v>11</v>
      </c>
      <c r="W497">
        <v>3</v>
      </c>
      <c r="X497">
        <v>2</v>
      </c>
      <c r="Y497">
        <v>1</v>
      </c>
      <c r="Z497">
        <v>5</v>
      </c>
      <c r="AA497">
        <v>3</v>
      </c>
      <c r="AB497">
        <v>3</v>
      </c>
      <c r="AC497">
        <v>4</v>
      </c>
      <c r="AD497">
        <v>3</v>
      </c>
      <c r="AE497">
        <v>0</v>
      </c>
      <c r="AF497">
        <v>2</v>
      </c>
      <c r="AG497" t="s">
        <v>68</v>
      </c>
      <c r="AH497">
        <v>1</v>
      </c>
      <c r="AI497" t="s">
        <v>71</v>
      </c>
      <c r="AJ497" s="3" t="s">
        <v>83</v>
      </c>
      <c r="AK497" s="3">
        <v>1</v>
      </c>
      <c r="AL497" s="3" t="s">
        <v>83</v>
      </c>
    </row>
    <row r="498" spans="1:38" x14ac:dyDescent="0.3">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v>3447</v>
      </c>
      <c r="S498">
        <v>24444</v>
      </c>
      <c r="T498">
        <v>1</v>
      </c>
      <c r="U498" t="s">
        <v>43</v>
      </c>
      <c r="V498">
        <v>11</v>
      </c>
      <c r="W498">
        <v>3</v>
      </c>
      <c r="X498">
        <v>3</v>
      </c>
      <c r="Y498">
        <v>0</v>
      </c>
      <c r="Z498">
        <v>3</v>
      </c>
      <c r="AA498">
        <v>2</v>
      </c>
      <c r="AB498">
        <v>3</v>
      </c>
      <c r="AC498">
        <v>3</v>
      </c>
      <c r="AD498">
        <v>2</v>
      </c>
      <c r="AE498">
        <v>1</v>
      </c>
      <c r="AF498">
        <v>2</v>
      </c>
      <c r="AG498" t="s">
        <v>67</v>
      </c>
      <c r="AH498">
        <v>0</v>
      </c>
      <c r="AI498" t="s">
        <v>72</v>
      </c>
      <c r="AJ498" s="3" t="s">
        <v>84</v>
      </c>
      <c r="AK498" s="3">
        <v>1</v>
      </c>
      <c r="AL498" s="3" t="s">
        <v>83</v>
      </c>
    </row>
    <row r="499" spans="1:38" x14ac:dyDescent="0.3">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v>19513</v>
      </c>
      <c r="S499">
        <v>9358</v>
      </c>
      <c r="T499">
        <v>4</v>
      </c>
      <c r="U499" t="s">
        <v>35</v>
      </c>
      <c r="V499">
        <v>12</v>
      </c>
      <c r="W499">
        <v>3</v>
      </c>
      <c r="X499">
        <v>1</v>
      </c>
      <c r="Y499">
        <v>1</v>
      </c>
      <c r="Z499">
        <v>26</v>
      </c>
      <c r="AA499">
        <v>2</v>
      </c>
      <c r="AB499">
        <v>4</v>
      </c>
      <c r="AC499">
        <v>2</v>
      </c>
      <c r="AD499">
        <v>2</v>
      </c>
      <c r="AE499">
        <v>0</v>
      </c>
      <c r="AF499">
        <v>1</v>
      </c>
      <c r="AG499" t="s">
        <v>67</v>
      </c>
      <c r="AH499">
        <v>0</v>
      </c>
      <c r="AI499" t="s">
        <v>72</v>
      </c>
      <c r="AJ499" s="3" t="s">
        <v>82</v>
      </c>
      <c r="AK499" s="3">
        <v>2</v>
      </c>
      <c r="AL499" s="3" t="s">
        <v>84</v>
      </c>
    </row>
    <row r="500" spans="1:38" x14ac:dyDescent="0.3">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v>2773</v>
      </c>
      <c r="S500">
        <v>12145</v>
      </c>
      <c r="T500">
        <v>0</v>
      </c>
      <c r="U500" t="s">
        <v>43</v>
      </c>
      <c r="V500">
        <v>20</v>
      </c>
      <c r="W500">
        <v>4</v>
      </c>
      <c r="X500">
        <v>4</v>
      </c>
      <c r="Y500">
        <v>0</v>
      </c>
      <c r="Z500">
        <v>3</v>
      </c>
      <c r="AA500">
        <v>3</v>
      </c>
      <c r="AB500">
        <v>3</v>
      </c>
      <c r="AC500">
        <v>2</v>
      </c>
      <c r="AD500">
        <v>2</v>
      </c>
      <c r="AE500">
        <v>2</v>
      </c>
      <c r="AF500">
        <v>2</v>
      </c>
      <c r="AG500" t="s">
        <v>67</v>
      </c>
      <c r="AH500">
        <v>0</v>
      </c>
      <c r="AI500" t="s">
        <v>70</v>
      </c>
      <c r="AJ500" s="3" t="s">
        <v>84</v>
      </c>
      <c r="AK500" s="3">
        <v>1</v>
      </c>
      <c r="AL500" s="3" t="s">
        <v>83</v>
      </c>
    </row>
    <row r="501" spans="1:38" x14ac:dyDescent="0.3">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v>7104</v>
      </c>
      <c r="S501">
        <v>20431</v>
      </c>
      <c r="T501">
        <v>0</v>
      </c>
      <c r="U501" t="s">
        <v>43</v>
      </c>
      <c r="V501">
        <v>12</v>
      </c>
      <c r="W501">
        <v>3</v>
      </c>
      <c r="X501">
        <v>4</v>
      </c>
      <c r="Y501">
        <v>0</v>
      </c>
      <c r="Z501">
        <v>6</v>
      </c>
      <c r="AA501">
        <v>3</v>
      </c>
      <c r="AB501">
        <v>3</v>
      </c>
      <c r="AC501">
        <v>5</v>
      </c>
      <c r="AD501">
        <v>0</v>
      </c>
      <c r="AE501">
        <v>1</v>
      </c>
      <c r="AF501">
        <v>2</v>
      </c>
      <c r="AG501" t="s">
        <v>68</v>
      </c>
      <c r="AH501">
        <v>0</v>
      </c>
      <c r="AI501" t="s">
        <v>72</v>
      </c>
      <c r="AJ501" s="3" t="s">
        <v>84</v>
      </c>
      <c r="AK501" s="3">
        <v>0</v>
      </c>
      <c r="AL501" s="3" t="s">
        <v>83</v>
      </c>
    </row>
    <row r="502" spans="1:38" x14ac:dyDescent="0.3">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v>6322</v>
      </c>
      <c r="S502">
        <v>18089</v>
      </c>
      <c r="T502">
        <v>1</v>
      </c>
      <c r="U502" t="s">
        <v>35</v>
      </c>
      <c r="V502">
        <v>12</v>
      </c>
      <c r="W502">
        <v>3</v>
      </c>
      <c r="X502">
        <v>4</v>
      </c>
      <c r="Y502">
        <v>1</v>
      </c>
      <c r="Z502">
        <v>6</v>
      </c>
      <c r="AA502">
        <v>2</v>
      </c>
      <c r="AB502">
        <v>2</v>
      </c>
      <c r="AC502">
        <v>6</v>
      </c>
      <c r="AD502">
        <v>4</v>
      </c>
      <c r="AE502">
        <v>0</v>
      </c>
      <c r="AF502">
        <v>5</v>
      </c>
      <c r="AG502" t="s">
        <v>65</v>
      </c>
      <c r="AH502">
        <v>0</v>
      </c>
      <c r="AI502" t="s">
        <v>71</v>
      </c>
      <c r="AJ502" s="3" t="s">
        <v>82</v>
      </c>
      <c r="AK502" s="3">
        <v>1</v>
      </c>
      <c r="AL502" s="3" t="s">
        <v>83</v>
      </c>
    </row>
    <row r="503" spans="1:38" x14ac:dyDescent="0.3">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v>2083</v>
      </c>
      <c r="S503">
        <v>22653</v>
      </c>
      <c r="T503">
        <v>1</v>
      </c>
      <c r="U503" t="s">
        <v>43</v>
      </c>
      <c r="V503">
        <v>20</v>
      </c>
      <c r="W503">
        <v>4</v>
      </c>
      <c r="X503">
        <v>3</v>
      </c>
      <c r="Y503">
        <v>1</v>
      </c>
      <c r="Z503">
        <v>1</v>
      </c>
      <c r="AA503">
        <v>2</v>
      </c>
      <c r="AB503">
        <v>3</v>
      </c>
      <c r="AC503">
        <v>1</v>
      </c>
      <c r="AD503">
        <v>0</v>
      </c>
      <c r="AE503">
        <v>0</v>
      </c>
      <c r="AF503">
        <v>0</v>
      </c>
      <c r="AG503" t="s">
        <v>67</v>
      </c>
      <c r="AH503">
        <v>0</v>
      </c>
      <c r="AI503" t="s">
        <v>71</v>
      </c>
      <c r="AJ503" s="3" t="s">
        <v>84</v>
      </c>
      <c r="AK503" s="3">
        <v>1</v>
      </c>
      <c r="AL503" s="3" t="s">
        <v>83</v>
      </c>
    </row>
    <row r="504" spans="1:38" x14ac:dyDescent="0.3">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v>8381</v>
      </c>
      <c r="S504">
        <v>7507</v>
      </c>
      <c r="T504">
        <v>7</v>
      </c>
      <c r="U504" t="s">
        <v>43</v>
      </c>
      <c r="V504">
        <v>20</v>
      </c>
      <c r="W504">
        <v>4</v>
      </c>
      <c r="X504">
        <v>4</v>
      </c>
      <c r="Y504">
        <v>0</v>
      </c>
      <c r="Z504">
        <v>18</v>
      </c>
      <c r="AA504">
        <v>2</v>
      </c>
      <c r="AB504">
        <v>4</v>
      </c>
      <c r="AC504">
        <v>14</v>
      </c>
      <c r="AD504">
        <v>7</v>
      </c>
      <c r="AE504">
        <v>8</v>
      </c>
      <c r="AF504">
        <v>10</v>
      </c>
      <c r="AG504" t="s">
        <v>65</v>
      </c>
      <c r="AH504">
        <v>0</v>
      </c>
      <c r="AI504" t="s">
        <v>71</v>
      </c>
      <c r="AJ504" s="3" t="s">
        <v>83</v>
      </c>
      <c r="AK504" s="3">
        <v>1</v>
      </c>
      <c r="AL504" s="3" t="s">
        <v>83</v>
      </c>
    </row>
    <row r="505" spans="1:38" x14ac:dyDescent="0.3">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v>2691</v>
      </c>
      <c r="S505">
        <v>7660</v>
      </c>
      <c r="T505">
        <v>1</v>
      </c>
      <c r="U505" t="s">
        <v>43</v>
      </c>
      <c r="V505">
        <v>12</v>
      </c>
      <c r="W505">
        <v>3</v>
      </c>
      <c r="X505">
        <v>4</v>
      </c>
      <c r="Y505">
        <v>1</v>
      </c>
      <c r="Z505">
        <v>10</v>
      </c>
      <c r="AA505">
        <v>4</v>
      </c>
      <c r="AB505">
        <v>2</v>
      </c>
      <c r="AC505">
        <v>10</v>
      </c>
      <c r="AD505">
        <v>9</v>
      </c>
      <c r="AE505">
        <v>8</v>
      </c>
      <c r="AF505">
        <v>8</v>
      </c>
      <c r="AG505" t="s">
        <v>65</v>
      </c>
      <c r="AH505">
        <v>0</v>
      </c>
      <c r="AI505" t="s">
        <v>69</v>
      </c>
      <c r="AJ505" s="3" t="s">
        <v>82</v>
      </c>
      <c r="AK505" s="3">
        <v>0</v>
      </c>
      <c r="AL505" s="3" t="s">
        <v>83</v>
      </c>
    </row>
    <row r="506" spans="1:38" x14ac:dyDescent="0.3">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v>4286</v>
      </c>
      <c r="S506">
        <v>5630</v>
      </c>
      <c r="T506">
        <v>2</v>
      </c>
      <c r="U506" t="s">
        <v>43</v>
      </c>
      <c r="V506">
        <v>14</v>
      </c>
      <c r="W506">
        <v>3</v>
      </c>
      <c r="X506">
        <v>4</v>
      </c>
      <c r="Y506">
        <v>2</v>
      </c>
      <c r="Z506">
        <v>5</v>
      </c>
      <c r="AA506">
        <v>4</v>
      </c>
      <c r="AB506">
        <v>3</v>
      </c>
      <c r="AC506">
        <v>1</v>
      </c>
      <c r="AD506">
        <v>1</v>
      </c>
      <c r="AE506">
        <v>0</v>
      </c>
      <c r="AF506">
        <v>0</v>
      </c>
      <c r="AG506" t="s">
        <v>67</v>
      </c>
      <c r="AH506">
        <v>1</v>
      </c>
      <c r="AI506" t="s">
        <v>71</v>
      </c>
      <c r="AJ506" s="3" t="s">
        <v>83</v>
      </c>
      <c r="AK506" s="3">
        <v>2</v>
      </c>
      <c r="AL506" s="3" t="s">
        <v>84</v>
      </c>
    </row>
    <row r="507" spans="1:38" x14ac:dyDescent="0.3">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v>2659</v>
      </c>
      <c r="S507">
        <v>17759</v>
      </c>
      <c r="T507">
        <v>1</v>
      </c>
      <c r="U507" t="s">
        <v>35</v>
      </c>
      <c r="V507">
        <v>13</v>
      </c>
      <c r="W507">
        <v>3</v>
      </c>
      <c r="X507">
        <v>3</v>
      </c>
      <c r="Y507">
        <v>1</v>
      </c>
      <c r="Z507">
        <v>3</v>
      </c>
      <c r="AA507">
        <v>2</v>
      </c>
      <c r="AB507">
        <v>3</v>
      </c>
      <c r="AC507">
        <v>3</v>
      </c>
      <c r="AD507">
        <v>2</v>
      </c>
      <c r="AE507">
        <v>0</v>
      </c>
      <c r="AF507">
        <v>2</v>
      </c>
      <c r="AG507" t="s">
        <v>67</v>
      </c>
      <c r="AH507">
        <v>0</v>
      </c>
      <c r="AI507" t="s">
        <v>70</v>
      </c>
      <c r="AJ507" s="3" t="s">
        <v>82</v>
      </c>
      <c r="AK507" s="3">
        <v>2</v>
      </c>
      <c r="AL507" s="3" t="s">
        <v>84</v>
      </c>
    </row>
    <row r="508" spans="1:38" x14ac:dyDescent="0.3">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v>9434</v>
      </c>
      <c r="S508">
        <v>9606</v>
      </c>
      <c r="T508">
        <v>1</v>
      </c>
      <c r="U508" t="s">
        <v>43</v>
      </c>
      <c r="V508">
        <v>15</v>
      </c>
      <c r="W508">
        <v>3</v>
      </c>
      <c r="X508">
        <v>3</v>
      </c>
      <c r="Y508">
        <v>1</v>
      </c>
      <c r="Z508">
        <v>10</v>
      </c>
      <c r="AA508">
        <v>2</v>
      </c>
      <c r="AB508">
        <v>3</v>
      </c>
      <c r="AC508">
        <v>10</v>
      </c>
      <c r="AD508">
        <v>7</v>
      </c>
      <c r="AE508">
        <v>7</v>
      </c>
      <c r="AF508">
        <v>8</v>
      </c>
      <c r="AG508" t="s">
        <v>65</v>
      </c>
      <c r="AH508">
        <v>0</v>
      </c>
      <c r="AI508" t="s">
        <v>72</v>
      </c>
      <c r="AJ508" s="3" t="s">
        <v>84</v>
      </c>
      <c r="AK508" s="3">
        <v>0</v>
      </c>
      <c r="AL508" s="3" t="s">
        <v>83</v>
      </c>
    </row>
    <row r="509" spans="1:38" x14ac:dyDescent="0.3">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v>5561</v>
      </c>
      <c r="S509">
        <v>3487</v>
      </c>
      <c r="T509">
        <v>1</v>
      </c>
      <c r="U509" t="s">
        <v>43</v>
      </c>
      <c r="V509">
        <v>14</v>
      </c>
      <c r="W509">
        <v>3</v>
      </c>
      <c r="X509">
        <v>1</v>
      </c>
      <c r="Y509">
        <v>1</v>
      </c>
      <c r="Z509">
        <v>6</v>
      </c>
      <c r="AA509">
        <v>5</v>
      </c>
      <c r="AB509">
        <v>2</v>
      </c>
      <c r="AC509">
        <v>6</v>
      </c>
      <c r="AD509">
        <v>0</v>
      </c>
      <c r="AE509">
        <v>1</v>
      </c>
      <c r="AF509">
        <v>2</v>
      </c>
      <c r="AG509" t="s">
        <v>65</v>
      </c>
      <c r="AH509">
        <v>0</v>
      </c>
      <c r="AI509" t="s">
        <v>71</v>
      </c>
      <c r="AJ509" s="3" t="s">
        <v>84</v>
      </c>
      <c r="AK509" s="3">
        <v>0</v>
      </c>
      <c r="AL509" s="3" t="s">
        <v>83</v>
      </c>
    </row>
    <row r="510" spans="1:38" x14ac:dyDescent="0.3">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v>6646</v>
      </c>
      <c r="S510">
        <v>19368</v>
      </c>
      <c r="T510">
        <v>1</v>
      </c>
      <c r="U510" t="s">
        <v>43</v>
      </c>
      <c r="V510">
        <v>13</v>
      </c>
      <c r="W510">
        <v>3</v>
      </c>
      <c r="X510">
        <v>2</v>
      </c>
      <c r="Y510">
        <v>0</v>
      </c>
      <c r="Z510">
        <v>17</v>
      </c>
      <c r="AA510">
        <v>3</v>
      </c>
      <c r="AB510">
        <v>3</v>
      </c>
      <c r="AC510">
        <v>17</v>
      </c>
      <c r="AD510">
        <v>11</v>
      </c>
      <c r="AE510">
        <v>11</v>
      </c>
      <c r="AF510">
        <v>8</v>
      </c>
      <c r="AG510" t="s">
        <v>65</v>
      </c>
      <c r="AH510">
        <v>0</v>
      </c>
      <c r="AI510" t="s">
        <v>72</v>
      </c>
      <c r="AJ510" s="3" t="s">
        <v>82</v>
      </c>
      <c r="AK510" s="3">
        <v>0</v>
      </c>
      <c r="AL510" s="3" t="s">
        <v>83</v>
      </c>
    </row>
    <row r="511" spans="1:38" x14ac:dyDescent="0.3">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v>7725</v>
      </c>
      <c r="S511">
        <v>5335</v>
      </c>
      <c r="T511">
        <v>3</v>
      </c>
      <c r="U511" t="s">
        <v>43</v>
      </c>
      <c r="V511">
        <v>23</v>
      </c>
      <c r="W511">
        <v>4</v>
      </c>
      <c r="X511">
        <v>3</v>
      </c>
      <c r="Y511">
        <v>1</v>
      </c>
      <c r="Z511">
        <v>15</v>
      </c>
      <c r="AA511">
        <v>2</v>
      </c>
      <c r="AB511">
        <v>1</v>
      </c>
      <c r="AC511">
        <v>13</v>
      </c>
      <c r="AD511">
        <v>11</v>
      </c>
      <c r="AE511">
        <v>4</v>
      </c>
      <c r="AF511">
        <v>7</v>
      </c>
      <c r="AG511" t="s">
        <v>65</v>
      </c>
      <c r="AH511">
        <v>0</v>
      </c>
      <c r="AI511" t="s">
        <v>71</v>
      </c>
      <c r="AJ511" s="3" t="s">
        <v>82</v>
      </c>
      <c r="AK511" s="3">
        <v>0</v>
      </c>
      <c r="AL511" s="3" t="s">
        <v>83</v>
      </c>
    </row>
    <row r="512" spans="1:38" x14ac:dyDescent="0.3">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v>10725</v>
      </c>
      <c r="S512">
        <v>6729</v>
      </c>
      <c r="T512">
        <v>2</v>
      </c>
      <c r="U512" t="s">
        <v>43</v>
      </c>
      <c r="V512">
        <v>15</v>
      </c>
      <c r="W512">
        <v>3</v>
      </c>
      <c r="X512">
        <v>3</v>
      </c>
      <c r="Y512">
        <v>1</v>
      </c>
      <c r="Z512">
        <v>16</v>
      </c>
      <c r="AA512">
        <v>1</v>
      </c>
      <c r="AB512">
        <v>4</v>
      </c>
      <c r="AC512">
        <v>9</v>
      </c>
      <c r="AD512">
        <v>7</v>
      </c>
      <c r="AE512">
        <v>7</v>
      </c>
      <c r="AF512">
        <v>1</v>
      </c>
      <c r="AG512" t="s">
        <v>65</v>
      </c>
      <c r="AH512">
        <v>0</v>
      </c>
      <c r="AI512" t="s">
        <v>71</v>
      </c>
      <c r="AJ512" s="3" t="s">
        <v>83</v>
      </c>
      <c r="AK512" s="3">
        <v>1</v>
      </c>
      <c r="AL512" s="3" t="s">
        <v>83</v>
      </c>
    </row>
    <row r="513" spans="1:38" x14ac:dyDescent="0.3">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v>8847</v>
      </c>
      <c r="S513">
        <v>13934</v>
      </c>
      <c r="T513">
        <v>2</v>
      </c>
      <c r="U513" t="s">
        <v>35</v>
      </c>
      <c r="V513">
        <v>11</v>
      </c>
      <c r="W513">
        <v>3</v>
      </c>
      <c r="X513">
        <v>3</v>
      </c>
      <c r="Y513">
        <v>1</v>
      </c>
      <c r="Z513">
        <v>13</v>
      </c>
      <c r="AA513">
        <v>2</v>
      </c>
      <c r="AB513">
        <v>3</v>
      </c>
      <c r="AC513">
        <v>3</v>
      </c>
      <c r="AD513">
        <v>2</v>
      </c>
      <c r="AE513">
        <v>0</v>
      </c>
      <c r="AF513">
        <v>2</v>
      </c>
      <c r="AG513" t="s">
        <v>67</v>
      </c>
      <c r="AH513">
        <v>0</v>
      </c>
      <c r="AI513" t="s">
        <v>69</v>
      </c>
      <c r="AJ513" s="3" t="s">
        <v>83</v>
      </c>
      <c r="AK513" s="3">
        <v>3</v>
      </c>
      <c r="AL513" s="3" t="s">
        <v>82</v>
      </c>
    </row>
    <row r="514" spans="1:38" x14ac:dyDescent="0.3">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v>2045</v>
      </c>
      <c r="S514">
        <v>15174</v>
      </c>
      <c r="T514">
        <v>0</v>
      </c>
      <c r="U514" t="s">
        <v>43</v>
      </c>
      <c r="V514">
        <v>13</v>
      </c>
      <c r="W514">
        <v>3</v>
      </c>
      <c r="X514">
        <v>4</v>
      </c>
      <c r="Y514">
        <v>0</v>
      </c>
      <c r="Z514">
        <v>5</v>
      </c>
      <c r="AA514">
        <v>0</v>
      </c>
      <c r="AB514">
        <v>3</v>
      </c>
      <c r="AC514">
        <v>4</v>
      </c>
      <c r="AD514">
        <v>2</v>
      </c>
      <c r="AE514">
        <v>1</v>
      </c>
      <c r="AF514">
        <v>1</v>
      </c>
      <c r="AG514" t="s">
        <v>68</v>
      </c>
      <c r="AH514">
        <v>0</v>
      </c>
      <c r="AI514" t="s">
        <v>71</v>
      </c>
      <c r="AJ514" s="3" t="s">
        <v>82</v>
      </c>
      <c r="AK514" s="3">
        <v>0</v>
      </c>
      <c r="AL514" s="3" t="s">
        <v>83</v>
      </c>
    </row>
    <row r="515" spans="1:38" x14ac:dyDescent="0.3">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v>1009</v>
      </c>
      <c r="S515">
        <v>26999</v>
      </c>
      <c r="T515">
        <v>1</v>
      </c>
      <c r="U515" t="s">
        <v>35</v>
      </c>
      <c r="V515">
        <v>11</v>
      </c>
      <c r="W515">
        <v>3</v>
      </c>
      <c r="X515">
        <v>4</v>
      </c>
      <c r="Y515">
        <v>0</v>
      </c>
      <c r="Z515">
        <v>1</v>
      </c>
      <c r="AA515">
        <v>5</v>
      </c>
      <c r="AB515">
        <v>3</v>
      </c>
      <c r="AC515">
        <v>1</v>
      </c>
      <c r="AD515">
        <v>0</v>
      </c>
      <c r="AE515">
        <v>1</v>
      </c>
      <c r="AF515">
        <v>1</v>
      </c>
      <c r="AG515" t="s">
        <v>67</v>
      </c>
      <c r="AH515">
        <v>1</v>
      </c>
      <c r="AI515" t="s">
        <v>72</v>
      </c>
      <c r="AJ515" s="3" t="s">
        <v>84</v>
      </c>
      <c r="AK515" s="3">
        <v>2</v>
      </c>
      <c r="AL515" s="3" t="s">
        <v>84</v>
      </c>
    </row>
    <row r="516" spans="1:38" x14ac:dyDescent="0.3">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v>3348</v>
      </c>
      <c r="S516">
        <v>3164</v>
      </c>
      <c r="T516">
        <v>1</v>
      </c>
      <c r="U516" t="s">
        <v>35</v>
      </c>
      <c r="V516">
        <v>11</v>
      </c>
      <c r="W516">
        <v>3</v>
      </c>
      <c r="X516">
        <v>1</v>
      </c>
      <c r="Y516">
        <v>0</v>
      </c>
      <c r="Z516">
        <v>10</v>
      </c>
      <c r="AA516">
        <v>3</v>
      </c>
      <c r="AB516">
        <v>3</v>
      </c>
      <c r="AC516">
        <v>10</v>
      </c>
      <c r="AD516">
        <v>8</v>
      </c>
      <c r="AE516">
        <v>9</v>
      </c>
      <c r="AF516">
        <v>7</v>
      </c>
      <c r="AG516" t="s">
        <v>65</v>
      </c>
      <c r="AH516">
        <v>1</v>
      </c>
      <c r="AI516" t="s">
        <v>72</v>
      </c>
      <c r="AJ516" s="3" t="s">
        <v>83</v>
      </c>
      <c r="AK516" s="3">
        <v>2</v>
      </c>
      <c r="AL516" s="3" t="s">
        <v>84</v>
      </c>
    </row>
    <row r="517" spans="1:38" x14ac:dyDescent="0.3">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v>1281</v>
      </c>
      <c r="S517">
        <v>16900</v>
      </c>
      <c r="T517">
        <v>1</v>
      </c>
      <c r="U517" t="s">
        <v>43</v>
      </c>
      <c r="V517">
        <v>18</v>
      </c>
      <c r="W517">
        <v>3</v>
      </c>
      <c r="X517">
        <v>3</v>
      </c>
      <c r="Y517">
        <v>2</v>
      </c>
      <c r="Z517">
        <v>1</v>
      </c>
      <c r="AA517">
        <v>3</v>
      </c>
      <c r="AB517">
        <v>3</v>
      </c>
      <c r="AC517">
        <v>1</v>
      </c>
      <c r="AD517">
        <v>0</v>
      </c>
      <c r="AE517">
        <v>0</v>
      </c>
      <c r="AF517">
        <v>0</v>
      </c>
      <c r="AG517" t="s">
        <v>67</v>
      </c>
      <c r="AH517">
        <v>0</v>
      </c>
      <c r="AI517" t="s">
        <v>71</v>
      </c>
      <c r="AJ517" s="3" t="s">
        <v>84</v>
      </c>
      <c r="AK517" s="3">
        <v>1</v>
      </c>
      <c r="AL517" s="3" t="s">
        <v>83</v>
      </c>
    </row>
    <row r="518" spans="1:38" x14ac:dyDescent="0.3">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v>2819</v>
      </c>
      <c r="S518">
        <v>8544</v>
      </c>
      <c r="T518">
        <v>2</v>
      </c>
      <c r="U518" t="s">
        <v>43</v>
      </c>
      <c r="V518">
        <v>16</v>
      </c>
      <c r="W518">
        <v>3</v>
      </c>
      <c r="X518">
        <v>1</v>
      </c>
      <c r="Y518">
        <v>1</v>
      </c>
      <c r="Z518">
        <v>5</v>
      </c>
      <c r="AA518">
        <v>3</v>
      </c>
      <c r="AB518">
        <v>4</v>
      </c>
      <c r="AC518">
        <v>3</v>
      </c>
      <c r="AD518">
        <v>2</v>
      </c>
      <c r="AE518">
        <v>0</v>
      </c>
      <c r="AF518">
        <v>2</v>
      </c>
      <c r="AG518" t="s">
        <v>67</v>
      </c>
      <c r="AH518">
        <v>0</v>
      </c>
      <c r="AI518" t="s">
        <v>71</v>
      </c>
      <c r="AJ518" s="3" t="s">
        <v>83</v>
      </c>
      <c r="AK518" s="3">
        <v>2</v>
      </c>
      <c r="AL518" s="3" t="s">
        <v>84</v>
      </c>
    </row>
    <row r="519" spans="1:38" x14ac:dyDescent="0.3">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v>4851</v>
      </c>
      <c r="S519">
        <v>15678</v>
      </c>
      <c r="T519">
        <v>0</v>
      </c>
      <c r="U519" t="s">
        <v>43</v>
      </c>
      <c r="V519">
        <v>22</v>
      </c>
      <c r="W519">
        <v>4</v>
      </c>
      <c r="X519">
        <v>3</v>
      </c>
      <c r="Y519">
        <v>1</v>
      </c>
      <c r="Z519">
        <v>4</v>
      </c>
      <c r="AA519">
        <v>4</v>
      </c>
      <c r="AB519">
        <v>3</v>
      </c>
      <c r="AC519">
        <v>3</v>
      </c>
      <c r="AD519">
        <v>2</v>
      </c>
      <c r="AE519">
        <v>1</v>
      </c>
      <c r="AF519">
        <v>2</v>
      </c>
      <c r="AG519" t="s">
        <v>67</v>
      </c>
      <c r="AH519">
        <v>0</v>
      </c>
      <c r="AI519" t="s">
        <v>72</v>
      </c>
      <c r="AJ519" s="3" t="s">
        <v>83</v>
      </c>
      <c r="AK519" s="3">
        <v>2</v>
      </c>
      <c r="AL519" s="3" t="s">
        <v>84</v>
      </c>
    </row>
    <row r="520" spans="1:38" x14ac:dyDescent="0.3">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v>4028</v>
      </c>
      <c r="S520">
        <v>7791</v>
      </c>
      <c r="T520">
        <v>0</v>
      </c>
      <c r="U520" t="s">
        <v>43</v>
      </c>
      <c r="V520">
        <v>20</v>
      </c>
      <c r="W520">
        <v>4</v>
      </c>
      <c r="X520">
        <v>1</v>
      </c>
      <c r="Y520">
        <v>0</v>
      </c>
      <c r="Z520">
        <v>8</v>
      </c>
      <c r="AA520">
        <v>2</v>
      </c>
      <c r="AB520">
        <v>3</v>
      </c>
      <c r="AC520">
        <v>7</v>
      </c>
      <c r="AD520">
        <v>7</v>
      </c>
      <c r="AE520">
        <v>0</v>
      </c>
      <c r="AF520">
        <v>5</v>
      </c>
      <c r="AG520" t="s">
        <v>65</v>
      </c>
      <c r="AH520">
        <v>0</v>
      </c>
      <c r="AI520" t="s">
        <v>72</v>
      </c>
      <c r="AJ520" s="3" t="s">
        <v>82</v>
      </c>
      <c r="AK520" s="3">
        <v>0</v>
      </c>
      <c r="AL520" s="3" t="s">
        <v>83</v>
      </c>
    </row>
    <row r="521" spans="1:38" x14ac:dyDescent="0.3">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v>2720</v>
      </c>
      <c r="S521">
        <v>18959</v>
      </c>
      <c r="T521">
        <v>1</v>
      </c>
      <c r="U521" t="s">
        <v>43</v>
      </c>
      <c r="V521">
        <v>18</v>
      </c>
      <c r="W521">
        <v>3</v>
      </c>
      <c r="X521">
        <v>4</v>
      </c>
      <c r="Y521">
        <v>1</v>
      </c>
      <c r="Z521">
        <v>10</v>
      </c>
      <c r="AA521">
        <v>5</v>
      </c>
      <c r="AB521">
        <v>3</v>
      </c>
      <c r="AC521">
        <v>10</v>
      </c>
      <c r="AD521">
        <v>7</v>
      </c>
      <c r="AE521">
        <v>2</v>
      </c>
      <c r="AF521">
        <v>8</v>
      </c>
      <c r="AG521" t="s">
        <v>65</v>
      </c>
      <c r="AH521">
        <v>0</v>
      </c>
      <c r="AI521" t="s">
        <v>71</v>
      </c>
      <c r="AJ521" s="3" t="s">
        <v>82</v>
      </c>
      <c r="AK521" s="3">
        <v>0</v>
      </c>
      <c r="AL521" s="3" t="s">
        <v>83</v>
      </c>
    </row>
    <row r="522" spans="1:38" x14ac:dyDescent="0.3">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v>8120</v>
      </c>
      <c r="S522">
        <v>18597</v>
      </c>
      <c r="T522">
        <v>3</v>
      </c>
      <c r="U522" t="s">
        <v>43</v>
      </c>
      <c r="V522">
        <v>12</v>
      </c>
      <c r="W522">
        <v>3</v>
      </c>
      <c r="X522">
        <v>4</v>
      </c>
      <c r="Y522">
        <v>0</v>
      </c>
      <c r="Z522">
        <v>12</v>
      </c>
      <c r="AA522">
        <v>3</v>
      </c>
      <c r="AB522">
        <v>3</v>
      </c>
      <c r="AC522">
        <v>2</v>
      </c>
      <c r="AD522">
        <v>2</v>
      </c>
      <c r="AE522">
        <v>2</v>
      </c>
      <c r="AF522">
        <v>2</v>
      </c>
      <c r="AG522" t="s">
        <v>67</v>
      </c>
      <c r="AH522">
        <v>0</v>
      </c>
      <c r="AI522" t="s">
        <v>72</v>
      </c>
      <c r="AJ522" s="3" t="s">
        <v>83</v>
      </c>
      <c r="AK522" s="3">
        <v>2</v>
      </c>
      <c r="AL522" s="3" t="s">
        <v>84</v>
      </c>
    </row>
    <row r="523" spans="1:38" x14ac:dyDescent="0.3">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v>4647</v>
      </c>
      <c r="S523">
        <v>16673</v>
      </c>
      <c r="T523">
        <v>1</v>
      </c>
      <c r="U523" t="s">
        <v>35</v>
      </c>
      <c r="V523">
        <v>20</v>
      </c>
      <c r="W523">
        <v>4</v>
      </c>
      <c r="X523">
        <v>2</v>
      </c>
      <c r="Y523">
        <v>2</v>
      </c>
      <c r="Z523">
        <v>6</v>
      </c>
      <c r="AA523">
        <v>3</v>
      </c>
      <c r="AB523">
        <v>3</v>
      </c>
      <c r="AC523">
        <v>6</v>
      </c>
      <c r="AD523">
        <v>5</v>
      </c>
      <c r="AE523">
        <v>0</v>
      </c>
      <c r="AF523">
        <v>4</v>
      </c>
      <c r="AG523" t="s">
        <v>65</v>
      </c>
      <c r="AH523">
        <v>0</v>
      </c>
      <c r="AI523" t="s">
        <v>70</v>
      </c>
      <c r="AJ523" s="3" t="s">
        <v>82</v>
      </c>
      <c r="AK523" s="3">
        <v>1</v>
      </c>
      <c r="AL523" s="3" t="s">
        <v>83</v>
      </c>
    </row>
    <row r="524" spans="1:38" x14ac:dyDescent="0.3">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v>4680</v>
      </c>
      <c r="S524">
        <v>15232</v>
      </c>
      <c r="T524">
        <v>3</v>
      </c>
      <c r="U524" t="s">
        <v>43</v>
      </c>
      <c r="V524">
        <v>17</v>
      </c>
      <c r="W524">
        <v>3</v>
      </c>
      <c r="X524">
        <v>1</v>
      </c>
      <c r="Y524">
        <v>0</v>
      </c>
      <c r="Z524">
        <v>4</v>
      </c>
      <c r="AA524">
        <v>2</v>
      </c>
      <c r="AB524">
        <v>3</v>
      </c>
      <c r="AC524">
        <v>1</v>
      </c>
      <c r="AD524">
        <v>0</v>
      </c>
      <c r="AE524">
        <v>0</v>
      </c>
      <c r="AF524">
        <v>0</v>
      </c>
      <c r="AG524" t="s">
        <v>67</v>
      </c>
      <c r="AH524">
        <v>0</v>
      </c>
      <c r="AI524" t="s">
        <v>72</v>
      </c>
      <c r="AJ524" s="3" t="s">
        <v>82</v>
      </c>
      <c r="AK524" s="3">
        <v>1</v>
      </c>
      <c r="AL524" s="3" t="s">
        <v>83</v>
      </c>
    </row>
    <row r="525" spans="1:38" x14ac:dyDescent="0.3">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v>3221</v>
      </c>
      <c r="S525">
        <v>3297</v>
      </c>
      <c r="T525">
        <v>1</v>
      </c>
      <c r="U525" t="s">
        <v>35</v>
      </c>
      <c r="V525">
        <v>11</v>
      </c>
      <c r="W525">
        <v>3</v>
      </c>
      <c r="X525">
        <v>3</v>
      </c>
      <c r="Y525">
        <v>3</v>
      </c>
      <c r="Z525">
        <v>20</v>
      </c>
      <c r="AA525">
        <v>3</v>
      </c>
      <c r="AB525">
        <v>3</v>
      </c>
      <c r="AC525">
        <v>20</v>
      </c>
      <c r="AD525">
        <v>8</v>
      </c>
      <c r="AE525">
        <v>3</v>
      </c>
      <c r="AF525">
        <v>8</v>
      </c>
      <c r="AG525" t="s">
        <v>65</v>
      </c>
      <c r="AH525">
        <v>0</v>
      </c>
      <c r="AI525" t="s">
        <v>71</v>
      </c>
      <c r="AJ525" s="3" t="s">
        <v>84</v>
      </c>
      <c r="AK525" s="3">
        <v>1</v>
      </c>
      <c r="AL525" s="3" t="s">
        <v>83</v>
      </c>
    </row>
    <row r="526" spans="1:38" x14ac:dyDescent="0.3">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v>8621</v>
      </c>
      <c r="S526">
        <v>17654</v>
      </c>
      <c r="T526">
        <v>1</v>
      </c>
      <c r="U526" t="s">
        <v>43</v>
      </c>
      <c r="V526">
        <v>14</v>
      </c>
      <c r="W526">
        <v>3</v>
      </c>
      <c r="X526">
        <v>2</v>
      </c>
      <c r="Y526">
        <v>0</v>
      </c>
      <c r="Z526">
        <v>9</v>
      </c>
      <c r="AA526">
        <v>3</v>
      </c>
      <c r="AB526">
        <v>4</v>
      </c>
      <c r="AC526">
        <v>8</v>
      </c>
      <c r="AD526">
        <v>7</v>
      </c>
      <c r="AE526">
        <v>7</v>
      </c>
      <c r="AF526">
        <v>7</v>
      </c>
      <c r="AG526" t="s">
        <v>65</v>
      </c>
      <c r="AH526">
        <v>0</v>
      </c>
      <c r="AI526" t="s">
        <v>69</v>
      </c>
      <c r="AJ526" s="3" t="s">
        <v>83</v>
      </c>
      <c r="AK526" s="3">
        <v>1</v>
      </c>
      <c r="AL526" s="3" t="s">
        <v>83</v>
      </c>
    </row>
    <row r="527" spans="1:38" x14ac:dyDescent="0.3">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v>4577</v>
      </c>
      <c r="S527">
        <v>24785</v>
      </c>
      <c r="T527">
        <v>9</v>
      </c>
      <c r="U527" t="s">
        <v>43</v>
      </c>
      <c r="V527">
        <v>14</v>
      </c>
      <c r="W527">
        <v>3</v>
      </c>
      <c r="X527">
        <v>1</v>
      </c>
      <c r="Y527">
        <v>0</v>
      </c>
      <c r="Z527">
        <v>4</v>
      </c>
      <c r="AA527">
        <v>3</v>
      </c>
      <c r="AB527">
        <v>3</v>
      </c>
      <c r="AC527">
        <v>2</v>
      </c>
      <c r="AD527">
        <v>2</v>
      </c>
      <c r="AE527">
        <v>2</v>
      </c>
      <c r="AF527">
        <v>0</v>
      </c>
      <c r="AG527" t="s">
        <v>67</v>
      </c>
      <c r="AH527">
        <v>1</v>
      </c>
      <c r="AI527" t="s">
        <v>71</v>
      </c>
      <c r="AJ527" s="3" t="s">
        <v>84</v>
      </c>
      <c r="AK527" s="3">
        <v>1</v>
      </c>
      <c r="AL527" s="3" t="s">
        <v>83</v>
      </c>
    </row>
    <row r="528" spans="1:38" x14ac:dyDescent="0.3">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v>4553</v>
      </c>
      <c r="S528">
        <v>20978</v>
      </c>
      <c r="T528">
        <v>1</v>
      </c>
      <c r="U528" t="s">
        <v>43</v>
      </c>
      <c r="V528">
        <v>11</v>
      </c>
      <c r="W528">
        <v>3</v>
      </c>
      <c r="X528">
        <v>1</v>
      </c>
      <c r="Y528">
        <v>0</v>
      </c>
      <c r="Z528">
        <v>20</v>
      </c>
      <c r="AA528">
        <v>4</v>
      </c>
      <c r="AB528">
        <v>3</v>
      </c>
      <c r="AC528">
        <v>20</v>
      </c>
      <c r="AD528">
        <v>7</v>
      </c>
      <c r="AE528">
        <v>11</v>
      </c>
      <c r="AF528">
        <v>10</v>
      </c>
      <c r="AG528" t="s">
        <v>65</v>
      </c>
      <c r="AH528">
        <v>0</v>
      </c>
      <c r="AI528" t="s">
        <v>72</v>
      </c>
      <c r="AJ528" s="3" t="s">
        <v>84</v>
      </c>
      <c r="AK528" s="3">
        <v>0</v>
      </c>
      <c r="AL528" s="3" t="s">
        <v>83</v>
      </c>
    </row>
    <row r="529" spans="1:38" x14ac:dyDescent="0.3">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v>5396</v>
      </c>
      <c r="S529">
        <v>21703</v>
      </c>
      <c r="T529">
        <v>1</v>
      </c>
      <c r="U529" t="s">
        <v>43</v>
      </c>
      <c r="V529">
        <v>12</v>
      </c>
      <c r="W529">
        <v>3</v>
      </c>
      <c r="X529">
        <v>4</v>
      </c>
      <c r="Y529">
        <v>0</v>
      </c>
      <c r="Z529">
        <v>10</v>
      </c>
      <c r="AA529">
        <v>2</v>
      </c>
      <c r="AB529">
        <v>2</v>
      </c>
      <c r="AC529">
        <v>10</v>
      </c>
      <c r="AD529">
        <v>7</v>
      </c>
      <c r="AE529">
        <v>0</v>
      </c>
      <c r="AF529">
        <v>8</v>
      </c>
      <c r="AG529" t="s">
        <v>65</v>
      </c>
      <c r="AH529">
        <v>0</v>
      </c>
      <c r="AI529" t="s">
        <v>71</v>
      </c>
      <c r="AJ529" s="3" t="s">
        <v>82</v>
      </c>
      <c r="AK529" s="3">
        <v>0</v>
      </c>
      <c r="AL529" s="3" t="s">
        <v>83</v>
      </c>
    </row>
    <row r="530" spans="1:38" x14ac:dyDescent="0.3">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v>6796</v>
      </c>
      <c r="S530">
        <v>23452</v>
      </c>
      <c r="T530">
        <v>3</v>
      </c>
      <c r="U530" t="s">
        <v>35</v>
      </c>
      <c r="V530">
        <v>14</v>
      </c>
      <c r="W530">
        <v>3</v>
      </c>
      <c r="X530">
        <v>1</v>
      </c>
      <c r="Y530">
        <v>1</v>
      </c>
      <c r="Z530">
        <v>18</v>
      </c>
      <c r="AA530">
        <v>4</v>
      </c>
      <c r="AB530">
        <v>3</v>
      </c>
      <c r="AC530">
        <v>4</v>
      </c>
      <c r="AD530">
        <v>3</v>
      </c>
      <c r="AE530">
        <v>1</v>
      </c>
      <c r="AF530">
        <v>3</v>
      </c>
      <c r="AG530" t="s">
        <v>68</v>
      </c>
      <c r="AH530">
        <v>1</v>
      </c>
      <c r="AI530" t="s">
        <v>71</v>
      </c>
      <c r="AJ530" s="3" t="s">
        <v>84</v>
      </c>
      <c r="AK530" s="3">
        <v>1</v>
      </c>
      <c r="AL530" s="3" t="s">
        <v>83</v>
      </c>
    </row>
    <row r="531" spans="1:38" x14ac:dyDescent="0.3">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v>7625</v>
      </c>
      <c r="S531">
        <v>19383</v>
      </c>
      <c r="T531">
        <v>0</v>
      </c>
      <c r="U531" t="s">
        <v>43</v>
      </c>
      <c r="V531">
        <v>13</v>
      </c>
      <c r="W531">
        <v>3</v>
      </c>
      <c r="X531">
        <v>3</v>
      </c>
      <c r="Y531">
        <v>0</v>
      </c>
      <c r="Z531">
        <v>10</v>
      </c>
      <c r="AA531">
        <v>4</v>
      </c>
      <c r="AB531">
        <v>2</v>
      </c>
      <c r="AC531">
        <v>9</v>
      </c>
      <c r="AD531">
        <v>7</v>
      </c>
      <c r="AE531">
        <v>1</v>
      </c>
      <c r="AF531">
        <v>8</v>
      </c>
      <c r="AG531" t="s">
        <v>65</v>
      </c>
      <c r="AH531">
        <v>0</v>
      </c>
      <c r="AI531" t="s">
        <v>69</v>
      </c>
      <c r="AJ531" s="3" t="s">
        <v>82</v>
      </c>
      <c r="AK531" s="3">
        <v>0</v>
      </c>
      <c r="AL531" s="3" t="s">
        <v>83</v>
      </c>
    </row>
    <row r="532" spans="1:38" x14ac:dyDescent="0.3">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v>7412</v>
      </c>
      <c r="S532">
        <v>6009</v>
      </c>
      <c r="T532">
        <v>1</v>
      </c>
      <c r="U532" t="s">
        <v>43</v>
      </c>
      <c r="V532">
        <v>11</v>
      </c>
      <c r="W532">
        <v>3</v>
      </c>
      <c r="X532">
        <v>4</v>
      </c>
      <c r="Y532">
        <v>0</v>
      </c>
      <c r="Z532">
        <v>9</v>
      </c>
      <c r="AA532">
        <v>3</v>
      </c>
      <c r="AB532">
        <v>3</v>
      </c>
      <c r="AC532">
        <v>9</v>
      </c>
      <c r="AD532">
        <v>7</v>
      </c>
      <c r="AE532">
        <v>0</v>
      </c>
      <c r="AF532">
        <v>7</v>
      </c>
      <c r="AG532" t="s">
        <v>65</v>
      </c>
      <c r="AH532">
        <v>0</v>
      </c>
      <c r="AI532" t="s">
        <v>71</v>
      </c>
      <c r="AJ532" s="3" t="s">
        <v>83</v>
      </c>
      <c r="AK532" s="3">
        <v>1</v>
      </c>
      <c r="AL532" s="3" t="s">
        <v>83</v>
      </c>
    </row>
    <row r="533" spans="1:38" x14ac:dyDescent="0.3">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v>11159</v>
      </c>
      <c r="S533">
        <v>19373</v>
      </c>
      <c r="T533">
        <v>3</v>
      </c>
      <c r="U533" t="s">
        <v>43</v>
      </c>
      <c r="V533">
        <v>15</v>
      </c>
      <c r="W533">
        <v>3</v>
      </c>
      <c r="X533">
        <v>4</v>
      </c>
      <c r="Y533">
        <v>0</v>
      </c>
      <c r="Z533">
        <v>10</v>
      </c>
      <c r="AA533">
        <v>6</v>
      </c>
      <c r="AB533">
        <v>3</v>
      </c>
      <c r="AC533">
        <v>7</v>
      </c>
      <c r="AD533">
        <v>7</v>
      </c>
      <c r="AE533">
        <v>7</v>
      </c>
      <c r="AF533">
        <v>7</v>
      </c>
      <c r="AG533" t="s">
        <v>65</v>
      </c>
      <c r="AH533">
        <v>0</v>
      </c>
      <c r="AI533" t="s">
        <v>72</v>
      </c>
      <c r="AJ533" s="3" t="s">
        <v>82</v>
      </c>
      <c r="AK533" s="3">
        <v>0</v>
      </c>
      <c r="AL533" s="3" t="s">
        <v>83</v>
      </c>
    </row>
    <row r="534" spans="1:38" x14ac:dyDescent="0.3">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v>4960</v>
      </c>
      <c r="S534">
        <v>11825</v>
      </c>
      <c r="T534">
        <v>2</v>
      </c>
      <c r="U534" t="s">
        <v>43</v>
      </c>
      <c r="V534">
        <v>12</v>
      </c>
      <c r="W534">
        <v>3</v>
      </c>
      <c r="X534">
        <v>4</v>
      </c>
      <c r="Y534">
        <v>0</v>
      </c>
      <c r="Z534">
        <v>20</v>
      </c>
      <c r="AA534">
        <v>2</v>
      </c>
      <c r="AB534">
        <v>3</v>
      </c>
      <c r="AC534">
        <v>7</v>
      </c>
      <c r="AD534">
        <v>7</v>
      </c>
      <c r="AE534">
        <v>1</v>
      </c>
      <c r="AF534">
        <v>7</v>
      </c>
      <c r="AG534" t="s">
        <v>65</v>
      </c>
      <c r="AH534">
        <v>0</v>
      </c>
      <c r="AI534" t="s">
        <v>71</v>
      </c>
      <c r="AJ534" s="3" t="s">
        <v>83</v>
      </c>
      <c r="AK534" s="3">
        <v>1</v>
      </c>
      <c r="AL534" s="3" t="s">
        <v>83</v>
      </c>
    </row>
    <row r="535" spans="1:38" x14ac:dyDescent="0.3">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v>10475</v>
      </c>
      <c r="S535">
        <v>23772</v>
      </c>
      <c r="T535">
        <v>5</v>
      </c>
      <c r="U535" t="s">
        <v>35</v>
      </c>
      <c r="V535">
        <v>21</v>
      </c>
      <c r="W535">
        <v>4</v>
      </c>
      <c r="X535">
        <v>3</v>
      </c>
      <c r="Y535">
        <v>1</v>
      </c>
      <c r="Z535">
        <v>20</v>
      </c>
      <c r="AA535">
        <v>2</v>
      </c>
      <c r="AB535">
        <v>3</v>
      </c>
      <c r="AC535">
        <v>18</v>
      </c>
      <c r="AD535">
        <v>13</v>
      </c>
      <c r="AE535">
        <v>1</v>
      </c>
      <c r="AF535">
        <v>12</v>
      </c>
      <c r="AG535" t="s">
        <v>65</v>
      </c>
      <c r="AH535">
        <v>0</v>
      </c>
      <c r="AI535" t="s">
        <v>70</v>
      </c>
      <c r="AJ535" s="3" t="s">
        <v>83</v>
      </c>
      <c r="AK535" s="3">
        <v>2</v>
      </c>
      <c r="AL535" s="3" t="s">
        <v>84</v>
      </c>
    </row>
    <row r="536" spans="1:38" x14ac:dyDescent="0.3">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v>14814</v>
      </c>
      <c r="S536">
        <v>13514</v>
      </c>
      <c r="T536">
        <v>3</v>
      </c>
      <c r="U536" t="s">
        <v>43</v>
      </c>
      <c r="V536">
        <v>19</v>
      </c>
      <c r="W536">
        <v>3</v>
      </c>
      <c r="X536">
        <v>3</v>
      </c>
      <c r="Y536">
        <v>0</v>
      </c>
      <c r="Z536">
        <v>32</v>
      </c>
      <c r="AA536">
        <v>3</v>
      </c>
      <c r="AB536">
        <v>3</v>
      </c>
      <c r="AC536">
        <v>5</v>
      </c>
      <c r="AD536">
        <v>1</v>
      </c>
      <c r="AE536">
        <v>1</v>
      </c>
      <c r="AF536">
        <v>3</v>
      </c>
      <c r="AG536" t="s">
        <v>68</v>
      </c>
      <c r="AH536">
        <v>0</v>
      </c>
      <c r="AI536" t="s">
        <v>70</v>
      </c>
      <c r="AJ536" s="3" t="s">
        <v>84</v>
      </c>
      <c r="AK536" s="3">
        <v>0</v>
      </c>
      <c r="AL536" s="3" t="s">
        <v>83</v>
      </c>
    </row>
    <row r="537" spans="1:38" x14ac:dyDescent="0.3">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v>19141</v>
      </c>
      <c r="S537">
        <v>8861</v>
      </c>
      <c r="T537">
        <v>3</v>
      </c>
      <c r="U537" t="s">
        <v>43</v>
      </c>
      <c r="V537">
        <v>15</v>
      </c>
      <c r="W537">
        <v>3</v>
      </c>
      <c r="X537">
        <v>2</v>
      </c>
      <c r="Y537">
        <v>3</v>
      </c>
      <c r="Z537">
        <v>23</v>
      </c>
      <c r="AA537">
        <v>2</v>
      </c>
      <c r="AB537">
        <v>2</v>
      </c>
      <c r="AC537">
        <v>21</v>
      </c>
      <c r="AD537">
        <v>6</v>
      </c>
      <c r="AE537">
        <v>12</v>
      </c>
      <c r="AF537">
        <v>6</v>
      </c>
      <c r="AG537" t="s">
        <v>65</v>
      </c>
      <c r="AH537">
        <v>0</v>
      </c>
      <c r="AI537" t="s">
        <v>69</v>
      </c>
      <c r="AJ537" s="3" t="s">
        <v>82</v>
      </c>
      <c r="AK537" s="3">
        <v>0</v>
      </c>
      <c r="AL537" s="3" t="s">
        <v>83</v>
      </c>
    </row>
    <row r="538" spans="1:38" x14ac:dyDescent="0.3">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v>5405</v>
      </c>
      <c r="S538">
        <v>11924</v>
      </c>
      <c r="T538">
        <v>8</v>
      </c>
      <c r="U538" t="s">
        <v>43</v>
      </c>
      <c r="V538">
        <v>14</v>
      </c>
      <c r="W538">
        <v>3</v>
      </c>
      <c r="X538">
        <v>4</v>
      </c>
      <c r="Y538">
        <v>0</v>
      </c>
      <c r="Z538">
        <v>10</v>
      </c>
      <c r="AA538">
        <v>1</v>
      </c>
      <c r="AB538">
        <v>3</v>
      </c>
      <c r="AC538">
        <v>2</v>
      </c>
      <c r="AD538">
        <v>2</v>
      </c>
      <c r="AE538">
        <v>2</v>
      </c>
      <c r="AF538">
        <v>2</v>
      </c>
      <c r="AG538" t="s">
        <v>67</v>
      </c>
      <c r="AH538">
        <v>0</v>
      </c>
      <c r="AI538" t="s">
        <v>70</v>
      </c>
      <c r="AJ538" s="3" t="s">
        <v>83</v>
      </c>
      <c r="AK538" s="3">
        <v>2</v>
      </c>
      <c r="AL538" s="3" t="s">
        <v>84</v>
      </c>
    </row>
    <row r="539" spans="1:38" x14ac:dyDescent="0.3">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v>8793</v>
      </c>
      <c r="S539">
        <v>4809</v>
      </c>
      <c r="T539">
        <v>1</v>
      </c>
      <c r="U539" t="s">
        <v>43</v>
      </c>
      <c r="V539">
        <v>21</v>
      </c>
      <c r="W539">
        <v>4</v>
      </c>
      <c r="X539">
        <v>3</v>
      </c>
      <c r="Y539">
        <v>2</v>
      </c>
      <c r="Z539">
        <v>9</v>
      </c>
      <c r="AA539">
        <v>4</v>
      </c>
      <c r="AB539">
        <v>2</v>
      </c>
      <c r="AC539">
        <v>9</v>
      </c>
      <c r="AD539">
        <v>7</v>
      </c>
      <c r="AE539">
        <v>1</v>
      </c>
      <c r="AF539">
        <v>7</v>
      </c>
      <c r="AG539" t="s">
        <v>65</v>
      </c>
      <c r="AH539">
        <v>0</v>
      </c>
      <c r="AI539" t="s">
        <v>69</v>
      </c>
      <c r="AJ539" s="3" t="s">
        <v>83</v>
      </c>
      <c r="AK539" s="3">
        <v>1</v>
      </c>
      <c r="AL539" s="3" t="s">
        <v>83</v>
      </c>
    </row>
    <row r="540" spans="1:38" x14ac:dyDescent="0.3">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v>19189</v>
      </c>
      <c r="S540">
        <v>19562</v>
      </c>
      <c r="T540">
        <v>1</v>
      </c>
      <c r="U540" t="s">
        <v>43</v>
      </c>
      <c r="V540">
        <v>12</v>
      </c>
      <c r="W540">
        <v>3</v>
      </c>
      <c r="X540">
        <v>2</v>
      </c>
      <c r="Y540">
        <v>1</v>
      </c>
      <c r="Z540">
        <v>22</v>
      </c>
      <c r="AA540">
        <v>3</v>
      </c>
      <c r="AB540">
        <v>3</v>
      </c>
      <c r="AC540">
        <v>22</v>
      </c>
      <c r="AD540">
        <v>7</v>
      </c>
      <c r="AE540">
        <v>2</v>
      </c>
      <c r="AF540">
        <v>10</v>
      </c>
      <c r="AG540" t="s">
        <v>65</v>
      </c>
      <c r="AH540">
        <v>0</v>
      </c>
      <c r="AI540" t="s">
        <v>72</v>
      </c>
      <c r="AJ540" s="3" t="s">
        <v>84</v>
      </c>
      <c r="AK540" s="3">
        <v>0</v>
      </c>
      <c r="AL540" s="3" t="s">
        <v>83</v>
      </c>
    </row>
    <row r="541" spans="1:38" x14ac:dyDescent="0.3">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v>3875</v>
      </c>
      <c r="S541">
        <v>9983</v>
      </c>
      <c r="T541">
        <v>7</v>
      </c>
      <c r="U541" t="s">
        <v>43</v>
      </c>
      <c r="V541">
        <v>15</v>
      </c>
      <c r="W541">
        <v>3</v>
      </c>
      <c r="X541">
        <v>4</v>
      </c>
      <c r="Y541">
        <v>1</v>
      </c>
      <c r="Z541">
        <v>4</v>
      </c>
      <c r="AA541">
        <v>2</v>
      </c>
      <c r="AB541">
        <v>3</v>
      </c>
      <c r="AC541">
        <v>2</v>
      </c>
      <c r="AD541">
        <v>2</v>
      </c>
      <c r="AE541">
        <v>2</v>
      </c>
      <c r="AF541">
        <v>2</v>
      </c>
      <c r="AG541" t="s">
        <v>67</v>
      </c>
      <c r="AH541">
        <v>0</v>
      </c>
      <c r="AI541" t="s">
        <v>70</v>
      </c>
      <c r="AJ541" s="3" t="s">
        <v>83</v>
      </c>
      <c r="AK541" s="3">
        <v>2</v>
      </c>
      <c r="AL541" s="3" t="s">
        <v>84</v>
      </c>
    </row>
    <row r="542" spans="1:38" x14ac:dyDescent="0.3">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v>2216</v>
      </c>
      <c r="S542">
        <v>3872</v>
      </c>
      <c r="T542">
        <v>7</v>
      </c>
      <c r="U542" t="s">
        <v>35</v>
      </c>
      <c r="V542">
        <v>13</v>
      </c>
      <c r="W542">
        <v>3</v>
      </c>
      <c r="X542">
        <v>4</v>
      </c>
      <c r="Y542">
        <v>0</v>
      </c>
      <c r="Z542">
        <v>10</v>
      </c>
      <c r="AA542">
        <v>4</v>
      </c>
      <c r="AB542">
        <v>3</v>
      </c>
      <c r="AC542">
        <v>7</v>
      </c>
      <c r="AD542">
        <v>7</v>
      </c>
      <c r="AE542">
        <v>3</v>
      </c>
      <c r="AF542">
        <v>7</v>
      </c>
      <c r="AG542" t="s">
        <v>65</v>
      </c>
      <c r="AH542">
        <v>1</v>
      </c>
      <c r="AI542" t="s">
        <v>69</v>
      </c>
      <c r="AJ542" s="3" t="s">
        <v>83</v>
      </c>
      <c r="AK542" s="3">
        <v>2</v>
      </c>
      <c r="AL542" s="3" t="s">
        <v>84</v>
      </c>
    </row>
    <row r="543" spans="1:38" x14ac:dyDescent="0.3">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v>11713</v>
      </c>
      <c r="S543">
        <v>20335</v>
      </c>
      <c r="T543">
        <v>9</v>
      </c>
      <c r="U543" t="s">
        <v>43</v>
      </c>
      <c r="V543">
        <v>14</v>
      </c>
      <c r="W543">
        <v>3</v>
      </c>
      <c r="X543">
        <v>1</v>
      </c>
      <c r="Y543">
        <v>1</v>
      </c>
      <c r="Z543">
        <v>10</v>
      </c>
      <c r="AA543">
        <v>2</v>
      </c>
      <c r="AB543">
        <v>3</v>
      </c>
      <c r="AC543">
        <v>8</v>
      </c>
      <c r="AD543">
        <v>7</v>
      </c>
      <c r="AE543">
        <v>0</v>
      </c>
      <c r="AF543">
        <v>5</v>
      </c>
      <c r="AG543" t="s">
        <v>65</v>
      </c>
      <c r="AH543">
        <v>0</v>
      </c>
      <c r="AI543" t="s">
        <v>72</v>
      </c>
      <c r="AJ543" s="3" t="s">
        <v>83</v>
      </c>
      <c r="AK543" s="3">
        <v>1</v>
      </c>
      <c r="AL543" s="3" t="s">
        <v>83</v>
      </c>
    </row>
    <row r="544" spans="1:38" x14ac:dyDescent="0.3">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v>7861</v>
      </c>
      <c r="S544">
        <v>15397</v>
      </c>
      <c r="T544">
        <v>4</v>
      </c>
      <c r="U544" t="s">
        <v>35</v>
      </c>
      <c r="V544">
        <v>14</v>
      </c>
      <c r="W544">
        <v>3</v>
      </c>
      <c r="X544">
        <v>4</v>
      </c>
      <c r="Y544">
        <v>0</v>
      </c>
      <c r="Z544">
        <v>10</v>
      </c>
      <c r="AA544">
        <v>4</v>
      </c>
      <c r="AB544">
        <v>4</v>
      </c>
      <c r="AC544">
        <v>1</v>
      </c>
      <c r="AD544">
        <v>0</v>
      </c>
      <c r="AE544">
        <v>0</v>
      </c>
      <c r="AF544">
        <v>0</v>
      </c>
      <c r="AG544" t="s">
        <v>67</v>
      </c>
      <c r="AH544">
        <v>0</v>
      </c>
      <c r="AI544" t="s">
        <v>71</v>
      </c>
      <c r="AJ544" s="3" t="s">
        <v>84</v>
      </c>
      <c r="AK544" s="3">
        <v>2</v>
      </c>
      <c r="AL544" s="3" t="s">
        <v>84</v>
      </c>
    </row>
    <row r="545" spans="1:38" x14ac:dyDescent="0.3">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v>3708</v>
      </c>
      <c r="S545">
        <v>2104</v>
      </c>
      <c r="T545">
        <v>2</v>
      </c>
      <c r="U545" t="s">
        <v>43</v>
      </c>
      <c r="V545">
        <v>14</v>
      </c>
      <c r="W545">
        <v>3</v>
      </c>
      <c r="X545">
        <v>3</v>
      </c>
      <c r="Y545">
        <v>0</v>
      </c>
      <c r="Z545">
        <v>9</v>
      </c>
      <c r="AA545">
        <v>5</v>
      </c>
      <c r="AB545">
        <v>3</v>
      </c>
      <c r="AC545">
        <v>5</v>
      </c>
      <c r="AD545">
        <v>2</v>
      </c>
      <c r="AE545">
        <v>1</v>
      </c>
      <c r="AF545">
        <v>4</v>
      </c>
      <c r="AG545" t="s">
        <v>68</v>
      </c>
      <c r="AH545">
        <v>0</v>
      </c>
      <c r="AI545" t="s">
        <v>71</v>
      </c>
      <c r="AJ545" s="3" t="s">
        <v>84</v>
      </c>
      <c r="AK545" s="3">
        <v>0</v>
      </c>
      <c r="AL545" s="3" t="s">
        <v>83</v>
      </c>
    </row>
    <row r="546" spans="1:38" x14ac:dyDescent="0.3">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v>13770</v>
      </c>
      <c r="S546">
        <v>10225</v>
      </c>
      <c r="T546">
        <v>9</v>
      </c>
      <c r="U546" t="s">
        <v>35</v>
      </c>
      <c r="V546">
        <v>12</v>
      </c>
      <c r="W546">
        <v>3</v>
      </c>
      <c r="X546">
        <v>4</v>
      </c>
      <c r="Y546">
        <v>2</v>
      </c>
      <c r="Z546">
        <v>28</v>
      </c>
      <c r="AA546">
        <v>2</v>
      </c>
      <c r="AB546">
        <v>2</v>
      </c>
      <c r="AC546">
        <v>22</v>
      </c>
      <c r="AD546">
        <v>2</v>
      </c>
      <c r="AE546">
        <v>11</v>
      </c>
      <c r="AF546">
        <v>13</v>
      </c>
      <c r="AG546" t="s">
        <v>65</v>
      </c>
      <c r="AH546">
        <v>0</v>
      </c>
      <c r="AI546" t="s">
        <v>70</v>
      </c>
      <c r="AJ546" s="3" t="s">
        <v>84</v>
      </c>
      <c r="AK546" s="3">
        <v>1</v>
      </c>
      <c r="AL546" s="3" t="s">
        <v>83</v>
      </c>
    </row>
    <row r="547" spans="1:38" x14ac:dyDescent="0.3">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v>5304</v>
      </c>
      <c r="S547">
        <v>25275</v>
      </c>
      <c r="T547">
        <v>7</v>
      </c>
      <c r="U547" t="s">
        <v>43</v>
      </c>
      <c r="V547">
        <v>23</v>
      </c>
      <c r="W547">
        <v>4</v>
      </c>
      <c r="X547">
        <v>4</v>
      </c>
      <c r="Y547">
        <v>1</v>
      </c>
      <c r="Z547">
        <v>10</v>
      </c>
      <c r="AA547">
        <v>2</v>
      </c>
      <c r="AB547">
        <v>2</v>
      </c>
      <c r="AC547">
        <v>8</v>
      </c>
      <c r="AD547">
        <v>7</v>
      </c>
      <c r="AE547">
        <v>7</v>
      </c>
      <c r="AF547">
        <v>7</v>
      </c>
      <c r="AG547" t="s">
        <v>65</v>
      </c>
      <c r="AH547">
        <v>0</v>
      </c>
      <c r="AI547" t="s">
        <v>70</v>
      </c>
      <c r="AJ547" s="3" t="s">
        <v>82</v>
      </c>
      <c r="AK547" s="3">
        <v>0</v>
      </c>
      <c r="AL547" s="3" t="s">
        <v>83</v>
      </c>
    </row>
    <row r="548" spans="1:38" x14ac:dyDescent="0.3">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v>2642</v>
      </c>
      <c r="S548">
        <v>2755</v>
      </c>
      <c r="T548">
        <v>1</v>
      </c>
      <c r="U548" t="s">
        <v>43</v>
      </c>
      <c r="V548">
        <v>11</v>
      </c>
      <c r="W548">
        <v>3</v>
      </c>
      <c r="X548">
        <v>3</v>
      </c>
      <c r="Y548">
        <v>0</v>
      </c>
      <c r="Z548">
        <v>1</v>
      </c>
      <c r="AA548">
        <v>6</v>
      </c>
      <c r="AB548">
        <v>3</v>
      </c>
      <c r="AC548">
        <v>1</v>
      </c>
      <c r="AD548">
        <v>0</v>
      </c>
      <c r="AE548">
        <v>0</v>
      </c>
      <c r="AF548">
        <v>0</v>
      </c>
      <c r="AG548" t="s">
        <v>67</v>
      </c>
      <c r="AH548">
        <v>0</v>
      </c>
      <c r="AI548" t="s">
        <v>71</v>
      </c>
      <c r="AJ548" s="3" t="s">
        <v>84</v>
      </c>
      <c r="AK548" s="3">
        <v>1</v>
      </c>
      <c r="AL548" s="3" t="s">
        <v>83</v>
      </c>
    </row>
    <row r="549" spans="1:38" x14ac:dyDescent="0.3">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v>2759</v>
      </c>
      <c r="S549">
        <v>20366</v>
      </c>
      <c r="T549">
        <v>6</v>
      </c>
      <c r="U549" t="s">
        <v>35</v>
      </c>
      <c r="V549">
        <v>12</v>
      </c>
      <c r="W549">
        <v>3</v>
      </c>
      <c r="X549">
        <v>4</v>
      </c>
      <c r="Y549">
        <v>0</v>
      </c>
      <c r="Z549">
        <v>7</v>
      </c>
      <c r="AA549">
        <v>2</v>
      </c>
      <c r="AB549">
        <v>3</v>
      </c>
      <c r="AC549">
        <v>2</v>
      </c>
      <c r="AD549">
        <v>2</v>
      </c>
      <c r="AE549">
        <v>2</v>
      </c>
      <c r="AF549">
        <v>2</v>
      </c>
      <c r="AG549" t="s">
        <v>67</v>
      </c>
      <c r="AH549">
        <v>1</v>
      </c>
      <c r="AI549" t="s">
        <v>72</v>
      </c>
      <c r="AJ549" s="3" t="s">
        <v>84</v>
      </c>
      <c r="AK549" s="3">
        <v>2</v>
      </c>
      <c r="AL549" s="3" t="s">
        <v>84</v>
      </c>
    </row>
    <row r="550" spans="1:38" x14ac:dyDescent="0.3">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v>6804</v>
      </c>
      <c r="S550">
        <v>23683</v>
      </c>
      <c r="T550">
        <v>3</v>
      </c>
      <c r="U550" t="s">
        <v>43</v>
      </c>
      <c r="V550">
        <v>18</v>
      </c>
      <c r="W550">
        <v>3</v>
      </c>
      <c r="X550">
        <v>3</v>
      </c>
      <c r="Y550">
        <v>1</v>
      </c>
      <c r="Z550">
        <v>7</v>
      </c>
      <c r="AA550">
        <v>5</v>
      </c>
      <c r="AB550">
        <v>3</v>
      </c>
      <c r="AC550">
        <v>2</v>
      </c>
      <c r="AD550">
        <v>2</v>
      </c>
      <c r="AE550">
        <v>2</v>
      </c>
      <c r="AF550">
        <v>2</v>
      </c>
      <c r="AG550" t="s">
        <v>67</v>
      </c>
      <c r="AH550">
        <v>0</v>
      </c>
      <c r="AI550" t="s">
        <v>70</v>
      </c>
      <c r="AJ550" s="3" t="s">
        <v>82</v>
      </c>
      <c r="AK550" s="3">
        <v>1</v>
      </c>
      <c r="AL550" s="3" t="s">
        <v>83</v>
      </c>
    </row>
    <row r="551" spans="1:38" x14ac:dyDescent="0.3">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v>6142</v>
      </c>
      <c r="S551">
        <v>7360</v>
      </c>
      <c r="T551">
        <v>3</v>
      </c>
      <c r="U551" t="s">
        <v>43</v>
      </c>
      <c r="V551">
        <v>11</v>
      </c>
      <c r="W551">
        <v>3</v>
      </c>
      <c r="X551">
        <v>4</v>
      </c>
      <c r="Y551">
        <v>0</v>
      </c>
      <c r="Z551">
        <v>10</v>
      </c>
      <c r="AA551">
        <v>2</v>
      </c>
      <c r="AB551">
        <v>3</v>
      </c>
      <c r="AC551">
        <v>5</v>
      </c>
      <c r="AD551">
        <v>1</v>
      </c>
      <c r="AE551">
        <v>4</v>
      </c>
      <c r="AF551">
        <v>3</v>
      </c>
      <c r="AG551" t="s">
        <v>68</v>
      </c>
      <c r="AH551">
        <v>0</v>
      </c>
      <c r="AI551" t="s">
        <v>70</v>
      </c>
      <c r="AJ551" s="3" t="s">
        <v>84</v>
      </c>
      <c r="AK551" s="3">
        <v>0</v>
      </c>
      <c r="AL551" s="3" t="s">
        <v>83</v>
      </c>
    </row>
    <row r="552" spans="1:38" x14ac:dyDescent="0.3">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v>2500</v>
      </c>
      <c r="S552">
        <v>4344</v>
      </c>
      <c r="T552">
        <v>1</v>
      </c>
      <c r="U552" t="s">
        <v>43</v>
      </c>
      <c r="V552">
        <v>14</v>
      </c>
      <c r="W552">
        <v>3</v>
      </c>
      <c r="X552">
        <v>4</v>
      </c>
      <c r="Y552">
        <v>1</v>
      </c>
      <c r="Z552">
        <v>5</v>
      </c>
      <c r="AA552">
        <v>2</v>
      </c>
      <c r="AB552">
        <v>4</v>
      </c>
      <c r="AC552">
        <v>4</v>
      </c>
      <c r="AD552">
        <v>3</v>
      </c>
      <c r="AE552">
        <v>0</v>
      </c>
      <c r="AF552">
        <v>2</v>
      </c>
      <c r="AG552" t="s">
        <v>68</v>
      </c>
      <c r="AH552">
        <v>0</v>
      </c>
      <c r="AI552" t="s">
        <v>71</v>
      </c>
      <c r="AJ552" s="3" t="s">
        <v>83</v>
      </c>
      <c r="AK552" s="3">
        <v>1</v>
      </c>
      <c r="AL552" s="3" t="s">
        <v>83</v>
      </c>
    </row>
    <row r="553" spans="1:38" x14ac:dyDescent="0.3">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v>6389</v>
      </c>
      <c r="S553">
        <v>18767</v>
      </c>
      <c r="T553">
        <v>9</v>
      </c>
      <c r="U553" t="s">
        <v>43</v>
      </c>
      <c r="V553">
        <v>15</v>
      </c>
      <c r="W553">
        <v>3</v>
      </c>
      <c r="X553">
        <v>3</v>
      </c>
      <c r="Y553">
        <v>1</v>
      </c>
      <c r="Z553">
        <v>12</v>
      </c>
      <c r="AA553">
        <v>3</v>
      </c>
      <c r="AB553">
        <v>1</v>
      </c>
      <c r="AC553">
        <v>8</v>
      </c>
      <c r="AD553">
        <v>3</v>
      </c>
      <c r="AE553">
        <v>3</v>
      </c>
      <c r="AF553">
        <v>6</v>
      </c>
      <c r="AG553" t="s">
        <v>65</v>
      </c>
      <c r="AH553">
        <v>0</v>
      </c>
      <c r="AI553" t="s">
        <v>72</v>
      </c>
      <c r="AJ553" s="3" t="s">
        <v>83</v>
      </c>
      <c r="AK553" s="3">
        <v>1</v>
      </c>
      <c r="AL553" s="3" t="s">
        <v>83</v>
      </c>
    </row>
    <row r="554" spans="1:38" x14ac:dyDescent="0.3">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v>11103</v>
      </c>
      <c r="S554">
        <v>20420</v>
      </c>
      <c r="T554">
        <v>7</v>
      </c>
      <c r="U554" t="s">
        <v>43</v>
      </c>
      <c r="V554">
        <v>11</v>
      </c>
      <c r="W554">
        <v>3</v>
      </c>
      <c r="X554">
        <v>3</v>
      </c>
      <c r="Y554">
        <v>0</v>
      </c>
      <c r="Z554">
        <v>30</v>
      </c>
      <c r="AA554">
        <v>1</v>
      </c>
      <c r="AB554">
        <v>2</v>
      </c>
      <c r="AC554">
        <v>10</v>
      </c>
      <c r="AD554">
        <v>7</v>
      </c>
      <c r="AE554">
        <v>1</v>
      </c>
      <c r="AF554">
        <v>1</v>
      </c>
      <c r="AG554" t="s">
        <v>65</v>
      </c>
      <c r="AH554">
        <v>0</v>
      </c>
      <c r="AI554" t="s">
        <v>71</v>
      </c>
      <c r="AJ554" s="3" t="s">
        <v>82</v>
      </c>
      <c r="AK554" s="3">
        <v>0</v>
      </c>
      <c r="AL554" s="3" t="s">
        <v>83</v>
      </c>
    </row>
    <row r="555" spans="1:38" x14ac:dyDescent="0.3">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v>2342</v>
      </c>
      <c r="S555">
        <v>22929</v>
      </c>
      <c r="T555">
        <v>0</v>
      </c>
      <c r="U555" t="s">
        <v>35</v>
      </c>
      <c r="V555">
        <v>20</v>
      </c>
      <c r="W555">
        <v>4</v>
      </c>
      <c r="X555">
        <v>4</v>
      </c>
      <c r="Y555">
        <v>0</v>
      </c>
      <c r="Z555">
        <v>5</v>
      </c>
      <c r="AA555">
        <v>2</v>
      </c>
      <c r="AB555">
        <v>2</v>
      </c>
      <c r="AC555">
        <v>4</v>
      </c>
      <c r="AD555">
        <v>2</v>
      </c>
      <c r="AE555">
        <v>2</v>
      </c>
      <c r="AF555">
        <v>3</v>
      </c>
      <c r="AG555" t="s">
        <v>68</v>
      </c>
      <c r="AH555">
        <v>0</v>
      </c>
      <c r="AI555" t="s">
        <v>69</v>
      </c>
      <c r="AJ555" s="3" t="s">
        <v>82</v>
      </c>
      <c r="AK555" s="3">
        <v>1</v>
      </c>
      <c r="AL555" s="3" t="s">
        <v>83</v>
      </c>
    </row>
    <row r="556" spans="1:38" x14ac:dyDescent="0.3">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v>6811</v>
      </c>
      <c r="S556">
        <v>23398</v>
      </c>
      <c r="T556">
        <v>8</v>
      </c>
      <c r="U556" t="s">
        <v>43</v>
      </c>
      <c r="V556">
        <v>19</v>
      </c>
      <c r="W556">
        <v>3</v>
      </c>
      <c r="X556">
        <v>1</v>
      </c>
      <c r="Y556">
        <v>0</v>
      </c>
      <c r="Z556">
        <v>9</v>
      </c>
      <c r="AA556">
        <v>2</v>
      </c>
      <c r="AB556">
        <v>1</v>
      </c>
      <c r="AC556">
        <v>7</v>
      </c>
      <c r="AD556">
        <v>6</v>
      </c>
      <c r="AE556">
        <v>0</v>
      </c>
      <c r="AF556">
        <v>7</v>
      </c>
      <c r="AG556" t="s">
        <v>65</v>
      </c>
      <c r="AH556">
        <v>0</v>
      </c>
      <c r="AI556" t="s">
        <v>70</v>
      </c>
      <c r="AJ556" s="3" t="s">
        <v>83</v>
      </c>
      <c r="AK556" s="3">
        <v>1</v>
      </c>
      <c r="AL556" s="3" t="s">
        <v>83</v>
      </c>
    </row>
    <row r="557" spans="1:38" x14ac:dyDescent="0.3">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v>2297</v>
      </c>
      <c r="S557">
        <v>17967</v>
      </c>
      <c r="T557">
        <v>1</v>
      </c>
      <c r="U557" t="s">
        <v>43</v>
      </c>
      <c r="V557">
        <v>14</v>
      </c>
      <c r="W557">
        <v>3</v>
      </c>
      <c r="X557">
        <v>4</v>
      </c>
      <c r="Y557">
        <v>2</v>
      </c>
      <c r="Z557">
        <v>2</v>
      </c>
      <c r="AA557">
        <v>2</v>
      </c>
      <c r="AB557">
        <v>3</v>
      </c>
      <c r="AC557">
        <v>2</v>
      </c>
      <c r="AD557">
        <v>2</v>
      </c>
      <c r="AE557">
        <v>2</v>
      </c>
      <c r="AF557">
        <v>2</v>
      </c>
      <c r="AG557" t="s">
        <v>67</v>
      </c>
      <c r="AH557">
        <v>0</v>
      </c>
      <c r="AI557" t="s">
        <v>72</v>
      </c>
      <c r="AJ557" s="3" t="s">
        <v>83</v>
      </c>
      <c r="AK557" s="3">
        <v>2</v>
      </c>
      <c r="AL557" s="3" t="s">
        <v>84</v>
      </c>
    </row>
    <row r="558" spans="1:38" x14ac:dyDescent="0.3">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v>2450</v>
      </c>
      <c r="S558">
        <v>10919</v>
      </c>
      <c r="T558">
        <v>2</v>
      </c>
      <c r="U558" t="s">
        <v>43</v>
      </c>
      <c r="V558">
        <v>17</v>
      </c>
      <c r="W558">
        <v>3</v>
      </c>
      <c r="X558">
        <v>4</v>
      </c>
      <c r="Y558">
        <v>0</v>
      </c>
      <c r="Z558">
        <v>19</v>
      </c>
      <c r="AA558">
        <v>4</v>
      </c>
      <c r="AB558">
        <v>3</v>
      </c>
      <c r="AC558">
        <v>2</v>
      </c>
      <c r="AD558">
        <v>2</v>
      </c>
      <c r="AE558">
        <v>2</v>
      </c>
      <c r="AF558">
        <v>2</v>
      </c>
      <c r="AG558" t="s">
        <v>67</v>
      </c>
      <c r="AH558">
        <v>0</v>
      </c>
      <c r="AI558" t="s">
        <v>72</v>
      </c>
      <c r="AJ558" s="3" t="s">
        <v>82</v>
      </c>
      <c r="AK558" s="3">
        <v>1</v>
      </c>
      <c r="AL558" s="3" t="s">
        <v>83</v>
      </c>
    </row>
    <row r="559" spans="1:38" x14ac:dyDescent="0.3">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v>5093</v>
      </c>
      <c r="S559">
        <v>4761</v>
      </c>
      <c r="T559">
        <v>2</v>
      </c>
      <c r="U559" t="s">
        <v>43</v>
      </c>
      <c r="V559">
        <v>11</v>
      </c>
      <c r="W559">
        <v>3</v>
      </c>
      <c r="X559">
        <v>1</v>
      </c>
      <c r="Y559">
        <v>1</v>
      </c>
      <c r="Z559">
        <v>16</v>
      </c>
      <c r="AA559">
        <v>2</v>
      </c>
      <c r="AB559">
        <v>4</v>
      </c>
      <c r="AC559">
        <v>1</v>
      </c>
      <c r="AD559">
        <v>0</v>
      </c>
      <c r="AE559">
        <v>0</v>
      </c>
      <c r="AF559">
        <v>0</v>
      </c>
      <c r="AG559" t="s">
        <v>67</v>
      </c>
      <c r="AH559">
        <v>0</v>
      </c>
      <c r="AI559" t="s">
        <v>69</v>
      </c>
      <c r="AJ559" s="3" t="s">
        <v>83</v>
      </c>
      <c r="AK559" s="3">
        <v>2</v>
      </c>
      <c r="AL559" s="3" t="s">
        <v>84</v>
      </c>
    </row>
    <row r="560" spans="1:38" x14ac:dyDescent="0.3">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v>5309</v>
      </c>
      <c r="S560">
        <v>21146</v>
      </c>
      <c r="T560">
        <v>1</v>
      </c>
      <c r="U560" t="s">
        <v>43</v>
      </c>
      <c r="V560">
        <v>15</v>
      </c>
      <c r="W560">
        <v>3</v>
      </c>
      <c r="X560">
        <v>4</v>
      </c>
      <c r="Y560">
        <v>2</v>
      </c>
      <c r="Z560">
        <v>10</v>
      </c>
      <c r="AA560">
        <v>2</v>
      </c>
      <c r="AB560">
        <v>3</v>
      </c>
      <c r="AC560">
        <v>10</v>
      </c>
      <c r="AD560">
        <v>8</v>
      </c>
      <c r="AE560">
        <v>4</v>
      </c>
      <c r="AF560">
        <v>7</v>
      </c>
      <c r="AG560" t="s">
        <v>65</v>
      </c>
      <c r="AH560">
        <v>0</v>
      </c>
      <c r="AI560" t="s">
        <v>71</v>
      </c>
      <c r="AJ560" s="3" t="s">
        <v>82</v>
      </c>
      <c r="AK560" s="3">
        <v>0</v>
      </c>
      <c r="AL560" s="3" t="s">
        <v>83</v>
      </c>
    </row>
    <row r="561" spans="1:38" x14ac:dyDescent="0.3">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v>3057</v>
      </c>
      <c r="S561">
        <v>20471</v>
      </c>
      <c r="T561">
        <v>6</v>
      </c>
      <c r="U561" t="s">
        <v>35</v>
      </c>
      <c r="V561">
        <v>13</v>
      </c>
      <c r="W561">
        <v>3</v>
      </c>
      <c r="X561">
        <v>2</v>
      </c>
      <c r="Y561">
        <v>1</v>
      </c>
      <c r="Z561">
        <v>6</v>
      </c>
      <c r="AA561">
        <v>0</v>
      </c>
      <c r="AB561">
        <v>1</v>
      </c>
      <c r="AC561">
        <v>1</v>
      </c>
      <c r="AD561">
        <v>0</v>
      </c>
      <c r="AE561">
        <v>0</v>
      </c>
      <c r="AF561">
        <v>1</v>
      </c>
      <c r="AG561" t="s">
        <v>67</v>
      </c>
      <c r="AH561">
        <v>0</v>
      </c>
      <c r="AI561" t="s">
        <v>71</v>
      </c>
      <c r="AJ561" s="3" t="s">
        <v>84</v>
      </c>
      <c r="AK561" s="3">
        <v>2</v>
      </c>
      <c r="AL561" s="3" t="s">
        <v>84</v>
      </c>
    </row>
    <row r="562" spans="1:38" x14ac:dyDescent="0.3">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v>5121</v>
      </c>
      <c r="S562">
        <v>4187</v>
      </c>
      <c r="T562">
        <v>3</v>
      </c>
      <c r="U562" t="s">
        <v>43</v>
      </c>
      <c r="V562">
        <v>14</v>
      </c>
      <c r="W562">
        <v>3</v>
      </c>
      <c r="X562">
        <v>3</v>
      </c>
      <c r="Y562">
        <v>1</v>
      </c>
      <c r="Z562">
        <v>7</v>
      </c>
      <c r="AA562">
        <v>3</v>
      </c>
      <c r="AB562">
        <v>3</v>
      </c>
      <c r="AC562">
        <v>0</v>
      </c>
      <c r="AD562">
        <v>0</v>
      </c>
      <c r="AE562">
        <v>0</v>
      </c>
      <c r="AF562">
        <v>0</v>
      </c>
      <c r="AG562" t="s">
        <v>66</v>
      </c>
      <c r="AH562">
        <v>0</v>
      </c>
      <c r="AI562" t="s">
        <v>71</v>
      </c>
      <c r="AJ562" s="3" t="s">
        <v>83</v>
      </c>
      <c r="AK562" s="3">
        <v>2</v>
      </c>
      <c r="AL562" s="3" t="s">
        <v>84</v>
      </c>
    </row>
    <row r="563" spans="1:38" x14ac:dyDescent="0.3">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v>16856</v>
      </c>
      <c r="S563">
        <v>10084</v>
      </c>
      <c r="T563">
        <v>1</v>
      </c>
      <c r="U563" t="s">
        <v>43</v>
      </c>
      <c r="V563">
        <v>11</v>
      </c>
      <c r="W563">
        <v>3</v>
      </c>
      <c r="X563">
        <v>1</v>
      </c>
      <c r="Y563">
        <v>0</v>
      </c>
      <c r="Z563">
        <v>34</v>
      </c>
      <c r="AA563">
        <v>3</v>
      </c>
      <c r="AB563">
        <v>4</v>
      </c>
      <c r="AC563">
        <v>34</v>
      </c>
      <c r="AD563">
        <v>6</v>
      </c>
      <c r="AE563">
        <v>1</v>
      </c>
      <c r="AF563">
        <v>16</v>
      </c>
      <c r="AG563" t="s">
        <v>65</v>
      </c>
      <c r="AH563">
        <v>0</v>
      </c>
      <c r="AI563" t="s">
        <v>71</v>
      </c>
      <c r="AJ563" s="3" t="s">
        <v>83</v>
      </c>
      <c r="AK563" s="3">
        <v>1</v>
      </c>
      <c r="AL563" s="3" t="s">
        <v>83</v>
      </c>
    </row>
    <row r="564" spans="1:38" x14ac:dyDescent="0.3">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v>2686</v>
      </c>
      <c r="S564">
        <v>5207</v>
      </c>
      <c r="T564">
        <v>1</v>
      </c>
      <c r="U564" t="s">
        <v>35</v>
      </c>
      <c r="V564">
        <v>13</v>
      </c>
      <c r="W564">
        <v>3</v>
      </c>
      <c r="X564">
        <v>3</v>
      </c>
      <c r="Y564">
        <v>0</v>
      </c>
      <c r="Z564">
        <v>10</v>
      </c>
      <c r="AA564">
        <v>2</v>
      </c>
      <c r="AB564">
        <v>2</v>
      </c>
      <c r="AC564">
        <v>10</v>
      </c>
      <c r="AD564">
        <v>9</v>
      </c>
      <c r="AE564">
        <v>7</v>
      </c>
      <c r="AF564">
        <v>8</v>
      </c>
      <c r="AG564" t="s">
        <v>65</v>
      </c>
      <c r="AH564">
        <v>1</v>
      </c>
      <c r="AI564" t="s">
        <v>69</v>
      </c>
      <c r="AJ564" s="3" t="s">
        <v>82</v>
      </c>
      <c r="AK564" s="3">
        <v>1</v>
      </c>
      <c r="AL564" s="3" t="s">
        <v>83</v>
      </c>
    </row>
    <row r="565" spans="1:38" x14ac:dyDescent="0.3">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v>6180</v>
      </c>
      <c r="S565">
        <v>22807</v>
      </c>
      <c r="T565">
        <v>1</v>
      </c>
      <c r="U565" t="s">
        <v>43</v>
      </c>
      <c r="V565">
        <v>23</v>
      </c>
      <c r="W565">
        <v>4</v>
      </c>
      <c r="X565">
        <v>2</v>
      </c>
      <c r="Y565">
        <v>0</v>
      </c>
      <c r="Z565">
        <v>6</v>
      </c>
      <c r="AA565">
        <v>5</v>
      </c>
      <c r="AB565">
        <v>2</v>
      </c>
      <c r="AC565">
        <v>6</v>
      </c>
      <c r="AD565">
        <v>5</v>
      </c>
      <c r="AE565">
        <v>1</v>
      </c>
      <c r="AF565">
        <v>4</v>
      </c>
      <c r="AG565" t="s">
        <v>65</v>
      </c>
      <c r="AH565">
        <v>0</v>
      </c>
      <c r="AI565" t="s">
        <v>71</v>
      </c>
      <c r="AJ565" s="3" t="s">
        <v>82</v>
      </c>
      <c r="AK565" s="3">
        <v>0</v>
      </c>
      <c r="AL565" s="3" t="s">
        <v>83</v>
      </c>
    </row>
    <row r="566" spans="1:38" x14ac:dyDescent="0.3">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v>6632</v>
      </c>
      <c r="S566">
        <v>12388</v>
      </c>
      <c r="T566">
        <v>0</v>
      </c>
      <c r="U566" t="s">
        <v>43</v>
      </c>
      <c r="V566">
        <v>13</v>
      </c>
      <c r="W566">
        <v>3</v>
      </c>
      <c r="X566">
        <v>1</v>
      </c>
      <c r="Y566">
        <v>0</v>
      </c>
      <c r="Z566">
        <v>9</v>
      </c>
      <c r="AA566">
        <v>3</v>
      </c>
      <c r="AB566">
        <v>3</v>
      </c>
      <c r="AC566">
        <v>8</v>
      </c>
      <c r="AD566">
        <v>7</v>
      </c>
      <c r="AE566">
        <v>3</v>
      </c>
      <c r="AF566">
        <v>1</v>
      </c>
      <c r="AG566" t="s">
        <v>65</v>
      </c>
      <c r="AH566">
        <v>0</v>
      </c>
      <c r="AI566" t="s">
        <v>72</v>
      </c>
      <c r="AJ566" s="3" t="s">
        <v>84</v>
      </c>
      <c r="AK566" s="3">
        <v>0</v>
      </c>
      <c r="AL566" s="3" t="s">
        <v>83</v>
      </c>
    </row>
    <row r="567" spans="1:38" x14ac:dyDescent="0.3">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v>3505</v>
      </c>
      <c r="S567">
        <v>19630</v>
      </c>
      <c r="T567">
        <v>1</v>
      </c>
      <c r="U567" t="s">
        <v>43</v>
      </c>
      <c r="V567">
        <v>18</v>
      </c>
      <c r="W567">
        <v>3</v>
      </c>
      <c r="X567">
        <v>4</v>
      </c>
      <c r="Y567">
        <v>0</v>
      </c>
      <c r="Z567">
        <v>2</v>
      </c>
      <c r="AA567">
        <v>3</v>
      </c>
      <c r="AB567">
        <v>3</v>
      </c>
      <c r="AC567">
        <v>2</v>
      </c>
      <c r="AD567">
        <v>2</v>
      </c>
      <c r="AE567">
        <v>0</v>
      </c>
      <c r="AF567">
        <v>2</v>
      </c>
      <c r="AG567" t="s">
        <v>67</v>
      </c>
      <c r="AH567">
        <v>0</v>
      </c>
      <c r="AI567" t="s">
        <v>70</v>
      </c>
      <c r="AJ567" s="3" t="s">
        <v>84</v>
      </c>
      <c r="AK567" s="3">
        <v>1</v>
      </c>
      <c r="AL567" s="3" t="s">
        <v>83</v>
      </c>
    </row>
    <row r="568" spans="1:38" x14ac:dyDescent="0.3">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v>6397</v>
      </c>
      <c r="S568">
        <v>10339</v>
      </c>
      <c r="T568">
        <v>4</v>
      </c>
      <c r="U568" t="s">
        <v>35</v>
      </c>
      <c r="V568">
        <v>12</v>
      </c>
      <c r="W568">
        <v>3</v>
      </c>
      <c r="X568">
        <v>4</v>
      </c>
      <c r="Y568">
        <v>0</v>
      </c>
      <c r="Z568">
        <v>8</v>
      </c>
      <c r="AA568">
        <v>2</v>
      </c>
      <c r="AB568">
        <v>3</v>
      </c>
      <c r="AC568">
        <v>5</v>
      </c>
      <c r="AD568">
        <v>4</v>
      </c>
      <c r="AE568">
        <v>1</v>
      </c>
      <c r="AF568">
        <v>3</v>
      </c>
      <c r="AG568" t="s">
        <v>68</v>
      </c>
      <c r="AH568">
        <v>1</v>
      </c>
      <c r="AI568" t="s">
        <v>72</v>
      </c>
      <c r="AJ568" s="3" t="s">
        <v>84</v>
      </c>
      <c r="AK568" s="3">
        <v>1</v>
      </c>
      <c r="AL568" s="3" t="s">
        <v>83</v>
      </c>
    </row>
    <row r="569" spans="1:38" x14ac:dyDescent="0.3">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v>6274</v>
      </c>
      <c r="S569">
        <v>18686</v>
      </c>
      <c r="T569">
        <v>1</v>
      </c>
      <c r="U569" t="s">
        <v>43</v>
      </c>
      <c r="V569">
        <v>22</v>
      </c>
      <c r="W569">
        <v>4</v>
      </c>
      <c r="X569">
        <v>3</v>
      </c>
      <c r="Y569">
        <v>0</v>
      </c>
      <c r="Z569">
        <v>6</v>
      </c>
      <c r="AA569">
        <v>5</v>
      </c>
      <c r="AB569">
        <v>3</v>
      </c>
      <c r="AC569">
        <v>6</v>
      </c>
      <c r="AD569">
        <v>5</v>
      </c>
      <c r="AE569">
        <v>1</v>
      </c>
      <c r="AF569">
        <v>4</v>
      </c>
      <c r="AG569" t="s">
        <v>65</v>
      </c>
      <c r="AH569">
        <v>0</v>
      </c>
      <c r="AI569" t="s">
        <v>70</v>
      </c>
      <c r="AJ569" s="3" t="s">
        <v>82</v>
      </c>
      <c r="AK569" s="3">
        <v>0</v>
      </c>
      <c r="AL569" s="3" t="s">
        <v>83</v>
      </c>
    </row>
    <row r="570" spans="1:38" x14ac:dyDescent="0.3">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v>19859</v>
      </c>
      <c r="S570">
        <v>21199</v>
      </c>
      <c r="T570">
        <v>5</v>
      </c>
      <c r="U570" t="s">
        <v>35</v>
      </c>
      <c r="V570">
        <v>13</v>
      </c>
      <c r="W570">
        <v>3</v>
      </c>
      <c r="X570">
        <v>4</v>
      </c>
      <c r="Y570">
        <v>1</v>
      </c>
      <c r="Z570">
        <v>24</v>
      </c>
      <c r="AA570">
        <v>2</v>
      </c>
      <c r="AB570">
        <v>3</v>
      </c>
      <c r="AC570">
        <v>5</v>
      </c>
      <c r="AD570">
        <v>2</v>
      </c>
      <c r="AE570">
        <v>1</v>
      </c>
      <c r="AF570">
        <v>4</v>
      </c>
      <c r="AG570" t="s">
        <v>68</v>
      </c>
      <c r="AH570">
        <v>1</v>
      </c>
      <c r="AI570" t="s">
        <v>71</v>
      </c>
      <c r="AJ570" s="3" t="s">
        <v>83</v>
      </c>
      <c r="AK570" s="3">
        <v>2</v>
      </c>
      <c r="AL570" s="3" t="s">
        <v>84</v>
      </c>
    </row>
    <row r="571" spans="1:38" x14ac:dyDescent="0.3">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v>7587</v>
      </c>
      <c r="S571">
        <v>14229</v>
      </c>
      <c r="T571">
        <v>1</v>
      </c>
      <c r="U571" t="s">
        <v>43</v>
      </c>
      <c r="V571">
        <v>15</v>
      </c>
      <c r="W571">
        <v>3</v>
      </c>
      <c r="X571">
        <v>2</v>
      </c>
      <c r="Y571">
        <v>0</v>
      </c>
      <c r="Z571">
        <v>10</v>
      </c>
      <c r="AA571">
        <v>1</v>
      </c>
      <c r="AB571">
        <v>3</v>
      </c>
      <c r="AC571">
        <v>10</v>
      </c>
      <c r="AD571">
        <v>7</v>
      </c>
      <c r="AE571">
        <v>0</v>
      </c>
      <c r="AF571">
        <v>9</v>
      </c>
      <c r="AG571" t="s">
        <v>65</v>
      </c>
      <c r="AH571">
        <v>0</v>
      </c>
      <c r="AI571" t="s">
        <v>69</v>
      </c>
      <c r="AJ571" s="3" t="s">
        <v>83</v>
      </c>
      <c r="AK571" s="3">
        <v>1</v>
      </c>
      <c r="AL571" s="3" t="s">
        <v>83</v>
      </c>
    </row>
    <row r="572" spans="1:38" x14ac:dyDescent="0.3">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v>4258</v>
      </c>
      <c r="S572">
        <v>26589</v>
      </c>
      <c r="T572">
        <v>0</v>
      </c>
      <c r="U572" t="s">
        <v>43</v>
      </c>
      <c r="V572">
        <v>18</v>
      </c>
      <c r="W572">
        <v>3</v>
      </c>
      <c r="X572">
        <v>1</v>
      </c>
      <c r="Y572">
        <v>1</v>
      </c>
      <c r="Z572">
        <v>5</v>
      </c>
      <c r="AA572">
        <v>3</v>
      </c>
      <c r="AB572">
        <v>3</v>
      </c>
      <c r="AC572">
        <v>4</v>
      </c>
      <c r="AD572">
        <v>3</v>
      </c>
      <c r="AE572">
        <v>1</v>
      </c>
      <c r="AF572">
        <v>2</v>
      </c>
      <c r="AG572" t="s">
        <v>68</v>
      </c>
      <c r="AH572">
        <v>0</v>
      </c>
      <c r="AI572" t="s">
        <v>71</v>
      </c>
      <c r="AJ572" s="3" t="s">
        <v>82</v>
      </c>
      <c r="AK572" s="3">
        <v>0</v>
      </c>
      <c r="AL572" s="3" t="s">
        <v>83</v>
      </c>
    </row>
    <row r="573" spans="1:38" x14ac:dyDescent="0.3">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v>4364</v>
      </c>
      <c r="S573">
        <v>5288</v>
      </c>
      <c r="T573">
        <v>3</v>
      </c>
      <c r="U573" t="s">
        <v>43</v>
      </c>
      <c r="V573">
        <v>14</v>
      </c>
      <c r="W573">
        <v>3</v>
      </c>
      <c r="X573">
        <v>1</v>
      </c>
      <c r="Y573">
        <v>1</v>
      </c>
      <c r="Z573">
        <v>5</v>
      </c>
      <c r="AA573">
        <v>2</v>
      </c>
      <c r="AB573">
        <v>3</v>
      </c>
      <c r="AC573">
        <v>2</v>
      </c>
      <c r="AD573">
        <v>2</v>
      </c>
      <c r="AE573">
        <v>2</v>
      </c>
      <c r="AF573">
        <v>0</v>
      </c>
      <c r="AG573" t="s">
        <v>67</v>
      </c>
      <c r="AH573">
        <v>0</v>
      </c>
      <c r="AI573" t="s">
        <v>69</v>
      </c>
      <c r="AJ573" s="3" t="s">
        <v>82</v>
      </c>
      <c r="AK573" s="3">
        <v>1</v>
      </c>
      <c r="AL573" s="3" t="s">
        <v>83</v>
      </c>
    </row>
    <row r="574" spans="1:38" x14ac:dyDescent="0.3">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v>4335</v>
      </c>
      <c r="S574">
        <v>25549</v>
      </c>
      <c r="T574">
        <v>4</v>
      </c>
      <c r="U574" t="s">
        <v>43</v>
      </c>
      <c r="V574">
        <v>12</v>
      </c>
      <c r="W574">
        <v>3</v>
      </c>
      <c r="X574">
        <v>1</v>
      </c>
      <c r="Y574">
        <v>1</v>
      </c>
      <c r="Z574">
        <v>11</v>
      </c>
      <c r="AA574">
        <v>3</v>
      </c>
      <c r="AB574">
        <v>2</v>
      </c>
      <c r="AC574">
        <v>8</v>
      </c>
      <c r="AD574">
        <v>7</v>
      </c>
      <c r="AE574">
        <v>1</v>
      </c>
      <c r="AF574">
        <v>1</v>
      </c>
      <c r="AG574" t="s">
        <v>65</v>
      </c>
      <c r="AH574">
        <v>0</v>
      </c>
      <c r="AI574" t="s">
        <v>72</v>
      </c>
      <c r="AJ574" s="3" t="s">
        <v>84</v>
      </c>
      <c r="AK574" s="3">
        <v>0</v>
      </c>
      <c r="AL574" s="3" t="s">
        <v>83</v>
      </c>
    </row>
    <row r="575" spans="1:38" x14ac:dyDescent="0.3">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v>5326</v>
      </c>
      <c r="S575">
        <v>3064</v>
      </c>
      <c r="T575">
        <v>6</v>
      </c>
      <c r="U575" t="s">
        <v>43</v>
      </c>
      <c r="V575">
        <v>17</v>
      </c>
      <c r="W575">
        <v>3</v>
      </c>
      <c r="X575">
        <v>3</v>
      </c>
      <c r="Y575">
        <v>0</v>
      </c>
      <c r="Z575">
        <v>6</v>
      </c>
      <c r="AA575">
        <v>2</v>
      </c>
      <c r="AB575">
        <v>2</v>
      </c>
      <c r="AC575">
        <v>4</v>
      </c>
      <c r="AD575">
        <v>3</v>
      </c>
      <c r="AE575">
        <v>1</v>
      </c>
      <c r="AF575">
        <v>2</v>
      </c>
      <c r="AG575" t="s">
        <v>68</v>
      </c>
      <c r="AH575">
        <v>1</v>
      </c>
      <c r="AI575" t="s">
        <v>72</v>
      </c>
      <c r="AJ575" s="3" t="s">
        <v>83</v>
      </c>
      <c r="AK575" s="3">
        <v>1</v>
      </c>
      <c r="AL575" s="3" t="s">
        <v>83</v>
      </c>
    </row>
    <row r="576" spans="1:38" x14ac:dyDescent="0.3">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v>3280</v>
      </c>
      <c r="S576">
        <v>13551</v>
      </c>
      <c r="T576">
        <v>2</v>
      </c>
      <c r="U576" t="s">
        <v>43</v>
      </c>
      <c r="V576">
        <v>16</v>
      </c>
      <c r="W576">
        <v>3</v>
      </c>
      <c r="X576">
        <v>3</v>
      </c>
      <c r="Y576">
        <v>0</v>
      </c>
      <c r="Z576">
        <v>10</v>
      </c>
      <c r="AA576">
        <v>2</v>
      </c>
      <c r="AB576">
        <v>3</v>
      </c>
      <c r="AC576">
        <v>4</v>
      </c>
      <c r="AD576">
        <v>2</v>
      </c>
      <c r="AE576">
        <v>1</v>
      </c>
      <c r="AF576">
        <v>3</v>
      </c>
      <c r="AG576" t="s">
        <v>68</v>
      </c>
      <c r="AH576">
        <v>0</v>
      </c>
      <c r="AI576" t="s">
        <v>72</v>
      </c>
      <c r="AJ576" s="3" t="s">
        <v>82</v>
      </c>
      <c r="AK576" s="3">
        <v>0</v>
      </c>
      <c r="AL576" s="3" t="s">
        <v>83</v>
      </c>
    </row>
    <row r="577" spans="1:38" x14ac:dyDescent="0.3">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v>5485</v>
      </c>
      <c r="S577">
        <v>22670</v>
      </c>
      <c r="T577">
        <v>9</v>
      </c>
      <c r="U577" t="s">
        <v>35</v>
      </c>
      <c r="V577">
        <v>11</v>
      </c>
      <c r="W577">
        <v>3</v>
      </c>
      <c r="X577">
        <v>2</v>
      </c>
      <c r="Y577">
        <v>2</v>
      </c>
      <c r="Z577">
        <v>9</v>
      </c>
      <c r="AA577">
        <v>4</v>
      </c>
      <c r="AB577">
        <v>3</v>
      </c>
      <c r="AC577">
        <v>5</v>
      </c>
      <c r="AD577">
        <v>3</v>
      </c>
      <c r="AE577">
        <v>1</v>
      </c>
      <c r="AF577">
        <v>4</v>
      </c>
      <c r="AG577" t="s">
        <v>68</v>
      </c>
      <c r="AH577">
        <v>0</v>
      </c>
      <c r="AI577" t="s">
        <v>71</v>
      </c>
      <c r="AJ577" s="3" t="s">
        <v>83</v>
      </c>
      <c r="AK577" s="3">
        <v>2</v>
      </c>
      <c r="AL577" s="3" t="s">
        <v>84</v>
      </c>
    </row>
    <row r="578" spans="1:38" x14ac:dyDescent="0.3">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v>4342</v>
      </c>
      <c r="S578">
        <v>24008</v>
      </c>
      <c r="T578">
        <v>0</v>
      </c>
      <c r="U578" t="s">
        <v>43</v>
      </c>
      <c r="V578">
        <v>19</v>
      </c>
      <c r="W578">
        <v>3</v>
      </c>
      <c r="X578">
        <v>2</v>
      </c>
      <c r="Y578">
        <v>1</v>
      </c>
      <c r="Z578">
        <v>5</v>
      </c>
      <c r="AA578">
        <v>3</v>
      </c>
      <c r="AB578">
        <v>3</v>
      </c>
      <c r="AC578">
        <v>4</v>
      </c>
      <c r="AD578">
        <v>2</v>
      </c>
      <c r="AE578">
        <v>1</v>
      </c>
      <c r="AF578">
        <v>1</v>
      </c>
      <c r="AG578" t="s">
        <v>68</v>
      </c>
      <c r="AH578">
        <v>0</v>
      </c>
      <c r="AI578" t="s">
        <v>69</v>
      </c>
      <c r="AJ578" s="3" t="s">
        <v>82</v>
      </c>
      <c r="AK578" s="3">
        <v>0</v>
      </c>
      <c r="AL578" s="3" t="s">
        <v>83</v>
      </c>
    </row>
    <row r="579" spans="1:38" x14ac:dyDescent="0.3">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v>2782</v>
      </c>
      <c r="S579">
        <v>19905</v>
      </c>
      <c r="T579">
        <v>0</v>
      </c>
      <c r="U579" t="s">
        <v>35</v>
      </c>
      <c r="V579">
        <v>13</v>
      </c>
      <c r="W579">
        <v>3</v>
      </c>
      <c r="X579">
        <v>2</v>
      </c>
      <c r="Y579">
        <v>2</v>
      </c>
      <c r="Z579">
        <v>6</v>
      </c>
      <c r="AA579">
        <v>3</v>
      </c>
      <c r="AB579">
        <v>2</v>
      </c>
      <c r="AC579">
        <v>5</v>
      </c>
      <c r="AD579">
        <v>3</v>
      </c>
      <c r="AE579">
        <v>4</v>
      </c>
      <c r="AF579">
        <v>3</v>
      </c>
      <c r="AG579" t="s">
        <v>68</v>
      </c>
      <c r="AH579">
        <v>0</v>
      </c>
      <c r="AI579" t="s">
        <v>72</v>
      </c>
      <c r="AJ579" s="3" t="s">
        <v>83</v>
      </c>
      <c r="AK579" s="3">
        <v>2</v>
      </c>
      <c r="AL579" s="3" t="s">
        <v>84</v>
      </c>
    </row>
    <row r="580" spans="1:38" x14ac:dyDescent="0.3">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v>5980</v>
      </c>
      <c r="S580">
        <v>26085</v>
      </c>
      <c r="T580">
        <v>6</v>
      </c>
      <c r="U580" t="s">
        <v>35</v>
      </c>
      <c r="V580">
        <v>12</v>
      </c>
      <c r="W580">
        <v>3</v>
      </c>
      <c r="X580">
        <v>4</v>
      </c>
      <c r="Y580">
        <v>0</v>
      </c>
      <c r="Z580">
        <v>17</v>
      </c>
      <c r="AA580">
        <v>2</v>
      </c>
      <c r="AB580">
        <v>3</v>
      </c>
      <c r="AC580">
        <v>15</v>
      </c>
      <c r="AD580">
        <v>7</v>
      </c>
      <c r="AE580">
        <v>4</v>
      </c>
      <c r="AF580">
        <v>12</v>
      </c>
      <c r="AG580" t="s">
        <v>65</v>
      </c>
      <c r="AH580">
        <v>0</v>
      </c>
      <c r="AI580" t="s">
        <v>71</v>
      </c>
      <c r="AJ580" s="3" t="s">
        <v>83</v>
      </c>
      <c r="AK580" s="3">
        <v>2</v>
      </c>
      <c r="AL580" s="3" t="s">
        <v>84</v>
      </c>
    </row>
    <row r="581" spans="1:38" x14ac:dyDescent="0.3">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v>4381</v>
      </c>
      <c r="S581">
        <v>7530</v>
      </c>
      <c r="T581">
        <v>1</v>
      </c>
      <c r="U581" t="s">
        <v>43</v>
      </c>
      <c r="V581">
        <v>11</v>
      </c>
      <c r="W581">
        <v>3</v>
      </c>
      <c r="X581">
        <v>3</v>
      </c>
      <c r="Y581">
        <v>0</v>
      </c>
      <c r="Z581">
        <v>6</v>
      </c>
      <c r="AA581">
        <v>3</v>
      </c>
      <c r="AB581">
        <v>3</v>
      </c>
      <c r="AC581">
        <v>6</v>
      </c>
      <c r="AD581">
        <v>5</v>
      </c>
      <c r="AE581">
        <v>1</v>
      </c>
      <c r="AF581">
        <v>3</v>
      </c>
      <c r="AG581" t="s">
        <v>65</v>
      </c>
      <c r="AH581">
        <v>0</v>
      </c>
      <c r="AI581" t="s">
        <v>71</v>
      </c>
      <c r="AJ581" s="3" t="s">
        <v>83</v>
      </c>
      <c r="AK581" s="3">
        <v>1</v>
      </c>
      <c r="AL581" s="3" t="s">
        <v>83</v>
      </c>
    </row>
    <row r="582" spans="1:38" x14ac:dyDescent="0.3">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v>2572</v>
      </c>
      <c r="S582">
        <v>20317</v>
      </c>
      <c r="T582">
        <v>1</v>
      </c>
      <c r="U582" t="s">
        <v>43</v>
      </c>
      <c r="V582">
        <v>16</v>
      </c>
      <c r="W582">
        <v>3</v>
      </c>
      <c r="X582">
        <v>2</v>
      </c>
      <c r="Y582">
        <v>1</v>
      </c>
      <c r="Z582">
        <v>3</v>
      </c>
      <c r="AA582">
        <v>1</v>
      </c>
      <c r="AB582">
        <v>2</v>
      </c>
      <c r="AC582">
        <v>3</v>
      </c>
      <c r="AD582">
        <v>2</v>
      </c>
      <c r="AE582">
        <v>0</v>
      </c>
      <c r="AF582">
        <v>2</v>
      </c>
      <c r="AG582" t="s">
        <v>67</v>
      </c>
      <c r="AH582">
        <v>0</v>
      </c>
      <c r="AI582" t="s">
        <v>71</v>
      </c>
      <c r="AJ582" s="3" t="s">
        <v>82</v>
      </c>
      <c r="AK582" s="3">
        <v>1</v>
      </c>
      <c r="AL582" s="3" t="s">
        <v>83</v>
      </c>
    </row>
    <row r="583" spans="1:38" x14ac:dyDescent="0.3">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v>3833</v>
      </c>
      <c r="S583">
        <v>24375</v>
      </c>
      <c r="T583">
        <v>3</v>
      </c>
      <c r="U583" t="s">
        <v>43</v>
      </c>
      <c r="V583">
        <v>21</v>
      </c>
      <c r="W583">
        <v>4</v>
      </c>
      <c r="X583">
        <v>3</v>
      </c>
      <c r="Y583">
        <v>2</v>
      </c>
      <c r="Z583">
        <v>7</v>
      </c>
      <c r="AA583">
        <v>2</v>
      </c>
      <c r="AB583">
        <v>3</v>
      </c>
      <c r="AC583">
        <v>2</v>
      </c>
      <c r="AD583">
        <v>2</v>
      </c>
      <c r="AE583">
        <v>0</v>
      </c>
      <c r="AF583">
        <v>2</v>
      </c>
      <c r="AG583" t="s">
        <v>67</v>
      </c>
      <c r="AH583">
        <v>0</v>
      </c>
      <c r="AI583" t="s">
        <v>71</v>
      </c>
      <c r="AJ583" s="3" t="s">
        <v>84</v>
      </c>
      <c r="AK583" s="3">
        <v>1</v>
      </c>
      <c r="AL583" s="3" t="s">
        <v>83</v>
      </c>
    </row>
    <row r="584" spans="1:38" x14ac:dyDescent="0.3">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v>4244</v>
      </c>
      <c r="S584">
        <v>9931</v>
      </c>
      <c r="T584">
        <v>1</v>
      </c>
      <c r="U584" t="s">
        <v>43</v>
      </c>
      <c r="V584">
        <v>24</v>
      </c>
      <c r="W584">
        <v>4</v>
      </c>
      <c r="X584">
        <v>4</v>
      </c>
      <c r="Y584">
        <v>1</v>
      </c>
      <c r="Z584">
        <v>8</v>
      </c>
      <c r="AA584">
        <v>2</v>
      </c>
      <c r="AB584">
        <v>3</v>
      </c>
      <c r="AC584">
        <v>8</v>
      </c>
      <c r="AD584">
        <v>7</v>
      </c>
      <c r="AE584">
        <v>3</v>
      </c>
      <c r="AF584">
        <v>7</v>
      </c>
      <c r="AG584" t="s">
        <v>65</v>
      </c>
      <c r="AH584">
        <v>0</v>
      </c>
      <c r="AI584" t="s">
        <v>71</v>
      </c>
      <c r="AJ584" s="3" t="s">
        <v>83</v>
      </c>
      <c r="AK584" s="3">
        <v>1</v>
      </c>
      <c r="AL584" s="3" t="s">
        <v>83</v>
      </c>
    </row>
    <row r="585" spans="1:38" x14ac:dyDescent="0.3">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v>6500</v>
      </c>
      <c r="S585">
        <v>13305</v>
      </c>
      <c r="T585">
        <v>5</v>
      </c>
      <c r="U585" t="s">
        <v>43</v>
      </c>
      <c r="V585">
        <v>17</v>
      </c>
      <c r="W585">
        <v>3</v>
      </c>
      <c r="X585">
        <v>2</v>
      </c>
      <c r="Y585">
        <v>1</v>
      </c>
      <c r="Z585">
        <v>6</v>
      </c>
      <c r="AA585">
        <v>1</v>
      </c>
      <c r="AB585">
        <v>3</v>
      </c>
      <c r="AC585">
        <v>3</v>
      </c>
      <c r="AD585">
        <v>2</v>
      </c>
      <c r="AE585">
        <v>1</v>
      </c>
      <c r="AF585">
        <v>2</v>
      </c>
      <c r="AG585" t="s">
        <v>67</v>
      </c>
      <c r="AH585">
        <v>0</v>
      </c>
      <c r="AI585" t="s">
        <v>70</v>
      </c>
      <c r="AJ585" s="3" t="s">
        <v>83</v>
      </c>
      <c r="AK585" s="3">
        <v>2</v>
      </c>
      <c r="AL585" s="3" t="s">
        <v>84</v>
      </c>
    </row>
    <row r="586" spans="1:38" x14ac:dyDescent="0.3">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v>18430</v>
      </c>
      <c r="S586">
        <v>16225</v>
      </c>
      <c r="T586">
        <v>1</v>
      </c>
      <c r="U586" t="s">
        <v>43</v>
      </c>
      <c r="V586">
        <v>13</v>
      </c>
      <c r="W586">
        <v>3</v>
      </c>
      <c r="X586">
        <v>2</v>
      </c>
      <c r="Y586">
        <v>1</v>
      </c>
      <c r="Z586">
        <v>24</v>
      </c>
      <c r="AA586">
        <v>4</v>
      </c>
      <c r="AB586">
        <v>2</v>
      </c>
      <c r="AC586">
        <v>24</v>
      </c>
      <c r="AD586">
        <v>7</v>
      </c>
      <c r="AE586">
        <v>14</v>
      </c>
      <c r="AF586">
        <v>9</v>
      </c>
      <c r="AG586" t="s">
        <v>65</v>
      </c>
      <c r="AH586">
        <v>0</v>
      </c>
      <c r="AI586" t="s">
        <v>71</v>
      </c>
      <c r="AJ586" s="3" t="s">
        <v>82</v>
      </c>
      <c r="AK586" s="3">
        <v>0</v>
      </c>
      <c r="AL586" s="3" t="s">
        <v>83</v>
      </c>
    </row>
    <row r="587" spans="1:38" x14ac:dyDescent="0.3">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v>1601</v>
      </c>
      <c r="S587">
        <v>3445</v>
      </c>
      <c r="T587">
        <v>1</v>
      </c>
      <c r="U587" t="s">
        <v>35</v>
      </c>
      <c r="V587">
        <v>21</v>
      </c>
      <c r="W587">
        <v>4</v>
      </c>
      <c r="X587">
        <v>3</v>
      </c>
      <c r="Y587">
        <v>2</v>
      </c>
      <c r="Z587">
        <v>1</v>
      </c>
      <c r="AA587">
        <v>2</v>
      </c>
      <c r="AB587">
        <v>3</v>
      </c>
      <c r="AC587">
        <v>0</v>
      </c>
      <c r="AD587">
        <v>0</v>
      </c>
      <c r="AE587">
        <v>0</v>
      </c>
      <c r="AF587">
        <v>0</v>
      </c>
      <c r="AG587" t="s">
        <v>66</v>
      </c>
      <c r="AH587">
        <v>1</v>
      </c>
      <c r="AI587" t="s">
        <v>70</v>
      </c>
      <c r="AJ587" s="3" t="s">
        <v>83</v>
      </c>
      <c r="AK587" s="3">
        <v>3</v>
      </c>
      <c r="AL587" s="3" t="s">
        <v>82</v>
      </c>
    </row>
    <row r="588" spans="1:38" x14ac:dyDescent="0.3">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v>2694</v>
      </c>
      <c r="S588">
        <v>26551</v>
      </c>
      <c r="T588">
        <v>1</v>
      </c>
      <c r="U588" t="s">
        <v>43</v>
      </c>
      <c r="V588">
        <v>11</v>
      </c>
      <c r="W588">
        <v>3</v>
      </c>
      <c r="X588">
        <v>3</v>
      </c>
      <c r="Y588">
        <v>3</v>
      </c>
      <c r="Z588">
        <v>1</v>
      </c>
      <c r="AA588">
        <v>4</v>
      </c>
      <c r="AB588">
        <v>3</v>
      </c>
      <c r="AC588">
        <v>1</v>
      </c>
      <c r="AD588">
        <v>0</v>
      </c>
      <c r="AE588">
        <v>0</v>
      </c>
      <c r="AF588">
        <v>0</v>
      </c>
      <c r="AG588" t="s">
        <v>67</v>
      </c>
      <c r="AH588">
        <v>0</v>
      </c>
      <c r="AI588" t="s">
        <v>72</v>
      </c>
      <c r="AJ588" s="3" t="s">
        <v>83</v>
      </c>
      <c r="AK588" s="3">
        <v>2</v>
      </c>
      <c r="AL588" s="3" t="s">
        <v>84</v>
      </c>
    </row>
    <row r="589" spans="1:38" x14ac:dyDescent="0.3">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v>3149</v>
      </c>
      <c r="S589">
        <v>21821</v>
      </c>
      <c r="T589">
        <v>8</v>
      </c>
      <c r="U589" t="s">
        <v>43</v>
      </c>
      <c r="V589">
        <v>20</v>
      </c>
      <c r="W589">
        <v>4</v>
      </c>
      <c r="X589">
        <v>2</v>
      </c>
      <c r="Y589">
        <v>1</v>
      </c>
      <c r="Z589">
        <v>9</v>
      </c>
      <c r="AA589">
        <v>3</v>
      </c>
      <c r="AB589">
        <v>3</v>
      </c>
      <c r="AC589">
        <v>5</v>
      </c>
      <c r="AD589">
        <v>2</v>
      </c>
      <c r="AE589">
        <v>1</v>
      </c>
      <c r="AF589">
        <v>4</v>
      </c>
      <c r="AG589" t="s">
        <v>68</v>
      </c>
      <c r="AH589">
        <v>0</v>
      </c>
      <c r="AI589" t="s">
        <v>72</v>
      </c>
      <c r="AJ589" s="3" t="s">
        <v>84</v>
      </c>
      <c r="AK589" s="3">
        <v>0</v>
      </c>
      <c r="AL589" s="3" t="s">
        <v>83</v>
      </c>
    </row>
    <row r="590" spans="1:38" x14ac:dyDescent="0.3">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v>17639</v>
      </c>
      <c r="S590">
        <v>6881</v>
      </c>
      <c r="T590">
        <v>5</v>
      </c>
      <c r="U590" t="s">
        <v>43</v>
      </c>
      <c r="V590">
        <v>16</v>
      </c>
      <c r="W590">
        <v>3</v>
      </c>
      <c r="X590">
        <v>4</v>
      </c>
      <c r="Y590">
        <v>0</v>
      </c>
      <c r="Z590">
        <v>30</v>
      </c>
      <c r="AA590">
        <v>3</v>
      </c>
      <c r="AB590">
        <v>3</v>
      </c>
      <c r="AC590">
        <v>4</v>
      </c>
      <c r="AD590">
        <v>3</v>
      </c>
      <c r="AE590">
        <v>0</v>
      </c>
      <c r="AF590">
        <v>3</v>
      </c>
      <c r="AG590" t="s">
        <v>68</v>
      </c>
      <c r="AH590">
        <v>0</v>
      </c>
      <c r="AI590" t="s">
        <v>69</v>
      </c>
      <c r="AJ590" s="3" t="s">
        <v>84</v>
      </c>
      <c r="AK590" s="3">
        <v>0</v>
      </c>
      <c r="AL590" s="3" t="s">
        <v>83</v>
      </c>
    </row>
    <row r="591" spans="1:38" x14ac:dyDescent="0.3">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v>2319</v>
      </c>
      <c r="S591">
        <v>6689</v>
      </c>
      <c r="T591">
        <v>1</v>
      </c>
      <c r="U591" t="s">
        <v>35</v>
      </c>
      <c r="V591">
        <v>11</v>
      </c>
      <c r="W591">
        <v>3</v>
      </c>
      <c r="X591">
        <v>4</v>
      </c>
      <c r="Y591">
        <v>1</v>
      </c>
      <c r="Z591">
        <v>1</v>
      </c>
      <c r="AA591">
        <v>1</v>
      </c>
      <c r="AB591">
        <v>3</v>
      </c>
      <c r="AC591">
        <v>1</v>
      </c>
      <c r="AD591">
        <v>0</v>
      </c>
      <c r="AE591">
        <v>0</v>
      </c>
      <c r="AF591">
        <v>0</v>
      </c>
      <c r="AG591" t="s">
        <v>67</v>
      </c>
      <c r="AH591">
        <v>1</v>
      </c>
      <c r="AI591" t="s">
        <v>69</v>
      </c>
      <c r="AJ591" s="3" t="s">
        <v>83</v>
      </c>
      <c r="AK591" s="3">
        <v>3</v>
      </c>
      <c r="AL591" s="3" t="s">
        <v>82</v>
      </c>
    </row>
    <row r="592" spans="1:38" x14ac:dyDescent="0.3">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v>11691</v>
      </c>
      <c r="S592">
        <v>25995</v>
      </c>
      <c r="T592">
        <v>0</v>
      </c>
      <c r="U592" t="s">
        <v>43</v>
      </c>
      <c r="V592">
        <v>11</v>
      </c>
      <c r="W592">
        <v>3</v>
      </c>
      <c r="X592">
        <v>4</v>
      </c>
      <c r="Y592">
        <v>0</v>
      </c>
      <c r="Z592">
        <v>14</v>
      </c>
      <c r="AA592">
        <v>3</v>
      </c>
      <c r="AB592">
        <v>4</v>
      </c>
      <c r="AC592">
        <v>13</v>
      </c>
      <c r="AD592">
        <v>9</v>
      </c>
      <c r="AE592">
        <v>3</v>
      </c>
      <c r="AF592">
        <v>7</v>
      </c>
      <c r="AG592" t="s">
        <v>65</v>
      </c>
      <c r="AH592">
        <v>0</v>
      </c>
      <c r="AI592" t="s">
        <v>72</v>
      </c>
      <c r="AJ592" s="3" t="s">
        <v>84</v>
      </c>
      <c r="AK592" s="3">
        <v>0</v>
      </c>
      <c r="AL592" s="3" t="s">
        <v>83</v>
      </c>
    </row>
    <row r="593" spans="1:38" x14ac:dyDescent="0.3">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v>5324</v>
      </c>
      <c r="S593">
        <v>26507</v>
      </c>
      <c r="T593">
        <v>5</v>
      </c>
      <c r="U593" t="s">
        <v>43</v>
      </c>
      <c r="V593">
        <v>15</v>
      </c>
      <c r="W593">
        <v>3</v>
      </c>
      <c r="X593">
        <v>3</v>
      </c>
      <c r="Y593">
        <v>0</v>
      </c>
      <c r="Z593">
        <v>6</v>
      </c>
      <c r="AA593">
        <v>3</v>
      </c>
      <c r="AB593">
        <v>3</v>
      </c>
      <c r="AC593">
        <v>3</v>
      </c>
      <c r="AD593">
        <v>2</v>
      </c>
      <c r="AE593">
        <v>0</v>
      </c>
      <c r="AF593">
        <v>2</v>
      </c>
      <c r="AG593" t="s">
        <v>67</v>
      </c>
      <c r="AH593">
        <v>1</v>
      </c>
      <c r="AI593" t="s">
        <v>71</v>
      </c>
      <c r="AJ593" s="3" t="s">
        <v>83</v>
      </c>
      <c r="AK593" s="3">
        <v>2</v>
      </c>
      <c r="AL593" s="3" t="s">
        <v>84</v>
      </c>
    </row>
    <row r="594" spans="1:38" x14ac:dyDescent="0.3">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v>16752</v>
      </c>
      <c r="S594">
        <v>12982</v>
      </c>
      <c r="T594">
        <v>1</v>
      </c>
      <c r="U594" t="s">
        <v>35</v>
      </c>
      <c r="V594">
        <v>11</v>
      </c>
      <c r="W594">
        <v>3</v>
      </c>
      <c r="X594">
        <v>3</v>
      </c>
      <c r="Y594">
        <v>1</v>
      </c>
      <c r="Z594">
        <v>26</v>
      </c>
      <c r="AA594">
        <v>3</v>
      </c>
      <c r="AB594">
        <v>2</v>
      </c>
      <c r="AC594">
        <v>26</v>
      </c>
      <c r="AD594">
        <v>14</v>
      </c>
      <c r="AE594">
        <v>3</v>
      </c>
      <c r="AF594">
        <v>0</v>
      </c>
      <c r="AG594" t="s">
        <v>65</v>
      </c>
      <c r="AH594">
        <v>0</v>
      </c>
      <c r="AI594" t="s">
        <v>71</v>
      </c>
      <c r="AJ594" s="3" t="s">
        <v>82</v>
      </c>
      <c r="AK594" s="3">
        <v>1</v>
      </c>
      <c r="AL594" s="3" t="s">
        <v>83</v>
      </c>
    </row>
    <row r="595" spans="1:38" x14ac:dyDescent="0.3">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v>5228</v>
      </c>
      <c r="S595">
        <v>23361</v>
      </c>
      <c r="T595">
        <v>0</v>
      </c>
      <c r="U595" t="s">
        <v>43</v>
      </c>
      <c r="V595">
        <v>15</v>
      </c>
      <c r="W595">
        <v>3</v>
      </c>
      <c r="X595">
        <v>1</v>
      </c>
      <c r="Y595">
        <v>1</v>
      </c>
      <c r="Z595">
        <v>10</v>
      </c>
      <c r="AA595">
        <v>2</v>
      </c>
      <c r="AB595">
        <v>3</v>
      </c>
      <c r="AC595">
        <v>9</v>
      </c>
      <c r="AD595">
        <v>7</v>
      </c>
      <c r="AE595">
        <v>0</v>
      </c>
      <c r="AF595">
        <v>5</v>
      </c>
      <c r="AG595" t="s">
        <v>65</v>
      </c>
      <c r="AH595">
        <v>0</v>
      </c>
      <c r="AI595" t="s">
        <v>70</v>
      </c>
      <c r="AJ595" s="3" t="s">
        <v>83</v>
      </c>
      <c r="AK595" s="3">
        <v>1</v>
      </c>
      <c r="AL595" s="3" t="s">
        <v>83</v>
      </c>
    </row>
    <row r="596" spans="1:38" x14ac:dyDescent="0.3">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v>2700</v>
      </c>
      <c r="S596">
        <v>23779</v>
      </c>
      <c r="T596">
        <v>1</v>
      </c>
      <c r="U596" t="s">
        <v>43</v>
      </c>
      <c r="V596">
        <v>24</v>
      </c>
      <c r="W596">
        <v>4</v>
      </c>
      <c r="X596">
        <v>3</v>
      </c>
      <c r="Y596">
        <v>1</v>
      </c>
      <c r="Z596">
        <v>10</v>
      </c>
      <c r="AA596">
        <v>3</v>
      </c>
      <c r="AB596">
        <v>3</v>
      </c>
      <c r="AC596">
        <v>10</v>
      </c>
      <c r="AD596">
        <v>7</v>
      </c>
      <c r="AE596">
        <v>0</v>
      </c>
      <c r="AF596">
        <v>7</v>
      </c>
      <c r="AG596" t="s">
        <v>65</v>
      </c>
      <c r="AH596">
        <v>0</v>
      </c>
      <c r="AI596" t="s">
        <v>71</v>
      </c>
      <c r="AJ596" s="3" t="s">
        <v>84</v>
      </c>
      <c r="AK596" s="3">
        <v>0</v>
      </c>
      <c r="AL596" s="3" t="s">
        <v>83</v>
      </c>
    </row>
    <row r="597" spans="1:38" x14ac:dyDescent="0.3">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v>19246</v>
      </c>
      <c r="S597">
        <v>25761</v>
      </c>
      <c r="T597">
        <v>7</v>
      </c>
      <c r="U597" t="s">
        <v>35</v>
      </c>
      <c r="V597">
        <v>12</v>
      </c>
      <c r="W597">
        <v>3</v>
      </c>
      <c r="X597">
        <v>4</v>
      </c>
      <c r="Y597">
        <v>0</v>
      </c>
      <c r="Z597">
        <v>40</v>
      </c>
      <c r="AA597">
        <v>2</v>
      </c>
      <c r="AB597">
        <v>3</v>
      </c>
      <c r="AC597">
        <v>31</v>
      </c>
      <c r="AD597">
        <v>15</v>
      </c>
      <c r="AE597">
        <v>13</v>
      </c>
      <c r="AF597">
        <v>8</v>
      </c>
      <c r="AG597" t="s">
        <v>65</v>
      </c>
      <c r="AH597">
        <v>1</v>
      </c>
      <c r="AI597" t="s">
        <v>72</v>
      </c>
      <c r="AJ597" s="3" t="s">
        <v>83</v>
      </c>
      <c r="AK597" s="3">
        <v>2</v>
      </c>
      <c r="AL597" s="3" t="s">
        <v>84</v>
      </c>
    </row>
    <row r="598" spans="1:38" x14ac:dyDescent="0.3">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v>2506</v>
      </c>
      <c r="S598">
        <v>13301</v>
      </c>
      <c r="T598">
        <v>3</v>
      </c>
      <c r="U598" t="s">
        <v>43</v>
      </c>
      <c r="V598">
        <v>13</v>
      </c>
      <c r="W598">
        <v>3</v>
      </c>
      <c r="X598">
        <v>3</v>
      </c>
      <c r="Y598">
        <v>0</v>
      </c>
      <c r="Z598">
        <v>7</v>
      </c>
      <c r="AA598">
        <v>0</v>
      </c>
      <c r="AB598">
        <v>3</v>
      </c>
      <c r="AC598">
        <v>2</v>
      </c>
      <c r="AD598">
        <v>2</v>
      </c>
      <c r="AE598">
        <v>2</v>
      </c>
      <c r="AF598">
        <v>2</v>
      </c>
      <c r="AG598" t="s">
        <v>67</v>
      </c>
      <c r="AH598">
        <v>0</v>
      </c>
      <c r="AI598" t="s">
        <v>69</v>
      </c>
      <c r="AJ598" s="3" t="s">
        <v>84</v>
      </c>
      <c r="AK598" s="3">
        <v>1</v>
      </c>
      <c r="AL598" s="3" t="s">
        <v>83</v>
      </c>
    </row>
    <row r="599" spans="1:38" x14ac:dyDescent="0.3">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v>6062</v>
      </c>
      <c r="S599">
        <v>4051</v>
      </c>
      <c r="T599">
        <v>9</v>
      </c>
      <c r="U599" t="s">
        <v>35</v>
      </c>
      <c r="V599">
        <v>13</v>
      </c>
      <c r="W599">
        <v>3</v>
      </c>
      <c r="X599">
        <v>4</v>
      </c>
      <c r="Y599">
        <v>1</v>
      </c>
      <c r="Z599">
        <v>8</v>
      </c>
      <c r="AA599">
        <v>4</v>
      </c>
      <c r="AB599">
        <v>3</v>
      </c>
      <c r="AC599">
        <v>4</v>
      </c>
      <c r="AD599">
        <v>3</v>
      </c>
      <c r="AE599">
        <v>0</v>
      </c>
      <c r="AF599">
        <v>2</v>
      </c>
      <c r="AG599" t="s">
        <v>68</v>
      </c>
      <c r="AH599">
        <v>0</v>
      </c>
      <c r="AI599" t="s">
        <v>71</v>
      </c>
      <c r="AJ599" s="3" t="s">
        <v>82</v>
      </c>
      <c r="AK599" s="3">
        <v>1</v>
      </c>
      <c r="AL599" s="3" t="s">
        <v>83</v>
      </c>
    </row>
    <row r="600" spans="1:38" x14ac:dyDescent="0.3">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v>4382</v>
      </c>
      <c r="S600">
        <v>16374</v>
      </c>
      <c r="T600">
        <v>6</v>
      </c>
      <c r="U600" t="s">
        <v>43</v>
      </c>
      <c r="V600">
        <v>17</v>
      </c>
      <c r="W600">
        <v>3</v>
      </c>
      <c r="X600">
        <v>4</v>
      </c>
      <c r="Y600">
        <v>0</v>
      </c>
      <c r="Z600">
        <v>5</v>
      </c>
      <c r="AA600">
        <v>3</v>
      </c>
      <c r="AB600">
        <v>2</v>
      </c>
      <c r="AC600">
        <v>2</v>
      </c>
      <c r="AD600">
        <v>2</v>
      </c>
      <c r="AE600">
        <v>2</v>
      </c>
      <c r="AF600">
        <v>1</v>
      </c>
      <c r="AG600" t="s">
        <v>67</v>
      </c>
      <c r="AH600">
        <v>1</v>
      </c>
      <c r="AI600" t="s">
        <v>70</v>
      </c>
      <c r="AJ600" s="3" t="s">
        <v>84</v>
      </c>
      <c r="AK600" s="3">
        <v>1</v>
      </c>
      <c r="AL600" s="3" t="s">
        <v>83</v>
      </c>
    </row>
    <row r="601" spans="1:38" x14ac:dyDescent="0.3">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v>2143</v>
      </c>
      <c r="S601">
        <v>25527</v>
      </c>
      <c r="T601">
        <v>4</v>
      </c>
      <c r="U601" t="s">
        <v>43</v>
      </c>
      <c r="V601">
        <v>13</v>
      </c>
      <c r="W601">
        <v>3</v>
      </c>
      <c r="X601">
        <v>2</v>
      </c>
      <c r="Y601">
        <v>1</v>
      </c>
      <c r="Z601">
        <v>8</v>
      </c>
      <c r="AA601">
        <v>2</v>
      </c>
      <c r="AB601">
        <v>3</v>
      </c>
      <c r="AC601">
        <v>5</v>
      </c>
      <c r="AD601">
        <v>2</v>
      </c>
      <c r="AE601">
        <v>0</v>
      </c>
      <c r="AF601">
        <v>4</v>
      </c>
      <c r="AG601" t="s">
        <v>68</v>
      </c>
      <c r="AH601">
        <v>0</v>
      </c>
      <c r="AI601" t="s">
        <v>72</v>
      </c>
      <c r="AJ601" s="3" t="s">
        <v>83</v>
      </c>
      <c r="AK601" s="3">
        <v>1</v>
      </c>
      <c r="AL601" s="3" t="s">
        <v>83</v>
      </c>
    </row>
    <row r="602" spans="1:38" x14ac:dyDescent="0.3">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v>6162</v>
      </c>
      <c r="S602">
        <v>19124</v>
      </c>
      <c r="T602">
        <v>1</v>
      </c>
      <c r="U602" t="s">
        <v>43</v>
      </c>
      <c r="V602">
        <v>12</v>
      </c>
      <c r="W602">
        <v>3</v>
      </c>
      <c r="X602">
        <v>3</v>
      </c>
      <c r="Y602">
        <v>1</v>
      </c>
      <c r="Z602">
        <v>14</v>
      </c>
      <c r="AA602">
        <v>3</v>
      </c>
      <c r="AB602">
        <v>3</v>
      </c>
      <c r="AC602">
        <v>14</v>
      </c>
      <c r="AD602">
        <v>13</v>
      </c>
      <c r="AE602">
        <v>6</v>
      </c>
      <c r="AF602">
        <v>8</v>
      </c>
      <c r="AG602" t="s">
        <v>65</v>
      </c>
      <c r="AH602">
        <v>0</v>
      </c>
      <c r="AI602" t="s">
        <v>71</v>
      </c>
      <c r="AJ602" s="3" t="s">
        <v>84</v>
      </c>
      <c r="AK602" s="3">
        <v>0</v>
      </c>
      <c r="AL602" s="3" t="s">
        <v>83</v>
      </c>
    </row>
    <row r="603" spans="1:38" x14ac:dyDescent="0.3">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v>5094</v>
      </c>
      <c r="S603">
        <v>11983</v>
      </c>
      <c r="T603">
        <v>6</v>
      </c>
      <c r="U603" t="s">
        <v>43</v>
      </c>
      <c r="V603">
        <v>14</v>
      </c>
      <c r="W603">
        <v>3</v>
      </c>
      <c r="X603">
        <v>4</v>
      </c>
      <c r="Y603">
        <v>0</v>
      </c>
      <c r="Z603">
        <v>10</v>
      </c>
      <c r="AA603">
        <v>6</v>
      </c>
      <c r="AB603">
        <v>3</v>
      </c>
      <c r="AC603">
        <v>1</v>
      </c>
      <c r="AD603">
        <v>0</v>
      </c>
      <c r="AE603">
        <v>0</v>
      </c>
      <c r="AF603">
        <v>0</v>
      </c>
      <c r="AG603" t="s">
        <v>67</v>
      </c>
      <c r="AH603">
        <v>0</v>
      </c>
      <c r="AI603" t="s">
        <v>71</v>
      </c>
      <c r="AJ603" s="3" t="s">
        <v>84</v>
      </c>
      <c r="AK603" s="3">
        <v>1</v>
      </c>
      <c r="AL603" s="3" t="s">
        <v>83</v>
      </c>
    </row>
    <row r="604" spans="1:38" x14ac:dyDescent="0.3">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v>6877</v>
      </c>
      <c r="S604">
        <v>20234</v>
      </c>
      <c r="T604">
        <v>5</v>
      </c>
      <c r="U604" t="s">
        <v>35</v>
      </c>
      <c r="V604">
        <v>24</v>
      </c>
      <c r="W604">
        <v>4</v>
      </c>
      <c r="X604">
        <v>2</v>
      </c>
      <c r="Y604">
        <v>0</v>
      </c>
      <c r="Z604">
        <v>12</v>
      </c>
      <c r="AA604">
        <v>4</v>
      </c>
      <c r="AB604">
        <v>2</v>
      </c>
      <c r="AC604">
        <v>0</v>
      </c>
      <c r="AD604">
        <v>0</v>
      </c>
      <c r="AE604">
        <v>0</v>
      </c>
      <c r="AF604">
        <v>0</v>
      </c>
      <c r="AG604" t="s">
        <v>66</v>
      </c>
      <c r="AH604">
        <v>0</v>
      </c>
      <c r="AI604" t="s">
        <v>70</v>
      </c>
      <c r="AJ604" s="3" t="s">
        <v>82</v>
      </c>
      <c r="AK604" s="3">
        <v>2</v>
      </c>
      <c r="AL604" s="3" t="s">
        <v>84</v>
      </c>
    </row>
    <row r="605" spans="1:38" x14ac:dyDescent="0.3">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v>2274</v>
      </c>
      <c r="S605">
        <v>6153</v>
      </c>
      <c r="T605">
        <v>1</v>
      </c>
      <c r="U605" t="s">
        <v>43</v>
      </c>
      <c r="V605">
        <v>14</v>
      </c>
      <c r="W605">
        <v>3</v>
      </c>
      <c r="X605">
        <v>4</v>
      </c>
      <c r="Y605">
        <v>0</v>
      </c>
      <c r="Z605">
        <v>1</v>
      </c>
      <c r="AA605">
        <v>3</v>
      </c>
      <c r="AB605">
        <v>3</v>
      </c>
      <c r="AC605">
        <v>1</v>
      </c>
      <c r="AD605">
        <v>0</v>
      </c>
      <c r="AE605">
        <v>0</v>
      </c>
      <c r="AF605">
        <v>0</v>
      </c>
      <c r="AG605" t="s">
        <v>67</v>
      </c>
      <c r="AH605">
        <v>0</v>
      </c>
      <c r="AI605" t="s">
        <v>71</v>
      </c>
      <c r="AJ605" s="3" t="s">
        <v>84</v>
      </c>
      <c r="AK605" s="3">
        <v>1</v>
      </c>
      <c r="AL605" s="3" t="s">
        <v>83</v>
      </c>
    </row>
    <row r="606" spans="1:38" x14ac:dyDescent="0.3">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v>4434</v>
      </c>
      <c r="S606">
        <v>11806</v>
      </c>
      <c r="T606">
        <v>1</v>
      </c>
      <c r="U606" t="s">
        <v>43</v>
      </c>
      <c r="V606">
        <v>13</v>
      </c>
      <c r="W606">
        <v>3</v>
      </c>
      <c r="X606">
        <v>4</v>
      </c>
      <c r="Y606">
        <v>1</v>
      </c>
      <c r="Z606">
        <v>10</v>
      </c>
      <c r="AA606">
        <v>3</v>
      </c>
      <c r="AB606">
        <v>2</v>
      </c>
      <c r="AC606">
        <v>9</v>
      </c>
      <c r="AD606">
        <v>8</v>
      </c>
      <c r="AE606">
        <v>7</v>
      </c>
      <c r="AF606">
        <v>8</v>
      </c>
      <c r="AG606" t="s">
        <v>65</v>
      </c>
      <c r="AH606">
        <v>0</v>
      </c>
      <c r="AI606" t="s">
        <v>70</v>
      </c>
      <c r="AJ606" s="3" t="s">
        <v>83</v>
      </c>
      <c r="AK606" s="3">
        <v>1</v>
      </c>
      <c r="AL606" s="3" t="s">
        <v>83</v>
      </c>
    </row>
    <row r="607" spans="1:38" x14ac:dyDescent="0.3">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v>6288</v>
      </c>
      <c r="S607">
        <v>4284</v>
      </c>
      <c r="T607">
        <v>2</v>
      </c>
      <c r="U607" t="s">
        <v>43</v>
      </c>
      <c r="V607">
        <v>15</v>
      </c>
      <c r="W607">
        <v>3</v>
      </c>
      <c r="X607">
        <v>3</v>
      </c>
      <c r="Y607">
        <v>1</v>
      </c>
      <c r="Z607">
        <v>13</v>
      </c>
      <c r="AA607">
        <v>3</v>
      </c>
      <c r="AB607">
        <v>2</v>
      </c>
      <c r="AC607">
        <v>4</v>
      </c>
      <c r="AD607">
        <v>3</v>
      </c>
      <c r="AE607">
        <v>1</v>
      </c>
      <c r="AF607">
        <v>2</v>
      </c>
      <c r="AG607" t="s">
        <v>68</v>
      </c>
      <c r="AH607">
        <v>0</v>
      </c>
      <c r="AI607" t="s">
        <v>70</v>
      </c>
      <c r="AJ607" s="3" t="s">
        <v>83</v>
      </c>
      <c r="AK607" s="3">
        <v>1</v>
      </c>
      <c r="AL607" s="3" t="s">
        <v>83</v>
      </c>
    </row>
    <row r="608" spans="1:38" x14ac:dyDescent="0.3">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v>2553</v>
      </c>
      <c r="S608">
        <v>8306</v>
      </c>
      <c r="T608">
        <v>1</v>
      </c>
      <c r="U608" t="s">
        <v>43</v>
      </c>
      <c r="V608">
        <v>16</v>
      </c>
      <c r="W608">
        <v>3</v>
      </c>
      <c r="X608">
        <v>3</v>
      </c>
      <c r="Y608">
        <v>0</v>
      </c>
      <c r="Z608">
        <v>6</v>
      </c>
      <c r="AA608">
        <v>3</v>
      </c>
      <c r="AB608">
        <v>3</v>
      </c>
      <c r="AC608">
        <v>5</v>
      </c>
      <c r="AD608">
        <v>2</v>
      </c>
      <c r="AE608">
        <v>1</v>
      </c>
      <c r="AF608">
        <v>3</v>
      </c>
      <c r="AG608" t="s">
        <v>68</v>
      </c>
      <c r="AH608">
        <v>0</v>
      </c>
      <c r="AI608" t="s">
        <v>71</v>
      </c>
      <c r="AJ608" s="3" t="s">
        <v>82</v>
      </c>
      <c r="AK608" s="3">
        <v>0</v>
      </c>
      <c r="AL608" s="3" t="s">
        <v>83</v>
      </c>
    </row>
    <row r="609" spans="1:38" x14ac:dyDescent="0.3">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v>7654</v>
      </c>
      <c r="S609">
        <v>5860</v>
      </c>
      <c r="T609">
        <v>1</v>
      </c>
      <c r="U609" t="s">
        <v>43</v>
      </c>
      <c r="V609">
        <v>18</v>
      </c>
      <c r="W609">
        <v>3</v>
      </c>
      <c r="X609">
        <v>1</v>
      </c>
      <c r="Y609">
        <v>2</v>
      </c>
      <c r="Z609">
        <v>9</v>
      </c>
      <c r="AA609">
        <v>3</v>
      </c>
      <c r="AB609">
        <v>4</v>
      </c>
      <c r="AC609">
        <v>9</v>
      </c>
      <c r="AD609">
        <v>8</v>
      </c>
      <c r="AE609">
        <v>7</v>
      </c>
      <c r="AF609">
        <v>7</v>
      </c>
      <c r="AG609" t="s">
        <v>65</v>
      </c>
      <c r="AH609">
        <v>1</v>
      </c>
      <c r="AI609" t="s">
        <v>71</v>
      </c>
      <c r="AJ609" s="3" t="s">
        <v>82</v>
      </c>
      <c r="AK609" s="3">
        <v>0</v>
      </c>
      <c r="AL609" s="3" t="s">
        <v>83</v>
      </c>
    </row>
    <row r="610" spans="1:38" x14ac:dyDescent="0.3">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v>5160</v>
      </c>
      <c r="S610">
        <v>21519</v>
      </c>
      <c r="T610">
        <v>4</v>
      </c>
      <c r="U610" t="s">
        <v>43</v>
      </c>
      <c r="V610">
        <v>16</v>
      </c>
      <c r="W610">
        <v>3</v>
      </c>
      <c r="X610">
        <v>3</v>
      </c>
      <c r="Y610">
        <v>0</v>
      </c>
      <c r="Z610">
        <v>12</v>
      </c>
      <c r="AA610">
        <v>3</v>
      </c>
      <c r="AB610">
        <v>2</v>
      </c>
      <c r="AC610">
        <v>9</v>
      </c>
      <c r="AD610">
        <v>7</v>
      </c>
      <c r="AE610">
        <v>7</v>
      </c>
      <c r="AF610">
        <v>3</v>
      </c>
      <c r="AG610" t="s">
        <v>65</v>
      </c>
      <c r="AH610">
        <v>1</v>
      </c>
      <c r="AI610" t="s">
        <v>70</v>
      </c>
      <c r="AJ610" s="3" t="s">
        <v>82</v>
      </c>
      <c r="AK610" s="3">
        <v>0</v>
      </c>
      <c r="AL610" s="3" t="s">
        <v>83</v>
      </c>
    </row>
    <row r="611" spans="1:38" x14ac:dyDescent="0.3">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v>17159</v>
      </c>
      <c r="S611">
        <v>5200</v>
      </c>
      <c r="T611">
        <v>6</v>
      </c>
      <c r="U611" t="s">
        <v>43</v>
      </c>
      <c r="V611">
        <v>24</v>
      </c>
      <c r="W611">
        <v>4</v>
      </c>
      <c r="X611">
        <v>3</v>
      </c>
      <c r="Y611">
        <v>1</v>
      </c>
      <c r="Z611">
        <v>22</v>
      </c>
      <c r="AA611">
        <v>3</v>
      </c>
      <c r="AB611">
        <v>3</v>
      </c>
      <c r="AC611">
        <v>4</v>
      </c>
      <c r="AD611">
        <v>1</v>
      </c>
      <c r="AE611">
        <v>1</v>
      </c>
      <c r="AF611">
        <v>0</v>
      </c>
      <c r="AG611" t="s">
        <v>68</v>
      </c>
      <c r="AH611">
        <v>0</v>
      </c>
      <c r="AI611" t="s">
        <v>69</v>
      </c>
      <c r="AJ611" s="3" t="s">
        <v>83</v>
      </c>
      <c r="AK611" s="3">
        <v>1</v>
      </c>
      <c r="AL611" s="3" t="s">
        <v>83</v>
      </c>
    </row>
    <row r="612" spans="1:38" x14ac:dyDescent="0.3">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v>12808</v>
      </c>
      <c r="S612">
        <v>8842</v>
      </c>
      <c r="T612">
        <v>1</v>
      </c>
      <c r="U612" t="s">
        <v>35</v>
      </c>
      <c r="V612">
        <v>16</v>
      </c>
      <c r="W612">
        <v>3</v>
      </c>
      <c r="X612">
        <v>2</v>
      </c>
      <c r="Y612">
        <v>1</v>
      </c>
      <c r="Z612">
        <v>9</v>
      </c>
      <c r="AA612">
        <v>3</v>
      </c>
      <c r="AB612">
        <v>3</v>
      </c>
      <c r="AC612">
        <v>9</v>
      </c>
      <c r="AD612">
        <v>8</v>
      </c>
      <c r="AE612">
        <v>0</v>
      </c>
      <c r="AF612">
        <v>8</v>
      </c>
      <c r="AG612" t="s">
        <v>65</v>
      </c>
      <c r="AH612">
        <v>0</v>
      </c>
      <c r="AI612" t="s">
        <v>70</v>
      </c>
      <c r="AJ612" s="3" t="s">
        <v>82</v>
      </c>
      <c r="AK612" s="3">
        <v>1</v>
      </c>
      <c r="AL612" s="3" t="s">
        <v>83</v>
      </c>
    </row>
    <row r="613" spans="1:38" x14ac:dyDescent="0.3">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v>10221</v>
      </c>
      <c r="S613">
        <v>18869</v>
      </c>
      <c r="T613">
        <v>3</v>
      </c>
      <c r="U613" t="s">
        <v>43</v>
      </c>
      <c r="V613">
        <v>21</v>
      </c>
      <c r="W613">
        <v>4</v>
      </c>
      <c r="X613">
        <v>2</v>
      </c>
      <c r="Y613">
        <v>0</v>
      </c>
      <c r="Z613">
        <v>17</v>
      </c>
      <c r="AA613">
        <v>3</v>
      </c>
      <c r="AB613">
        <v>4</v>
      </c>
      <c r="AC613">
        <v>8</v>
      </c>
      <c r="AD613">
        <v>5</v>
      </c>
      <c r="AE613">
        <v>1</v>
      </c>
      <c r="AF613">
        <v>6</v>
      </c>
      <c r="AG613" t="s">
        <v>65</v>
      </c>
      <c r="AH613">
        <v>0</v>
      </c>
      <c r="AI613" t="s">
        <v>72</v>
      </c>
      <c r="AJ613" s="3" t="s">
        <v>84</v>
      </c>
      <c r="AK613" s="3">
        <v>0</v>
      </c>
      <c r="AL613" s="3" t="s">
        <v>83</v>
      </c>
    </row>
    <row r="614" spans="1:38" x14ac:dyDescent="0.3">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v>4779</v>
      </c>
      <c r="S614">
        <v>3698</v>
      </c>
      <c r="T614">
        <v>1</v>
      </c>
      <c r="U614" t="s">
        <v>35</v>
      </c>
      <c r="V614">
        <v>20</v>
      </c>
      <c r="W614">
        <v>4</v>
      </c>
      <c r="X614">
        <v>1</v>
      </c>
      <c r="Y614">
        <v>0</v>
      </c>
      <c r="Z614">
        <v>8</v>
      </c>
      <c r="AA614">
        <v>2</v>
      </c>
      <c r="AB614">
        <v>3</v>
      </c>
      <c r="AC614">
        <v>8</v>
      </c>
      <c r="AD614">
        <v>7</v>
      </c>
      <c r="AE614">
        <v>7</v>
      </c>
      <c r="AF614">
        <v>5</v>
      </c>
      <c r="AG614" t="s">
        <v>65</v>
      </c>
      <c r="AH614">
        <v>0</v>
      </c>
      <c r="AI614" t="s">
        <v>71</v>
      </c>
      <c r="AJ614" s="3" t="s">
        <v>83</v>
      </c>
      <c r="AK614" s="3">
        <v>2</v>
      </c>
      <c r="AL614" s="3" t="s">
        <v>84</v>
      </c>
    </row>
    <row r="615" spans="1:38" x14ac:dyDescent="0.3">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v>3737</v>
      </c>
      <c r="S615">
        <v>2243</v>
      </c>
      <c r="T615">
        <v>0</v>
      </c>
      <c r="U615" t="s">
        <v>43</v>
      </c>
      <c r="V615">
        <v>19</v>
      </c>
      <c r="W615">
        <v>3</v>
      </c>
      <c r="X615">
        <v>3</v>
      </c>
      <c r="Y615">
        <v>1</v>
      </c>
      <c r="Z615">
        <v>4</v>
      </c>
      <c r="AA615">
        <v>1</v>
      </c>
      <c r="AB615">
        <v>1</v>
      </c>
      <c r="AC615">
        <v>3</v>
      </c>
      <c r="AD615">
        <v>2</v>
      </c>
      <c r="AE615">
        <v>0</v>
      </c>
      <c r="AF615">
        <v>2</v>
      </c>
      <c r="AG615" t="s">
        <v>67</v>
      </c>
      <c r="AH615">
        <v>0</v>
      </c>
      <c r="AI615" t="s">
        <v>72</v>
      </c>
      <c r="AJ615" s="3" t="s">
        <v>82</v>
      </c>
      <c r="AK615" s="3">
        <v>1</v>
      </c>
      <c r="AL615" s="3" t="s">
        <v>83</v>
      </c>
    </row>
    <row r="616" spans="1:38" x14ac:dyDescent="0.3">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v>2366</v>
      </c>
      <c r="S616">
        <v>20898</v>
      </c>
      <c r="T616">
        <v>1</v>
      </c>
      <c r="U616" t="s">
        <v>35</v>
      </c>
      <c r="V616">
        <v>14</v>
      </c>
      <c r="W616">
        <v>3</v>
      </c>
      <c r="X616">
        <v>1</v>
      </c>
      <c r="Y616">
        <v>1</v>
      </c>
      <c r="Z616">
        <v>8</v>
      </c>
      <c r="AA616">
        <v>2</v>
      </c>
      <c r="AB616">
        <v>3</v>
      </c>
      <c r="AC616">
        <v>8</v>
      </c>
      <c r="AD616">
        <v>7</v>
      </c>
      <c r="AE616">
        <v>1</v>
      </c>
      <c r="AF616">
        <v>7</v>
      </c>
      <c r="AG616" t="s">
        <v>65</v>
      </c>
      <c r="AH616">
        <v>1</v>
      </c>
      <c r="AI616" t="s">
        <v>71</v>
      </c>
      <c r="AJ616" s="3" t="s">
        <v>84</v>
      </c>
      <c r="AK616" s="3">
        <v>1</v>
      </c>
      <c r="AL616" s="3" t="s">
        <v>83</v>
      </c>
    </row>
    <row r="617" spans="1:38" x14ac:dyDescent="0.3">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v>1706</v>
      </c>
      <c r="S617">
        <v>16571</v>
      </c>
      <c r="T617">
        <v>1</v>
      </c>
      <c r="U617" t="s">
        <v>43</v>
      </c>
      <c r="V617">
        <v>11</v>
      </c>
      <c r="W617">
        <v>3</v>
      </c>
      <c r="X617">
        <v>3</v>
      </c>
      <c r="Y617">
        <v>3</v>
      </c>
      <c r="Z617">
        <v>0</v>
      </c>
      <c r="AA617">
        <v>6</v>
      </c>
      <c r="AB617">
        <v>2</v>
      </c>
      <c r="AC617">
        <v>0</v>
      </c>
      <c r="AD617">
        <v>0</v>
      </c>
      <c r="AE617">
        <v>0</v>
      </c>
      <c r="AF617">
        <v>0</v>
      </c>
      <c r="AG617" t="s">
        <v>66</v>
      </c>
      <c r="AH617">
        <v>0</v>
      </c>
      <c r="AI617" t="s">
        <v>72</v>
      </c>
      <c r="AJ617" s="3" t="s">
        <v>82</v>
      </c>
      <c r="AK617" s="3">
        <v>1</v>
      </c>
      <c r="AL617" s="3" t="s">
        <v>83</v>
      </c>
    </row>
    <row r="618" spans="1:38" x14ac:dyDescent="0.3">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v>16307</v>
      </c>
      <c r="S618">
        <v>5594</v>
      </c>
      <c r="T618">
        <v>2</v>
      </c>
      <c r="U618" t="s">
        <v>43</v>
      </c>
      <c r="V618">
        <v>14</v>
      </c>
      <c r="W618">
        <v>3</v>
      </c>
      <c r="X618">
        <v>3</v>
      </c>
      <c r="Y618">
        <v>1</v>
      </c>
      <c r="Z618">
        <v>29</v>
      </c>
      <c r="AA618">
        <v>2</v>
      </c>
      <c r="AB618">
        <v>2</v>
      </c>
      <c r="AC618">
        <v>20</v>
      </c>
      <c r="AD618">
        <v>6</v>
      </c>
      <c r="AE618">
        <v>4</v>
      </c>
      <c r="AF618">
        <v>17</v>
      </c>
      <c r="AG618" t="s">
        <v>65</v>
      </c>
      <c r="AH618">
        <v>0</v>
      </c>
      <c r="AI618" t="s">
        <v>72</v>
      </c>
      <c r="AJ618" s="3" t="s">
        <v>84</v>
      </c>
      <c r="AK618" s="3">
        <v>0</v>
      </c>
      <c r="AL618" s="3" t="s">
        <v>83</v>
      </c>
    </row>
    <row r="619" spans="1:38" x14ac:dyDescent="0.3">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v>5933</v>
      </c>
      <c r="S619">
        <v>5197</v>
      </c>
      <c r="T619">
        <v>9</v>
      </c>
      <c r="U619" t="s">
        <v>43</v>
      </c>
      <c r="V619">
        <v>12</v>
      </c>
      <c r="W619">
        <v>3</v>
      </c>
      <c r="X619">
        <v>4</v>
      </c>
      <c r="Y619">
        <v>0</v>
      </c>
      <c r="Z619">
        <v>10</v>
      </c>
      <c r="AA619">
        <v>2</v>
      </c>
      <c r="AB619">
        <v>2</v>
      </c>
      <c r="AC619">
        <v>5</v>
      </c>
      <c r="AD619">
        <v>2</v>
      </c>
      <c r="AE619">
        <v>2</v>
      </c>
      <c r="AF619">
        <v>3</v>
      </c>
      <c r="AG619" t="s">
        <v>68</v>
      </c>
      <c r="AH619">
        <v>0</v>
      </c>
      <c r="AI619" t="s">
        <v>69</v>
      </c>
      <c r="AJ619" s="3" t="s">
        <v>83</v>
      </c>
      <c r="AK619" s="3">
        <v>1</v>
      </c>
      <c r="AL619" s="3" t="s">
        <v>83</v>
      </c>
    </row>
    <row r="620" spans="1:38" x14ac:dyDescent="0.3">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v>3424</v>
      </c>
      <c r="S620">
        <v>21632</v>
      </c>
      <c r="T620">
        <v>7</v>
      </c>
      <c r="U620" t="s">
        <v>43</v>
      </c>
      <c r="V620">
        <v>13</v>
      </c>
      <c r="W620">
        <v>3</v>
      </c>
      <c r="X620">
        <v>3</v>
      </c>
      <c r="Y620">
        <v>0</v>
      </c>
      <c r="Z620">
        <v>6</v>
      </c>
      <c r="AA620">
        <v>3</v>
      </c>
      <c r="AB620">
        <v>2</v>
      </c>
      <c r="AC620">
        <v>4</v>
      </c>
      <c r="AD620">
        <v>3</v>
      </c>
      <c r="AE620">
        <v>0</v>
      </c>
      <c r="AF620">
        <v>1</v>
      </c>
      <c r="AG620" t="s">
        <v>68</v>
      </c>
      <c r="AH620">
        <v>0</v>
      </c>
      <c r="AI620" t="s">
        <v>70</v>
      </c>
      <c r="AJ620" s="3" t="s">
        <v>83</v>
      </c>
      <c r="AK620" s="3">
        <v>1</v>
      </c>
      <c r="AL620" s="3" t="s">
        <v>83</v>
      </c>
    </row>
    <row r="621" spans="1:38" x14ac:dyDescent="0.3">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v>4037</v>
      </c>
      <c r="S621">
        <v>21816</v>
      </c>
      <c r="T621">
        <v>1</v>
      </c>
      <c r="U621" t="s">
        <v>43</v>
      </c>
      <c r="V621">
        <v>22</v>
      </c>
      <c r="W621">
        <v>4</v>
      </c>
      <c r="X621">
        <v>1</v>
      </c>
      <c r="Y621">
        <v>1</v>
      </c>
      <c r="Z621">
        <v>9</v>
      </c>
      <c r="AA621">
        <v>5</v>
      </c>
      <c r="AB621">
        <v>3</v>
      </c>
      <c r="AC621">
        <v>9</v>
      </c>
      <c r="AD621">
        <v>8</v>
      </c>
      <c r="AE621">
        <v>0</v>
      </c>
      <c r="AF621">
        <v>8</v>
      </c>
      <c r="AG621" t="s">
        <v>65</v>
      </c>
      <c r="AH621">
        <v>0</v>
      </c>
      <c r="AI621" t="s">
        <v>72</v>
      </c>
      <c r="AJ621" s="3" t="s">
        <v>83</v>
      </c>
      <c r="AK621" s="3">
        <v>1</v>
      </c>
      <c r="AL621" s="3" t="s">
        <v>83</v>
      </c>
    </row>
    <row r="622" spans="1:38" x14ac:dyDescent="0.3">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v>2559</v>
      </c>
      <c r="S622">
        <v>17852</v>
      </c>
      <c r="T622">
        <v>1</v>
      </c>
      <c r="U622" t="s">
        <v>43</v>
      </c>
      <c r="V622">
        <v>11</v>
      </c>
      <c r="W622">
        <v>3</v>
      </c>
      <c r="X622">
        <v>4</v>
      </c>
      <c r="Y622">
        <v>0</v>
      </c>
      <c r="Z622">
        <v>6</v>
      </c>
      <c r="AA622">
        <v>3</v>
      </c>
      <c r="AB622">
        <v>2</v>
      </c>
      <c r="AC622">
        <v>6</v>
      </c>
      <c r="AD622">
        <v>5</v>
      </c>
      <c r="AE622">
        <v>1</v>
      </c>
      <c r="AF622">
        <v>1</v>
      </c>
      <c r="AG622" t="s">
        <v>65</v>
      </c>
      <c r="AH622">
        <v>0</v>
      </c>
      <c r="AI622" t="s">
        <v>71</v>
      </c>
      <c r="AJ622" s="3" t="s">
        <v>83</v>
      </c>
      <c r="AK622" s="3">
        <v>1</v>
      </c>
      <c r="AL622" s="3" t="s">
        <v>83</v>
      </c>
    </row>
    <row r="623" spans="1:38" x14ac:dyDescent="0.3">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v>6201</v>
      </c>
      <c r="S623">
        <v>2823</v>
      </c>
      <c r="T623">
        <v>1</v>
      </c>
      <c r="U623" t="s">
        <v>35</v>
      </c>
      <c r="V623">
        <v>14</v>
      </c>
      <c r="W623">
        <v>3</v>
      </c>
      <c r="X623">
        <v>4</v>
      </c>
      <c r="Y623">
        <v>1</v>
      </c>
      <c r="Z623">
        <v>18</v>
      </c>
      <c r="AA623">
        <v>1</v>
      </c>
      <c r="AB623">
        <v>2</v>
      </c>
      <c r="AC623">
        <v>18</v>
      </c>
      <c r="AD623">
        <v>14</v>
      </c>
      <c r="AE623">
        <v>4</v>
      </c>
      <c r="AF623">
        <v>11</v>
      </c>
      <c r="AG623" t="s">
        <v>65</v>
      </c>
      <c r="AH623">
        <v>0</v>
      </c>
      <c r="AI623" t="s">
        <v>71</v>
      </c>
      <c r="AJ623" s="3" t="s">
        <v>82</v>
      </c>
      <c r="AK623" s="3">
        <v>1</v>
      </c>
      <c r="AL623" s="3" t="s">
        <v>83</v>
      </c>
    </row>
    <row r="624" spans="1:38" x14ac:dyDescent="0.3">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v>4403</v>
      </c>
      <c r="S624">
        <v>9250</v>
      </c>
      <c r="T624">
        <v>2</v>
      </c>
      <c r="U624" t="s">
        <v>43</v>
      </c>
      <c r="V624">
        <v>11</v>
      </c>
      <c r="W624">
        <v>3</v>
      </c>
      <c r="X624">
        <v>3</v>
      </c>
      <c r="Y624">
        <v>1</v>
      </c>
      <c r="Z624">
        <v>8</v>
      </c>
      <c r="AA624">
        <v>3</v>
      </c>
      <c r="AB624">
        <v>2</v>
      </c>
      <c r="AC624">
        <v>5</v>
      </c>
      <c r="AD624">
        <v>2</v>
      </c>
      <c r="AE624">
        <v>0</v>
      </c>
      <c r="AF624">
        <v>3</v>
      </c>
      <c r="AG624" t="s">
        <v>68</v>
      </c>
      <c r="AH624">
        <v>0</v>
      </c>
      <c r="AI624" t="s">
        <v>71</v>
      </c>
      <c r="AJ624" s="3" t="s">
        <v>82</v>
      </c>
      <c r="AK624" s="3">
        <v>0</v>
      </c>
      <c r="AL624" s="3" t="s">
        <v>83</v>
      </c>
    </row>
    <row r="625" spans="1:38" x14ac:dyDescent="0.3">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v>3761</v>
      </c>
      <c r="S625">
        <v>2373</v>
      </c>
      <c r="T625">
        <v>9</v>
      </c>
      <c r="U625" t="s">
        <v>43</v>
      </c>
      <c r="V625">
        <v>12</v>
      </c>
      <c r="W625">
        <v>3</v>
      </c>
      <c r="X625">
        <v>2</v>
      </c>
      <c r="Y625">
        <v>1</v>
      </c>
      <c r="Z625">
        <v>10</v>
      </c>
      <c r="AA625">
        <v>3</v>
      </c>
      <c r="AB625">
        <v>2</v>
      </c>
      <c r="AC625">
        <v>5</v>
      </c>
      <c r="AD625">
        <v>4</v>
      </c>
      <c r="AE625">
        <v>0</v>
      </c>
      <c r="AF625">
        <v>3</v>
      </c>
      <c r="AG625" t="s">
        <v>68</v>
      </c>
      <c r="AH625">
        <v>0</v>
      </c>
      <c r="AI625" t="s">
        <v>71</v>
      </c>
      <c r="AJ625" s="3" t="s">
        <v>82</v>
      </c>
      <c r="AK625" s="3">
        <v>0</v>
      </c>
      <c r="AL625" s="3" t="s">
        <v>83</v>
      </c>
    </row>
    <row r="626" spans="1:38" x14ac:dyDescent="0.3">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v>10934</v>
      </c>
      <c r="S626">
        <v>20715</v>
      </c>
      <c r="T626">
        <v>7</v>
      </c>
      <c r="U626" t="s">
        <v>35</v>
      </c>
      <c r="V626">
        <v>18</v>
      </c>
      <c r="W626">
        <v>3</v>
      </c>
      <c r="X626">
        <v>4</v>
      </c>
      <c r="Y626">
        <v>1</v>
      </c>
      <c r="Z626">
        <v>35</v>
      </c>
      <c r="AA626">
        <v>3</v>
      </c>
      <c r="AB626">
        <v>3</v>
      </c>
      <c r="AC626">
        <v>5</v>
      </c>
      <c r="AD626">
        <v>2</v>
      </c>
      <c r="AE626">
        <v>0</v>
      </c>
      <c r="AF626">
        <v>4</v>
      </c>
      <c r="AG626" t="s">
        <v>68</v>
      </c>
      <c r="AH626">
        <v>0</v>
      </c>
      <c r="AI626" t="s">
        <v>71</v>
      </c>
      <c r="AJ626" s="3" t="s">
        <v>82</v>
      </c>
      <c r="AK626" s="3">
        <v>1</v>
      </c>
      <c r="AL626" s="3" t="s">
        <v>83</v>
      </c>
    </row>
    <row r="627" spans="1:38" x14ac:dyDescent="0.3">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v>10761</v>
      </c>
      <c r="S627">
        <v>19239</v>
      </c>
      <c r="T627">
        <v>4</v>
      </c>
      <c r="U627" t="s">
        <v>35</v>
      </c>
      <c r="V627">
        <v>12</v>
      </c>
      <c r="W627">
        <v>3</v>
      </c>
      <c r="X627">
        <v>3</v>
      </c>
      <c r="Y627">
        <v>1</v>
      </c>
      <c r="Z627">
        <v>18</v>
      </c>
      <c r="AA627">
        <v>2</v>
      </c>
      <c r="AB627">
        <v>3</v>
      </c>
      <c r="AC627">
        <v>5</v>
      </c>
      <c r="AD627">
        <v>4</v>
      </c>
      <c r="AE627">
        <v>0</v>
      </c>
      <c r="AF627">
        <v>2</v>
      </c>
      <c r="AG627" t="s">
        <v>68</v>
      </c>
      <c r="AH627">
        <v>0</v>
      </c>
      <c r="AI627" t="s">
        <v>69</v>
      </c>
      <c r="AJ627" s="3" t="s">
        <v>83</v>
      </c>
      <c r="AK627" s="3">
        <v>2</v>
      </c>
      <c r="AL627" s="3" t="s">
        <v>84</v>
      </c>
    </row>
    <row r="628" spans="1:38" x14ac:dyDescent="0.3">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v>5175</v>
      </c>
      <c r="S628">
        <v>22162</v>
      </c>
      <c r="T628">
        <v>5</v>
      </c>
      <c r="U628" t="s">
        <v>43</v>
      </c>
      <c r="V628">
        <v>12</v>
      </c>
      <c r="W628">
        <v>3</v>
      </c>
      <c r="X628">
        <v>3</v>
      </c>
      <c r="Y628">
        <v>1</v>
      </c>
      <c r="Z628">
        <v>9</v>
      </c>
      <c r="AA628">
        <v>3</v>
      </c>
      <c r="AB628">
        <v>2</v>
      </c>
      <c r="AC628">
        <v>5</v>
      </c>
      <c r="AD628">
        <v>3</v>
      </c>
      <c r="AE628">
        <v>1</v>
      </c>
      <c r="AF628">
        <v>3</v>
      </c>
      <c r="AG628" t="s">
        <v>68</v>
      </c>
      <c r="AH628">
        <v>0</v>
      </c>
      <c r="AI628" t="s">
        <v>70</v>
      </c>
      <c r="AJ628" s="3" t="s">
        <v>84</v>
      </c>
      <c r="AK628" s="3">
        <v>0</v>
      </c>
      <c r="AL628" s="3" t="s">
        <v>83</v>
      </c>
    </row>
    <row r="629" spans="1:38" x14ac:dyDescent="0.3">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v>13826</v>
      </c>
      <c r="S629">
        <v>19028</v>
      </c>
      <c r="T629">
        <v>3</v>
      </c>
      <c r="U629" t="s">
        <v>43</v>
      </c>
      <c r="V629">
        <v>22</v>
      </c>
      <c r="W629">
        <v>4</v>
      </c>
      <c r="X629">
        <v>3</v>
      </c>
      <c r="Y629">
        <v>0</v>
      </c>
      <c r="Z629">
        <v>31</v>
      </c>
      <c r="AA629">
        <v>3</v>
      </c>
      <c r="AB629">
        <v>3</v>
      </c>
      <c r="AC629">
        <v>9</v>
      </c>
      <c r="AD629">
        <v>8</v>
      </c>
      <c r="AE629">
        <v>0</v>
      </c>
      <c r="AF629">
        <v>0</v>
      </c>
      <c r="AG629" t="s">
        <v>65</v>
      </c>
      <c r="AH629">
        <v>0</v>
      </c>
      <c r="AI629" t="s">
        <v>71</v>
      </c>
      <c r="AJ629" s="3" t="s">
        <v>82</v>
      </c>
      <c r="AK629" s="3">
        <v>0</v>
      </c>
      <c r="AL629" s="3" t="s">
        <v>83</v>
      </c>
    </row>
    <row r="630" spans="1:38" x14ac:dyDescent="0.3">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v>6334</v>
      </c>
      <c r="S630">
        <v>24558</v>
      </c>
      <c r="T630">
        <v>4</v>
      </c>
      <c r="U630" t="s">
        <v>43</v>
      </c>
      <c r="V630">
        <v>19</v>
      </c>
      <c r="W630">
        <v>3</v>
      </c>
      <c r="X630">
        <v>4</v>
      </c>
      <c r="Y630">
        <v>2</v>
      </c>
      <c r="Z630">
        <v>9</v>
      </c>
      <c r="AA630">
        <v>2</v>
      </c>
      <c r="AB630">
        <v>3</v>
      </c>
      <c r="AC630">
        <v>1</v>
      </c>
      <c r="AD630">
        <v>0</v>
      </c>
      <c r="AE630">
        <v>0</v>
      </c>
      <c r="AF630">
        <v>0</v>
      </c>
      <c r="AG630" t="s">
        <v>67</v>
      </c>
      <c r="AH630">
        <v>0</v>
      </c>
      <c r="AI630" t="s">
        <v>69</v>
      </c>
      <c r="AJ630" s="3" t="s">
        <v>84</v>
      </c>
      <c r="AK630" s="3">
        <v>1</v>
      </c>
      <c r="AL630" s="3" t="s">
        <v>83</v>
      </c>
    </row>
    <row r="631" spans="1:38" x14ac:dyDescent="0.3">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v>4936</v>
      </c>
      <c r="S631">
        <v>23965</v>
      </c>
      <c r="T631">
        <v>1</v>
      </c>
      <c r="U631" t="s">
        <v>43</v>
      </c>
      <c r="V631">
        <v>13</v>
      </c>
      <c r="W631">
        <v>3</v>
      </c>
      <c r="X631">
        <v>4</v>
      </c>
      <c r="Y631">
        <v>1</v>
      </c>
      <c r="Z631">
        <v>6</v>
      </c>
      <c r="AA631">
        <v>6</v>
      </c>
      <c r="AB631">
        <v>3</v>
      </c>
      <c r="AC631">
        <v>5</v>
      </c>
      <c r="AD631">
        <v>1</v>
      </c>
      <c r="AE631">
        <v>0</v>
      </c>
      <c r="AF631">
        <v>4</v>
      </c>
      <c r="AG631" t="s">
        <v>68</v>
      </c>
      <c r="AH631">
        <v>0</v>
      </c>
      <c r="AI631" t="s">
        <v>71</v>
      </c>
      <c r="AJ631" s="3" t="s">
        <v>82</v>
      </c>
      <c r="AK631" s="3">
        <v>0</v>
      </c>
      <c r="AL631" s="3" t="s">
        <v>83</v>
      </c>
    </row>
    <row r="632" spans="1:38" x14ac:dyDescent="0.3">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v>4775</v>
      </c>
      <c r="S632">
        <v>19146</v>
      </c>
      <c r="T632">
        <v>6</v>
      </c>
      <c r="U632" t="s">
        <v>43</v>
      </c>
      <c r="V632">
        <v>22</v>
      </c>
      <c r="W632">
        <v>4</v>
      </c>
      <c r="X632">
        <v>1</v>
      </c>
      <c r="Y632">
        <v>2</v>
      </c>
      <c r="Z632">
        <v>4</v>
      </c>
      <c r="AA632">
        <v>2</v>
      </c>
      <c r="AB632">
        <v>1</v>
      </c>
      <c r="AC632">
        <v>2</v>
      </c>
      <c r="AD632">
        <v>2</v>
      </c>
      <c r="AE632">
        <v>2</v>
      </c>
      <c r="AF632">
        <v>2</v>
      </c>
      <c r="AG632" t="s">
        <v>67</v>
      </c>
      <c r="AH632">
        <v>0</v>
      </c>
      <c r="AI632" t="s">
        <v>72</v>
      </c>
      <c r="AJ632" s="3" t="s">
        <v>82</v>
      </c>
      <c r="AK632" s="3">
        <v>1</v>
      </c>
      <c r="AL632" s="3" t="s">
        <v>83</v>
      </c>
    </row>
    <row r="633" spans="1:38" x14ac:dyDescent="0.3">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v>2818</v>
      </c>
      <c r="S633">
        <v>5044</v>
      </c>
      <c r="T633">
        <v>2</v>
      </c>
      <c r="U633" t="s">
        <v>35</v>
      </c>
      <c r="V633">
        <v>24</v>
      </c>
      <c r="W633">
        <v>4</v>
      </c>
      <c r="X633">
        <v>3</v>
      </c>
      <c r="Y633">
        <v>1</v>
      </c>
      <c r="Z633">
        <v>10</v>
      </c>
      <c r="AA633">
        <v>2</v>
      </c>
      <c r="AB633">
        <v>2</v>
      </c>
      <c r="AC633">
        <v>3</v>
      </c>
      <c r="AD633">
        <v>2</v>
      </c>
      <c r="AE633">
        <v>0</v>
      </c>
      <c r="AF633">
        <v>2</v>
      </c>
      <c r="AG633" t="s">
        <v>67</v>
      </c>
      <c r="AH633">
        <v>0</v>
      </c>
      <c r="AI633" t="s">
        <v>72</v>
      </c>
      <c r="AJ633" s="3" t="s">
        <v>82</v>
      </c>
      <c r="AK633" s="3">
        <v>2</v>
      </c>
      <c r="AL633" s="3" t="s">
        <v>84</v>
      </c>
    </row>
    <row r="634" spans="1:38" x14ac:dyDescent="0.3">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v>2515</v>
      </c>
      <c r="S634">
        <v>9068</v>
      </c>
      <c r="T634">
        <v>5</v>
      </c>
      <c r="U634" t="s">
        <v>35</v>
      </c>
      <c r="V634">
        <v>14</v>
      </c>
      <c r="W634">
        <v>3</v>
      </c>
      <c r="X634">
        <v>4</v>
      </c>
      <c r="Y634">
        <v>0</v>
      </c>
      <c r="Z634">
        <v>8</v>
      </c>
      <c r="AA634">
        <v>2</v>
      </c>
      <c r="AB634">
        <v>3</v>
      </c>
      <c r="AC634">
        <v>2</v>
      </c>
      <c r="AD634">
        <v>1</v>
      </c>
      <c r="AE634">
        <v>2</v>
      </c>
      <c r="AF634">
        <v>2</v>
      </c>
      <c r="AG634" t="s">
        <v>67</v>
      </c>
      <c r="AH634">
        <v>0</v>
      </c>
      <c r="AI634" t="s">
        <v>70</v>
      </c>
      <c r="AJ634" s="3" t="s">
        <v>82</v>
      </c>
      <c r="AK634" s="3">
        <v>2</v>
      </c>
      <c r="AL634" s="3" t="s">
        <v>84</v>
      </c>
    </row>
    <row r="635" spans="1:38" x14ac:dyDescent="0.3">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v>2342</v>
      </c>
      <c r="S635">
        <v>8635</v>
      </c>
      <c r="T635">
        <v>0</v>
      </c>
      <c r="U635" t="s">
        <v>43</v>
      </c>
      <c r="V635">
        <v>21</v>
      </c>
      <c r="W635">
        <v>4</v>
      </c>
      <c r="X635">
        <v>3</v>
      </c>
      <c r="Y635">
        <v>0</v>
      </c>
      <c r="Z635">
        <v>6</v>
      </c>
      <c r="AA635">
        <v>3</v>
      </c>
      <c r="AB635">
        <v>3</v>
      </c>
      <c r="AC635">
        <v>5</v>
      </c>
      <c r="AD635">
        <v>4</v>
      </c>
      <c r="AE635">
        <v>0</v>
      </c>
      <c r="AF635">
        <v>3</v>
      </c>
      <c r="AG635" t="s">
        <v>68</v>
      </c>
      <c r="AH635">
        <v>0</v>
      </c>
      <c r="AI635" t="s">
        <v>70</v>
      </c>
      <c r="AJ635" s="3" t="s">
        <v>83</v>
      </c>
      <c r="AK635" s="3">
        <v>1</v>
      </c>
      <c r="AL635" s="3" t="s">
        <v>83</v>
      </c>
    </row>
    <row r="636" spans="1:38" x14ac:dyDescent="0.3">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v>4194</v>
      </c>
      <c r="S636">
        <v>14363</v>
      </c>
      <c r="T636">
        <v>1</v>
      </c>
      <c r="U636" t="s">
        <v>35</v>
      </c>
      <c r="V636">
        <v>18</v>
      </c>
      <c r="W636">
        <v>3</v>
      </c>
      <c r="X636">
        <v>4</v>
      </c>
      <c r="Y636">
        <v>0</v>
      </c>
      <c r="Z636">
        <v>5</v>
      </c>
      <c r="AA636">
        <v>3</v>
      </c>
      <c r="AB636">
        <v>3</v>
      </c>
      <c r="AC636">
        <v>5</v>
      </c>
      <c r="AD636">
        <v>3</v>
      </c>
      <c r="AE636">
        <v>0</v>
      </c>
      <c r="AF636">
        <v>3</v>
      </c>
      <c r="AG636" t="s">
        <v>68</v>
      </c>
      <c r="AH636">
        <v>0</v>
      </c>
      <c r="AI636" t="s">
        <v>71</v>
      </c>
      <c r="AJ636" s="3" t="s">
        <v>83</v>
      </c>
      <c r="AK636" s="3">
        <v>2</v>
      </c>
      <c r="AL636" s="3" t="s">
        <v>84</v>
      </c>
    </row>
    <row r="637" spans="1:38" x14ac:dyDescent="0.3">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v>10685</v>
      </c>
      <c r="S637">
        <v>23457</v>
      </c>
      <c r="T637">
        <v>1</v>
      </c>
      <c r="U637" t="s">
        <v>35</v>
      </c>
      <c r="V637">
        <v>20</v>
      </c>
      <c r="W637">
        <v>4</v>
      </c>
      <c r="X637">
        <v>2</v>
      </c>
      <c r="Y637">
        <v>1</v>
      </c>
      <c r="Z637">
        <v>17</v>
      </c>
      <c r="AA637">
        <v>2</v>
      </c>
      <c r="AB637">
        <v>3</v>
      </c>
      <c r="AC637">
        <v>17</v>
      </c>
      <c r="AD637">
        <v>14</v>
      </c>
      <c r="AE637">
        <v>5</v>
      </c>
      <c r="AF637">
        <v>15</v>
      </c>
      <c r="AG637" t="s">
        <v>65</v>
      </c>
      <c r="AH637">
        <v>0</v>
      </c>
      <c r="AI637" t="s">
        <v>72</v>
      </c>
      <c r="AJ637" s="3" t="s">
        <v>84</v>
      </c>
      <c r="AK637" s="3">
        <v>1</v>
      </c>
      <c r="AL637" s="3" t="s">
        <v>83</v>
      </c>
    </row>
    <row r="638" spans="1:38" x14ac:dyDescent="0.3">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v>2022</v>
      </c>
      <c r="S638">
        <v>16612</v>
      </c>
      <c r="T638">
        <v>1</v>
      </c>
      <c r="U638" t="s">
        <v>35</v>
      </c>
      <c r="V638">
        <v>19</v>
      </c>
      <c r="W638">
        <v>3</v>
      </c>
      <c r="X638">
        <v>1</v>
      </c>
      <c r="Y638">
        <v>1</v>
      </c>
      <c r="Z638">
        <v>10</v>
      </c>
      <c r="AA638">
        <v>3</v>
      </c>
      <c r="AB638">
        <v>2</v>
      </c>
      <c r="AC638">
        <v>10</v>
      </c>
      <c r="AD638">
        <v>2</v>
      </c>
      <c r="AE638">
        <v>7</v>
      </c>
      <c r="AF638">
        <v>8</v>
      </c>
      <c r="AG638" t="s">
        <v>65</v>
      </c>
      <c r="AH638">
        <v>1</v>
      </c>
      <c r="AI638" t="s">
        <v>71</v>
      </c>
      <c r="AJ638" s="3" t="s">
        <v>83</v>
      </c>
      <c r="AK638" s="3">
        <v>2</v>
      </c>
      <c r="AL638" s="3" t="s">
        <v>84</v>
      </c>
    </row>
    <row r="639" spans="1:38" x14ac:dyDescent="0.3">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v>2314</v>
      </c>
      <c r="S639">
        <v>9148</v>
      </c>
      <c r="T639">
        <v>0</v>
      </c>
      <c r="U639" t="s">
        <v>43</v>
      </c>
      <c r="V639">
        <v>12</v>
      </c>
      <c r="W639">
        <v>3</v>
      </c>
      <c r="X639">
        <v>2</v>
      </c>
      <c r="Y639">
        <v>1</v>
      </c>
      <c r="Z639">
        <v>4</v>
      </c>
      <c r="AA639">
        <v>2</v>
      </c>
      <c r="AB639">
        <v>3</v>
      </c>
      <c r="AC639">
        <v>3</v>
      </c>
      <c r="AD639">
        <v>0</v>
      </c>
      <c r="AE639">
        <v>0</v>
      </c>
      <c r="AF639">
        <v>2</v>
      </c>
      <c r="AG639" t="s">
        <v>67</v>
      </c>
      <c r="AH639">
        <v>0</v>
      </c>
      <c r="AI639" t="s">
        <v>71</v>
      </c>
      <c r="AJ639" s="3" t="s">
        <v>82</v>
      </c>
      <c r="AK639" s="3">
        <v>1</v>
      </c>
      <c r="AL639" s="3" t="s">
        <v>83</v>
      </c>
    </row>
    <row r="640" spans="1:38" x14ac:dyDescent="0.3">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v>4256</v>
      </c>
      <c r="S640">
        <v>18154</v>
      </c>
      <c r="T640">
        <v>1</v>
      </c>
      <c r="U640" t="s">
        <v>43</v>
      </c>
      <c r="V640">
        <v>12</v>
      </c>
      <c r="W640">
        <v>3</v>
      </c>
      <c r="X640">
        <v>1</v>
      </c>
      <c r="Y640">
        <v>0</v>
      </c>
      <c r="Z640">
        <v>5</v>
      </c>
      <c r="AA640">
        <v>1</v>
      </c>
      <c r="AB640">
        <v>4</v>
      </c>
      <c r="AC640">
        <v>5</v>
      </c>
      <c r="AD640">
        <v>2</v>
      </c>
      <c r="AE640">
        <v>0</v>
      </c>
      <c r="AF640">
        <v>3</v>
      </c>
      <c r="AG640" t="s">
        <v>68</v>
      </c>
      <c r="AH640">
        <v>0</v>
      </c>
      <c r="AI640" t="s">
        <v>71</v>
      </c>
      <c r="AJ640" s="3" t="s">
        <v>83</v>
      </c>
      <c r="AK640" s="3">
        <v>1</v>
      </c>
      <c r="AL640" s="3" t="s">
        <v>83</v>
      </c>
    </row>
    <row r="641" spans="1:38" x14ac:dyDescent="0.3">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v>3580</v>
      </c>
      <c r="S641">
        <v>10554</v>
      </c>
      <c r="T641">
        <v>2</v>
      </c>
      <c r="U641" t="s">
        <v>43</v>
      </c>
      <c r="V641">
        <v>16</v>
      </c>
      <c r="W641">
        <v>3</v>
      </c>
      <c r="X641">
        <v>2</v>
      </c>
      <c r="Y641">
        <v>1</v>
      </c>
      <c r="Z641">
        <v>7</v>
      </c>
      <c r="AA641">
        <v>2</v>
      </c>
      <c r="AB641">
        <v>3</v>
      </c>
      <c r="AC641">
        <v>4</v>
      </c>
      <c r="AD641">
        <v>2</v>
      </c>
      <c r="AE641">
        <v>0</v>
      </c>
      <c r="AF641">
        <v>2</v>
      </c>
      <c r="AG641" t="s">
        <v>68</v>
      </c>
      <c r="AH641">
        <v>0</v>
      </c>
      <c r="AI641" t="s">
        <v>72</v>
      </c>
      <c r="AJ641" s="3" t="s">
        <v>83</v>
      </c>
      <c r="AK641" s="3">
        <v>1</v>
      </c>
      <c r="AL641" s="3" t="s">
        <v>83</v>
      </c>
    </row>
    <row r="642" spans="1:38" x14ac:dyDescent="0.3">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v>3162</v>
      </c>
      <c r="S642">
        <v>10778</v>
      </c>
      <c r="T642">
        <v>0</v>
      </c>
      <c r="U642" t="s">
        <v>43</v>
      </c>
      <c r="V642">
        <v>17</v>
      </c>
      <c r="W642">
        <v>3</v>
      </c>
      <c r="X642">
        <v>4</v>
      </c>
      <c r="Y642">
        <v>0</v>
      </c>
      <c r="Z642">
        <v>6</v>
      </c>
      <c r="AA642">
        <v>2</v>
      </c>
      <c r="AB642">
        <v>2</v>
      </c>
      <c r="AC642">
        <v>5</v>
      </c>
      <c r="AD642">
        <v>2</v>
      </c>
      <c r="AE642">
        <v>3</v>
      </c>
      <c r="AF642">
        <v>4</v>
      </c>
      <c r="AG642" t="s">
        <v>68</v>
      </c>
      <c r="AH642">
        <v>0</v>
      </c>
      <c r="AI642" t="s">
        <v>70</v>
      </c>
      <c r="AJ642" s="3" t="s">
        <v>82</v>
      </c>
      <c r="AK642" s="3">
        <v>0</v>
      </c>
      <c r="AL642" s="3" t="s">
        <v>83</v>
      </c>
    </row>
    <row r="643" spans="1:38" x14ac:dyDescent="0.3">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v>6524</v>
      </c>
      <c r="S643">
        <v>8891</v>
      </c>
      <c r="T643">
        <v>1</v>
      </c>
      <c r="U643" t="s">
        <v>43</v>
      </c>
      <c r="V643">
        <v>14</v>
      </c>
      <c r="W643">
        <v>3</v>
      </c>
      <c r="X643">
        <v>4</v>
      </c>
      <c r="Y643">
        <v>1</v>
      </c>
      <c r="Z643">
        <v>10</v>
      </c>
      <c r="AA643">
        <v>3</v>
      </c>
      <c r="AB643">
        <v>3</v>
      </c>
      <c r="AC643">
        <v>10</v>
      </c>
      <c r="AD643">
        <v>8</v>
      </c>
      <c r="AE643">
        <v>5</v>
      </c>
      <c r="AF643">
        <v>3</v>
      </c>
      <c r="AG643" t="s">
        <v>65</v>
      </c>
      <c r="AH643">
        <v>0</v>
      </c>
      <c r="AI643" t="s">
        <v>72</v>
      </c>
      <c r="AJ643" s="3" t="s">
        <v>83</v>
      </c>
      <c r="AK643" s="3">
        <v>1</v>
      </c>
      <c r="AL643" s="3" t="s">
        <v>83</v>
      </c>
    </row>
    <row r="644" spans="1:38" x14ac:dyDescent="0.3">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v>2899</v>
      </c>
      <c r="S644">
        <v>12102</v>
      </c>
      <c r="T644">
        <v>0</v>
      </c>
      <c r="U644" t="s">
        <v>43</v>
      </c>
      <c r="V644">
        <v>19</v>
      </c>
      <c r="W644">
        <v>3</v>
      </c>
      <c r="X644">
        <v>4</v>
      </c>
      <c r="Y644">
        <v>1</v>
      </c>
      <c r="Z644">
        <v>3</v>
      </c>
      <c r="AA644">
        <v>3</v>
      </c>
      <c r="AB644">
        <v>3</v>
      </c>
      <c r="AC644">
        <v>2</v>
      </c>
      <c r="AD644">
        <v>2</v>
      </c>
      <c r="AE644">
        <v>1</v>
      </c>
      <c r="AF644">
        <v>2</v>
      </c>
      <c r="AG644" t="s">
        <v>67</v>
      </c>
      <c r="AH644">
        <v>0</v>
      </c>
      <c r="AI644" t="s">
        <v>71</v>
      </c>
      <c r="AJ644" s="3" t="s">
        <v>83</v>
      </c>
      <c r="AK644" s="3">
        <v>2</v>
      </c>
      <c r="AL644" s="3" t="s">
        <v>84</v>
      </c>
    </row>
    <row r="645" spans="1:38" x14ac:dyDescent="0.3">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v>5231</v>
      </c>
      <c r="S645">
        <v>23726</v>
      </c>
      <c r="T645">
        <v>2</v>
      </c>
      <c r="U645" t="s">
        <v>35</v>
      </c>
      <c r="V645">
        <v>13</v>
      </c>
      <c r="W645">
        <v>3</v>
      </c>
      <c r="X645">
        <v>2</v>
      </c>
      <c r="Y645">
        <v>1</v>
      </c>
      <c r="Z645">
        <v>17</v>
      </c>
      <c r="AA645">
        <v>1</v>
      </c>
      <c r="AB645">
        <v>2</v>
      </c>
      <c r="AC645">
        <v>5</v>
      </c>
      <c r="AD645">
        <v>3</v>
      </c>
      <c r="AE645">
        <v>1</v>
      </c>
      <c r="AF645">
        <v>3</v>
      </c>
      <c r="AG645" t="s">
        <v>68</v>
      </c>
      <c r="AH645">
        <v>0</v>
      </c>
      <c r="AI645" t="s">
        <v>71</v>
      </c>
      <c r="AJ645" s="3" t="s">
        <v>82</v>
      </c>
      <c r="AK645" s="3">
        <v>1</v>
      </c>
      <c r="AL645" s="3" t="s">
        <v>83</v>
      </c>
    </row>
    <row r="646" spans="1:38" x14ac:dyDescent="0.3">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v>2356</v>
      </c>
      <c r="S646">
        <v>14871</v>
      </c>
      <c r="T646">
        <v>3</v>
      </c>
      <c r="U646" t="s">
        <v>35</v>
      </c>
      <c r="V646">
        <v>19</v>
      </c>
      <c r="W646">
        <v>3</v>
      </c>
      <c r="X646">
        <v>2</v>
      </c>
      <c r="Y646">
        <v>1</v>
      </c>
      <c r="Z646">
        <v>8</v>
      </c>
      <c r="AA646">
        <v>2</v>
      </c>
      <c r="AB646">
        <v>3</v>
      </c>
      <c r="AC646">
        <v>6</v>
      </c>
      <c r="AD646">
        <v>4</v>
      </c>
      <c r="AE646">
        <v>0</v>
      </c>
      <c r="AF646">
        <v>2</v>
      </c>
      <c r="AG646" t="s">
        <v>65</v>
      </c>
      <c r="AH646">
        <v>0</v>
      </c>
      <c r="AI646" t="s">
        <v>70</v>
      </c>
      <c r="AJ646" s="3" t="s">
        <v>82</v>
      </c>
      <c r="AK646" s="3">
        <v>1</v>
      </c>
      <c r="AL646" s="3" t="s">
        <v>83</v>
      </c>
    </row>
    <row r="647" spans="1:38" x14ac:dyDescent="0.3">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v>2800</v>
      </c>
      <c r="S647">
        <v>23522</v>
      </c>
      <c r="T647">
        <v>6</v>
      </c>
      <c r="U647" t="s">
        <v>35</v>
      </c>
      <c r="V647">
        <v>19</v>
      </c>
      <c r="W647">
        <v>3</v>
      </c>
      <c r="X647">
        <v>3</v>
      </c>
      <c r="Y647">
        <v>3</v>
      </c>
      <c r="Z647">
        <v>5</v>
      </c>
      <c r="AA647">
        <v>3</v>
      </c>
      <c r="AB647">
        <v>3</v>
      </c>
      <c r="AC647">
        <v>3</v>
      </c>
      <c r="AD647">
        <v>2</v>
      </c>
      <c r="AE647">
        <v>0</v>
      </c>
      <c r="AF647">
        <v>2</v>
      </c>
      <c r="AG647" t="s">
        <v>67</v>
      </c>
      <c r="AH647">
        <v>1</v>
      </c>
      <c r="AI647" t="s">
        <v>71</v>
      </c>
      <c r="AJ647" s="3" t="s">
        <v>84</v>
      </c>
      <c r="AK647" s="3">
        <v>2</v>
      </c>
      <c r="AL647" s="3" t="s">
        <v>84</v>
      </c>
    </row>
    <row r="648" spans="1:38" x14ac:dyDescent="0.3">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v>11836</v>
      </c>
      <c r="S648">
        <v>22789</v>
      </c>
      <c r="T648">
        <v>5</v>
      </c>
      <c r="U648" t="s">
        <v>43</v>
      </c>
      <c r="V648">
        <v>14</v>
      </c>
      <c r="W648">
        <v>3</v>
      </c>
      <c r="X648">
        <v>3</v>
      </c>
      <c r="Y648">
        <v>1</v>
      </c>
      <c r="Z648">
        <v>28</v>
      </c>
      <c r="AA648">
        <v>3</v>
      </c>
      <c r="AB648">
        <v>3</v>
      </c>
      <c r="AC648">
        <v>2</v>
      </c>
      <c r="AD648">
        <v>0</v>
      </c>
      <c r="AE648">
        <v>2</v>
      </c>
      <c r="AF648">
        <v>2</v>
      </c>
      <c r="AG648" t="s">
        <v>67</v>
      </c>
      <c r="AH648">
        <v>0</v>
      </c>
      <c r="AI648" t="s">
        <v>72</v>
      </c>
      <c r="AJ648" s="3" t="s">
        <v>82</v>
      </c>
      <c r="AK648" s="3">
        <v>1</v>
      </c>
      <c r="AL648" s="3" t="s">
        <v>83</v>
      </c>
    </row>
    <row r="649" spans="1:38" x14ac:dyDescent="0.3">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v>10903</v>
      </c>
      <c r="S649">
        <v>9129</v>
      </c>
      <c r="T649">
        <v>3</v>
      </c>
      <c r="U649" t="s">
        <v>43</v>
      </c>
      <c r="V649">
        <v>16</v>
      </c>
      <c r="W649">
        <v>3</v>
      </c>
      <c r="X649">
        <v>1</v>
      </c>
      <c r="Y649">
        <v>0</v>
      </c>
      <c r="Z649">
        <v>16</v>
      </c>
      <c r="AA649">
        <v>2</v>
      </c>
      <c r="AB649">
        <v>3</v>
      </c>
      <c r="AC649">
        <v>13</v>
      </c>
      <c r="AD649">
        <v>10</v>
      </c>
      <c r="AE649">
        <v>4</v>
      </c>
      <c r="AF649">
        <v>8</v>
      </c>
      <c r="AG649" t="s">
        <v>65</v>
      </c>
      <c r="AH649">
        <v>0</v>
      </c>
      <c r="AI649" t="s">
        <v>69</v>
      </c>
      <c r="AJ649" s="3" t="s">
        <v>83</v>
      </c>
      <c r="AK649" s="3">
        <v>1</v>
      </c>
      <c r="AL649" s="3" t="s">
        <v>83</v>
      </c>
    </row>
    <row r="650" spans="1:38" x14ac:dyDescent="0.3">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v>2973</v>
      </c>
      <c r="S650">
        <v>21222</v>
      </c>
      <c r="T650">
        <v>5</v>
      </c>
      <c r="U650" t="s">
        <v>43</v>
      </c>
      <c r="V650">
        <v>15</v>
      </c>
      <c r="W650">
        <v>3</v>
      </c>
      <c r="X650">
        <v>2</v>
      </c>
      <c r="Y650">
        <v>1</v>
      </c>
      <c r="Z650">
        <v>10</v>
      </c>
      <c r="AA650">
        <v>3</v>
      </c>
      <c r="AB650">
        <v>3</v>
      </c>
      <c r="AC650">
        <v>5</v>
      </c>
      <c r="AD650">
        <v>4</v>
      </c>
      <c r="AE650">
        <v>0</v>
      </c>
      <c r="AF650">
        <v>0</v>
      </c>
      <c r="AG650" t="s">
        <v>68</v>
      </c>
      <c r="AH650">
        <v>0</v>
      </c>
      <c r="AI650" t="s">
        <v>71</v>
      </c>
      <c r="AJ650" s="3" t="s">
        <v>82</v>
      </c>
      <c r="AK650" s="3">
        <v>0</v>
      </c>
      <c r="AL650" s="3" t="s">
        <v>83</v>
      </c>
    </row>
    <row r="651" spans="1:38" x14ac:dyDescent="0.3">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v>14275</v>
      </c>
      <c r="S651">
        <v>20206</v>
      </c>
      <c r="T651">
        <v>6</v>
      </c>
      <c r="U651" t="s">
        <v>43</v>
      </c>
      <c r="V651">
        <v>18</v>
      </c>
      <c r="W651">
        <v>3</v>
      </c>
      <c r="X651">
        <v>3</v>
      </c>
      <c r="Y651">
        <v>0</v>
      </c>
      <c r="Z651">
        <v>33</v>
      </c>
      <c r="AA651">
        <v>0</v>
      </c>
      <c r="AB651">
        <v>3</v>
      </c>
      <c r="AC651">
        <v>12</v>
      </c>
      <c r="AD651">
        <v>9</v>
      </c>
      <c r="AE651">
        <v>3</v>
      </c>
      <c r="AF651">
        <v>8</v>
      </c>
      <c r="AG651" t="s">
        <v>65</v>
      </c>
      <c r="AH651">
        <v>0</v>
      </c>
      <c r="AI651" t="s">
        <v>71</v>
      </c>
      <c r="AJ651" s="3" t="s">
        <v>82</v>
      </c>
      <c r="AK651" s="3">
        <v>0</v>
      </c>
      <c r="AL651" s="3" t="s">
        <v>83</v>
      </c>
    </row>
    <row r="652" spans="1:38" x14ac:dyDescent="0.3">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v>5562</v>
      </c>
      <c r="S652">
        <v>21782</v>
      </c>
      <c r="T652">
        <v>4</v>
      </c>
      <c r="U652" t="s">
        <v>43</v>
      </c>
      <c r="V652">
        <v>13</v>
      </c>
      <c r="W652">
        <v>3</v>
      </c>
      <c r="X652">
        <v>2</v>
      </c>
      <c r="Y652">
        <v>1</v>
      </c>
      <c r="Z652">
        <v>12</v>
      </c>
      <c r="AA652">
        <v>2</v>
      </c>
      <c r="AB652">
        <v>2</v>
      </c>
      <c r="AC652">
        <v>5</v>
      </c>
      <c r="AD652">
        <v>2</v>
      </c>
      <c r="AE652">
        <v>2</v>
      </c>
      <c r="AF652">
        <v>2</v>
      </c>
      <c r="AG652" t="s">
        <v>68</v>
      </c>
      <c r="AH652">
        <v>0</v>
      </c>
      <c r="AI652" t="s">
        <v>69</v>
      </c>
      <c r="AJ652" s="3" t="s">
        <v>82</v>
      </c>
      <c r="AK652" s="3">
        <v>0</v>
      </c>
      <c r="AL652" s="3" t="s">
        <v>83</v>
      </c>
    </row>
    <row r="653" spans="1:38" x14ac:dyDescent="0.3">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v>4537</v>
      </c>
      <c r="S653">
        <v>17783</v>
      </c>
      <c r="T653">
        <v>0</v>
      </c>
      <c r="U653" t="s">
        <v>35</v>
      </c>
      <c r="V653">
        <v>22</v>
      </c>
      <c r="W653">
        <v>4</v>
      </c>
      <c r="X653">
        <v>1</v>
      </c>
      <c r="Y653">
        <v>1</v>
      </c>
      <c r="Z653">
        <v>8</v>
      </c>
      <c r="AA653">
        <v>2</v>
      </c>
      <c r="AB653">
        <v>3</v>
      </c>
      <c r="AC653">
        <v>7</v>
      </c>
      <c r="AD653">
        <v>6</v>
      </c>
      <c r="AE653">
        <v>7</v>
      </c>
      <c r="AF653">
        <v>7</v>
      </c>
      <c r="AG653" t="s">
        <v>65</v>
      </c>
      <c r="AH653">
        <v>0</v>
      </c>
      <c r="AI653" t="s">
        <v>70</v>
      </c>
      <c r="AJ653" s="3" t="s">
        <v>82</v>
      </c>
      <c r="AK653" s="3">
        <v>1</v>
      </c>
      <c r="AL653" s="3" t="s">
        <v>83</v>
      </c>
    </row>
    <row r="654" spans="1:38" x14ac:dyDescent="0.3">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v>7642</v>
      </c>
      <c r="S654">
        <v>4814</v>
      </c>
      <c r="T654">
        <v>1</v>
      </c>
      <c r="U654" t="s">
        <v>35</v>
      </c>
      <c r="V654">
        <v>13</v>
      </c>
      <c r="W654">
        <v>3</v>
      </c>
      <c r="X654">
        <v>4</v>
      </c>
      <c r="Y654">
        <v>0</v>
      </c>
      <c r="Z654">
        <v>10</v>
      </c>
      <c r="AA654">
        <v>2</v>
      </c>
      <c r="AB654">
        <v>3</v>
      </c>
      <c r="AC654">
        <v>10</v>
      </c>
      <c r="AD654">
        <v>0</v>
      </c>
      <c r="AE654">
        <v>0</v>
      </c>
      <c r="AF654">
        <v>9</v>
      </c>
      <c r="AG654" t="s">
        <v>65</v>
      </c>
      <c r="AH654">
        <v>0</v>
      </c>
      <c r="AI654" t="s">
        <v>70</v>
      </c>
      <c r="AJ654" s="3" t="s">
        <v>83</v>
      </c>
      <c r="AK654" s="3">
        <v>2</v>
      </c>
      <c r="AL654" s="3" t="s">
        <v>84</v>
      </c>
    </row>
    <row r="655" spans="1:38" x14ac:dyDescent="0.3">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v>17924</v>
      </c>
      <c r="S655">
        <v>4544</v>
      </c>
      <c r="T655">
        <v>1</v>
      </c>
      <c r="U655" t="s">
        <v>43</v>
      </c>
      <c r="V655">
        <v>11</v>
      </c>
      <c r="W655">
        <v>3</v>
      </c>
      <c r="X655">
        <v>4</v>
      </c>
      <c r="Y655">
        <v>1</v>
      </c>
      <c r="Z655">
        <v>31</v>
      </c>
      <c r="AA655">
        <v>3</v>
      </c>
      <c r="AB655">
        <v>3</v>
      </c>
      <c r="AC655">
        <v>31</v>
      </c>
      <c r="AD655">
        <v>6</v>
      </c>
      <c r="AE655">
        <v>14</v>
      </c>
      <c r="AF655">
        <v>7</v>
      </c>
      <c r="AG655" t="s">
        <v>65</v>
      </c>
      <c r="AH655">
        <v>0</v>
      </c>
      <c r="AI655" t="s">
        <v>71</v>
      </c>
      <c r="AJ655" s="3" t="s">
        <v>83</v>
      </c>
      <c r="AK655" s="3">
        <v>1</v>
      </c>
      <c r="AL655" s="3" t="s">
        <v>83</v>
      </c>
    </row>
    <row r="656" spans="1:38" x14ac:dyDescent="0.3">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v>5204</v>
      </c>
      <c r="S656">
        <v>7790</v>
      </c>
      <c r="T656">
        <v>8</v>
      </c>
      <c r="U656" t="s">
        <v>43</v>
      </c>
      <c r="V656">
        <v>11</v>
      </c>
      <c r="W656">
        <v>3</v>
      </c>
      <c r="X656">
        <v>3</v>
      </c>
      <c r="Y656">
        <v>2</v>
      </c>
      <c r="Z656">
        <v>13</v>
      </c>
      <c r="AA656">
        <v>2</v>
      </c>
      <c r="AB656">
        <v>3</v>
      </c>
      <c r="AC656">
        <v>5</v>
      </c>
      <c r="AD656">
        <v>4</v>
      </c>
      <c r="AE656">
        <v>0</v>
      </c>
      <c r="AF656">
        <v>4</v>
      </c>
      <c r="AG656" t="s">
        <v>68</v>
      </c>
      <c r="AH656">
        <v>0</v>
      </c>
      <c r="AI656" t="s">
        <v>69</v>
      </c>
      <c r="AJ656" s="3" t="s">
        <v>82</v>
      </c>
      <c r="AK656" s="3">
        <v>0</v>
      </c>
      <c r="AL656" s="3" t="s">
        <v>83</v>
      </c>
    </row>
    <row r="657" spans="1:38" x14ac:dyDescent="0.3">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v>2277</v>
      </c>
      <c r="S657">
        <v>22650</v>
      </c>
      <c r="T657">
        <v>3</v>
      </c>
      <c r="U657" t="s">
        <v>35</v>
      </c>
      <c r="V657">
        <v>11</v>
      </c>
      <c r="W657">
        <v>3</v>
      </c>
      <c r="X657">
        <v>3</v>
      </c>
      <c r="Y657">
        <v>1</v>
      </c>
      <c r="Z657">
        <v>7</v>
      </c>
      <c r="AA657">
        <v>4</v>
      </c>
      <c r="AB657">
        <v>4</v>
      </c>
      <c r="AC657">
        <v>4</v>
      </c>
      <c r="AD657">
        <v>3</v>
      </c>
      <c r="AE657">
        <v>0</v>
      </c>
      <c r="AF657">
        <v>3</v>
      </c>
      <c r="AG657" t="s">
        <v>68</v>
      </c>
      <c r="AH657">
        <v>0</v>
      </c>
      <c r="AI657" t="s">
        <v>71</v>
      </c>
      <c r="AJ657" s="3" t="s">
        <v>83</v>
      </c>
      <c r="AK657" s="3">
        <v>2</v>
      </c>
      <c r="AL657" s="3" t="s">
        <v>84</v>
      </c>
    </row>
    <row r="658" spans="1:38" x14ac:dyDescent="0.3">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v>2795</v>
      </c>
      <c r="S658">
        <v>18016</v>
      </c>
      <c r="T658">
        <v>1</v>
      </c>
      <c r="U658" t="s">
        <v>35</v>
      </c>
      <c r="V658">
        <v>24</v>
      </c>
      <c r="W658">
        <v>4</v>
      </c>
      <c r="X658">
        <v>3</v>
      </c>
      <c r="Y658">
        <v>0</v>
      </c>
      <c r="Z658">
        <v>1</v>
      </c>
      <c r="AA658">
        <v>2</v>
      </c>
      <c r="AB658">
        <v>1</v>
      </c>
      <c r="AC658">
        <v>1</v>
      </c>
      <c r="AD658">
        <v>0</v>
      </c>
      <c r="AE658">
        <v>0</v>
      </c>
      <c r="AF658">
        <v>1</v>
      </c>
      <c r="AG658" t="s">
        <v>67</v>
      </c>
      <c r="AH658">
        <v>1</v>
      </c>
      <c r="AI658" t="s">
        <v>71</v>
      </c>
      <c r="AJ658" s="3" t="s">
        <v>82</v>
      </c>
      <c r="AK658" s="3">
        <v>2</v>
      </c>
      <c r="AL658" s="3" t="s">
        <v>84</v>
      </c>
    </row>
    <row r="659" spans="1:38" x14ac:dyDescent="0.3">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v>2532</v>
      </c>
      <c r="S659">
        <v>6054</v>
      </c>
      <c r="T659">
        <v>6</v>
      </c>
      <c r="U659" t="s">
        <v>43</v>
      </c>
      <c r="V659">
        <v>14</v>
      </c>
      <c r="W659">
        <v>3</v>
      </c>
      <c r="X659">
        <v>3</v>
      </c>
      <c r="Y659">
        <v>3</v>
      </c>
      <c r="Z659">
        <v>8</v>
      </c>
      <c r="AA659">
        <v>5</v>
      </c>
      <c r="AB659">
        <v>3</v>
      </c>
      <c r="AC659">
        <v>4</v>
      </c>
      <c r="AD659">
        <v>3</v>
      </c>
      <c r="AE659">
        <v>0</v>
      </c>
      <c r="AF659">
        <v>3</v>
      </c>
      <c r="AG659" t="s">
        <v>68</v>
      </c>
      <c r="AH659">
        <v>0</v>
      </c>
      <c r="AI659" t="s">
        <v>71</v>
      </c>
      <c r="AJ659" s="3" t="s">
        <v>82</v>
      </c>
      <c r="AK659" s="3">
        <v>0</v>
      </c>
      <c r="AL659" s="3" t="s">
        <v>83</v>
      </c>
    </row>
    <row r="660" spans="1:38" x14ac:dyDescent="0.3">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v>2559</v>
      </c>
      <c r="S660">
        <v>7508</v>
      </c>
      <c r="T660">
        <v>1</v>
      </c>
      <c r="U660" t="s">
        <v>35</v>
      </c>
      <c r="V660">
        <v>13</v>
      </c>
      <c r="W660">
        <v>3</v>
      </c>
      <c r="X660">
        <v>4</v>
      </c>
      <c r="Y660">
        <v>0</v>
      </c>
      <c r="Z660">
        <v>8</v>
      </c>
      <c r="AA660">
        <v>0</v>
      </c>
      <c r="AB660">
        <v>3</v>
      </c>
      <c r="AC660">
        <v>8</v>
      </c>
      <c r="AD660">
        <v>7</v>
      </c>
      <c r="AE660">
        <v>7</v>
      </c>
      <c r="AF660">
        <v>1</v>
      </c>
      <c r="AG660" t="s">
        <v>65</v>
      </c>
      <c r="AH660">
        <v>0</v>
      </c>
      <c r="AI660" t="s">
        <v>72</v>
      </c>
      <c r="AJ660" s="3" t="s">
        <v>83</v>
      </c>
      <c r="AK660" s="3">
        <v>2</v>
      </c>
      <c r="AL660" s="3" t="s">
        <v>84</v>
      </c>
    </row>
    <row r="661" spans="1:38" x14ac:dyDescent="0.3">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v>4908</v>
      </c>
      <c r="S661">
        <v>24252</v>
      </c>
      <c r="T661">
        <v>1</v>
      </c>
      <c r="U661" t="s">
        <v>43</v>
      </c>
      <c r="V661">
        <v>14</v>
      </c>
      <c r="W661">
        <v>3</v>
      </c>
      <c r="X661">
        <v>2</v>
      </c>
      <c r="Y661">
        <v>0</v>
      </c>
      <c r="Z661">
        <v>4</v>
      </c>
      <c r="AA661">
        <v>3</v>
      </c>
      <c r="AB661">
        <v>3</v>
      </c>
      <c r="AC661">
        <v>4</v>
      </c>
      <c r="AD661">
        <v>2</v>
      </c>
      <c r="AE661">
        <v>0</v>
      </c>
      <c r="AF661">
        <v>2</v>
      </c>
      <c r="AG661" t="s">
        <v>68</v>
      </c>
      <c r="AH661">
        <v>0</v>
      </c>
      <c r="AI661" t="s">
        <v>70</v>
      </c>
      <c r="AJ661" s="3" t="s">
        <v>82</v>
      </c>
      <c r="AK661" s="3">
        <v>0</v>
      </c>
      <c r="AL661" s="3" t="s">
        <v>83</v>
      </c>
    </row>
    <row r="662" spans="1:38" x14ac:dyDescent="0.3">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v>2380</v>
      </c>
      <c r="S662">
        <v>13384</v>
      </c>
      <c r="T662">
        <v>9</v>
      </c>
      <c r="U662" t="s">
        <v>35</v>
      </c>
      <c r="V662">
        <v>14</v>
      </c>
      <c r="W662">
        <v>3</v>
      </c>
      <c r="X662">
        <v>4</v>
      </c>
      <c r="Y662">
        <v>1</v>
      </c>
      <c r="Z662">
        <v>3</v>
      </c>
      <c r="AA662">
        <v>3</v>
      </c>
      <c r="AB662">
        <v>2</v>
      </c>
      <c r="AC662">
        <v>1</v>
      </c>
      <c r="AD662">
        <v>0</v>
      </c>
      <c r="AE662">
        <v>0</v>
      </c>
      <c r="AF662">
        <v>0</v>
      </c>
      <c r="AG662" t="s">
        <v>67</v>
      </c>
      <c r="AH662">
        <v>1</v>
      </c>
      <c r="AI662" t="s">
        <v>72</v>
      </c>
      <c r="AJ662" s="3" t="s">
        <v>82</v>
      </c>
      <c r="AK662" s="3">
        <v>2</v>
      </c>
      <c r="AL662" s="3" t="s">
        <v>84</v>
      </c>
    </row>
    <row r="663" spans="1:38" x14ac:dyDescent="0.3">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v>4765</v>
      </c>
      <c r="S663">
        <v>23814</v>
      </c>
      <c r="T663">
        <v>4</v>
      </c>
      <c r="U663" t="s">
        <v>43</v>
      </c>
      <c r="V663">
        <v>21</v>
      </c>
      <c r="W663">
        <v>4</v>
      </c>
      <c r="X663">
        <v>3</v>
      </c>
      <c r="Y663">
        <v>1</v>
      </c>
      <c r="Z663">
        <v>4</v>
      </c>
      <c r="AA663">
        <v>2</v>
      </c>
      <c r="AB663">
        <v>4</v>
      </c>
      <c r="AC663">
        <v>1</v>
      </c>
      <c r="AD663">
        <v>0</v>
      </c>
      <c r="AE663">
        <v>0</v>
      </c>
      <c r="AF663">
        <v>0</v>
      </c>
      <c r="AG663" t="s">
        <v>67</v>
      </c>
      <c r="AH663">
        <v>0</v>
      </c>
      <c r="AI663" t="s">
        <v>69</v>
      </c>
      <c r="AJ663" s="3" t="s">
        <v>83</v>
      </c>
      <c r="AK663" s="3">
        <v>2</v>
      </c>
      <c r="AL663" s="3" t="s">
        <v>84</v>
      </c>
    </row>
    <row r="664" spans="1:38" x14ac:dyDescent="0.3">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v>2044</v>
      </c>
      <c r="S664">
        <v>22052</v>
      </c>
      <c r="T664">
        <v>1</v>
      </c>
      <c r="U664" t="s">
        <v>43</v>
      </c>
      <c r="V664">
        <v>13</v>
      </c>
      <c r="W664">
        <v>3</v>
      </c>
      <c r="X664">
        <v>4</v>
      </c>
      <c r="Y664">
        <v>0</v>
      </c>
      <c r="Z664">
        <v>2</v>
      </c>
      <c r="AA664">
        <v>3</v>
      </c>
      <c r="AB664">
        <v>2</v>
      </c>
      <c r="AC664">
        <v>2</v>
      </c>
      <c r="AD664">
        <v>2</v>
      </c>
      <c r="AE664">
        <v>0</v>
      </c>
      <c r="AF664">
        <v>2</v>
      </c>
      <c r="AG664" t="s">
        <v>67</v>
      </c>
      <c r="AH664">
        <v>1</v>
      </c>
      <c r="AI664" t="s">
        <v>70</v>
      </c>
      <c r="AJ664" s="3" t="s">
        <v>84</v>
      </c>
      <c r="AK664" s="3">
        <v>1</v>
      </c>
      <c r="AL664" s="3" t="s">
        <v>83</v>
      </c>
    </row>
    <row r="665" spans="1:38" x14ac:dyDescent="0.3">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v>2693</v>
      </c>
      <c r="S665">
        <v>8870</v>
      </c>
      <c r="T665">
        <v>1</v>
      </c>
      <c r="U665" t="s">
        <v>43</v>
      </c>
      <c r="V665">
        <v>19</v>
      </c>
      <c r="W665">
        <v>3</v>
      </c>
      <c r="X665">
        <v>1</v>
      </c>
      <c r="Y665">
        <v>0</v>
      </c>
      <c r="Z665">
        <v>1</v>
      </c>
      <c r="AA665">
        <v>3</v>
      </c>
      <c r="AB665">
        <v>2</v>
      </c>
      <c r="AC665">
        <v>1</v>
      </c>
      <c r="AD665">
        <v>0</v>
      </c>
      <c r="AE665">
        <v>0</v>
      </c>
      <c r="AF665">
        <v>0</v>
      </c>
      <c r="AG665" t="s">
        <v>67</v>
      </c>
      <c r="AH665">
        <v>1</v>
      </c>
      <c r="AI665" t="s">
        <v>72</v>
      </c>
      <c r="AJ665" s="3" t="s">
        <v>82</v>
      </c>
      <c r="AK665" s="3">
        <v>1</v>
      </c>
      <c r="AL665" s="3" t="s">
        <v>83</v>
      </c>
    </row>
    <row r="666" spans="1:38" x14ac:dyDescent="0.3">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v>6586</v>
      </c>
      <c r="S666">
        <v>4821</v>
      </c>
      <c r="T666">
        <v>0</v>
      </c>
      <c r="U666" t="s">
        <v>35</v>
      </c>
      <c r="V666">
        <v>17</v>
      </c>
      <c r="W666">
        <v>3</v>
      </c>
      <c r="X666">
        <v>1</v>
      </c>
      <c r="Y666">
        <v>1</v>
      </c>
      <c r="Z666">
        <v>17</v>
      </c>
      <c r="AA666">
        <v>2</v>
      </c>
      <c r="AB666">
        <v>2</v>
      </c>
      <c r="AC666">
        <v>16</v>
      </c>
      <c r="AD666">
        <v>8</v>
      </c>
      <c r="AE666">
        <v>4</v>
      </c>
      <c r="AF666">
        <v>11</v>
      </c>
      <c r="AG666" t="s">
        <v>65</v>
      </c>
      <c r="AH666">
        <v>0</v>
      </c>
      <c r="AI666" t="s">
        <v>72</v>
      </c>
      <c r="AJ666" s="3" t="s">
        <v>82</v>
      </c>
      <c r="AK666" s="3">
        <v>1</v>
      </c>
      <c r="AL666" s="3" t="s">
        <v>83</v>
      </c>
    </row>
    <row r="667" spans="1:38" x14ac:dyDescent="0.3">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v>3294</v>
      </c>
      <c r="S667">
        <v>13137</v>
      </c>
      <c r="T667">
        <v>1</v>
      </c>
      <c r="U667" t="s">
        <v>35</v>
      </c>
      <c r="V667">
        <v>18</v>
      </c>
      <c r="W667">
        <v>3</v>
      </c>
      <c r="X667">
        <v>1</v>
      </c>
      <c r="Y667">
        <v>0</v>
      </c>
      <c r="Z667">
        <v>3</v>
      </c>
      <c r="AA667">
        <v>3</v>
      </c>
      <c r="AB667">
        <v>2</v>
      </c>
      <c r="AC667">
        <v>3</v>
      </c>
      <c r="AD667">
        <v>2</v>
      </c>
      <c r="AE667">
        <v>1</v>
      </c>
      <c r="AF667">
        <v>2</v>
      </c>
      <c r="AG667" t="s">
        <v>67</v>
      </c>
      <c r="AH667">
        <v>0</v>
      </c>
      <c r="AI667" t="s">
        <v>71</v>
      </c>
      <c r="AJ667" s="3" t="s">
        <v>82</v>
      </c>
      <c r="AK667" s="3">
        <v>2</v>
      </c>
      <c r="AL667" s="3" t="s">
        <v>84</v>
      </c>
    </row>
    <row r="668" spans="1:38" x14ac:dyDescent="0.3">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v>4171</v>
      </c>
      <c r="S668">
        <v>10022</v>
      </c>
      <c r="T668">
        <v>0</v>
      </c>
      <c r="U668" t="s">
        <v>35</v>
      </c>
      <c r="V668">
        <v>19</v>
      </c>
      <c r="W668">
        <v>3</v>
      </c>
      <c r="X668">
        <v>1</v>
      </c>
      <c r="Y668">
        <v>1</v>
      </c>
      <c r="Z668">
        <v>4</v>
      </c>
      <c r="AA668">
        <v>3</v>
      </c>
      <c r="AB668">
        <v>4</v>
      </c>
      <c r="AC668">
        <v>3</v>
      </c>
      <c r="AD668">
        <v>2</v>
      </c>
      <c r="AE668">
        <v>0</v>
      </c>
      <c r="AF668">
        <v>2</v>
      </c>
      <c r="AG668" t="s">
        <v>67</v>
      </c>
      <c r="AH668">
        <v>1</v>
      </c>
      <c r="AI668" t="s">
        <v>70</v>
      </c>
      <c r="AJ668" s="3" t="s">
        <v>84</v>
      </c>
      <c r="AK668" s="3">
        <v>2</v>
      </c>
      <c r="AL668" s="3" t="s">
        <v>84</v>
      </c>
    </row>
    <row r="669" spans="1:38" x14ac:dyDescent="0.3">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v>2778</v>
      </c>
      <c r="S669">
        <v>17725</v>
      </c>
      <c r="T669">
        <v>4</v>
      </c>
      <c r="U669" t="s">
        <v>35</v>
      </c>
      <c r="V669">
        <v>13</v>
      </c>
      <c r="W669">
        <v>3</v>
      </c>
      <c r="X669">
        <v>3</v>
      </c>
      <c r="Y669">
        <v>1</v>
      </c>
      <c r="Z669">
        <v>10</v>
      </c>
      <c r="AA669">
        <v>1</v>
      </c>
      <c r="AB669">
        <v>2</v>
      </c>
      <c r="AC669">
        <v>7</v>
      </c>
      <c r="AD669">
        <v>7</v>
      </c>
      <c r="AE669">
        <v>1</v>
      </c>
      <c r="AF669">
        <v>0</v>
      </c>
      <c r="AG669" t="s">
        <v>65</v>
      </c>
      <c r="AH669">
        <v>1</v>
      </c>
      <c r="AI669" t="s">
        <v>72</v>
      </c>
      <c r="AJ669" s="3" t="s">
        <v>82</v>
      </c>
      <c r="AK669" s="3">
        <v>1</v>
      </c>
      <c r="AL669" s="3" t="s">
        <v>83</v>
      </c>
    </row>
    <row r="670" spans="1:38" x14ac:dyDescent="0.3">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v>2377</v>
      </c>
      <c r="S670">
        <v>9834</v>
      </c>
      <c r="T670">
        <v>5</v>
      </c>
      <c r="U670" t="s">
        <v>43</v>
      </c>
      <c r="V670">
        <v>18</v>
      </c>
      <c r="W670">
        <v>3</v>
      </c>
      <c r="X670">
        <v>2</v>
      </c>
      <c r="Y670">
        <v>1</v>
      </c>
      <c r="Z670">
        <v>6</v>
      </c>
      <c r="AA670">
        <v>2</v>
      </c>
      <c r="AB670">
        <v>3</v>
      </c>
      <c r="AC670">
        <v>2</v>
      </c>
      <c r="AD670">
        <v>2</v>
      </c>
      <c r="AE670">
        <v>2</v>
      </c>
      <c r="AF670">
        <v>2</v>
      </c>
      <c r="AG670" t="s">
        <v>67</v>
      </c>
      <c r="AH670">
        <v>0</v>
      </c>
      <c r="AI670" t="s">
        <v>70</v>
      </c>
      <c r="AJ670" s="3" t="s">
        <v>84</v>
      </c>
      <c r="AK670" s="3">
        <v>1</v>
      </c>
      <c r="AL670" s="3" t="s">
        <v>83</v>
      </c>
    </row>
    <row r="671" spans="1:38" x14ac:dyDescent="0.3">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v>2404</v>
      </c>
      <c r="S671">
        <v>4303</v>
      </c>
      <c r="T671">
        <v>7</v>
      </c>
      <c r="U671" t="s">
        <v>35</v>
      </c>
      <c r="V671">
        <v>21</v>
      </c>
      <c r="W671">
        <v>4</v>
      </c>
      <c r="X671">
        <v>4</v>
      </c>
      <c r="Y671">
        <v>0</v>
      </c>
      <c r="Z671">
        <v>8</v>
      </c>
      <c r="AA671">
        <v>2</v>
      </c>
      <c r="AB671">
        <v>1</v>
      </c>
      <c r="AC671">
        <v>2</v>
      </c>
      <c r="AD671">
        <v>2</v>
      </c>
      <c r="AE671">
        <v>2</v>
      </c>
      <c r="AF671">
        <v>2</v>
      </c>
      <c r="AG671" t="s">
        <v>67</v>
      </c>
      <c r="AH671">
        <v>1</v>
      </c>
      <c r="AI671" t="s">
        <v>72</v>
      </c>
      <c r="AJ671" s="3" t="s">
        <v>83</v>
      </c>
      <c r="AK671" s="3">
        <v>3</v>
      </c>
      <c r="AL671" s="3" t="s">
        <v>82</v>
      </c>
    </row>
    <row r="672" spans="1:38" x14ac:dyDescent="0.3">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v>2318</v>
      </c>
      <c r="S672">
        <v>17808</v>
      </c>
      <c r="T672">
        <v>1</v>
      </c>
      <c r="U672" t="s">
        <v>43</v>
      </c>
      <c r="V672">
        <v>19</v>
      </c>
      <c r="W672">
        <v>3</v>
      </c>
      <c r="X672">
        <v>3</v>
      </c>
      <c r="Y672">
        <v>0</v>
      </c>
      <c r="Z672">
        <v>1</v>
      </c>
      <c r="AA672">
        <v>2</v>
      </c>
      <c r="AB672">
        <v>3</v>
      </c>
      <c r="AC672">
        <v>1</v>
      </c>
      <c r="AD672">
        <v>1</v>
      </c>
      <c r="AE672">
        <v>0</v>
      </c>
      <c r="AF672">
        <v>0</v>
      </c>
      <c r="AG672" t="s">
        <v>67</v>
      </c>
      <c r="AH672">
        <v>0</v>
      </c>
      <c r="AI672" t="s">
        <v>71</v>
      </c>
      <c r="AJ672" s="3" t="s">
        <v>84</v>
      </c>
      <c r="AK672" s="3">
        <v>1</v>
      </c>
      <c r="AL672" s="3" t="s">
        <v>83</v>
      </c>
    </row>
    <row r="673" spans="1:38" x14ac:dyDescent="0.3">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v>2008</v>
      </c>
      <c r="S673">
        <v>6896</v>
      </c>
      <c r="T673">
        <v>1</v>
      </c>
      <c r="U673" t="s">
        <v>43</v>
      </c>
      <c r="V673">
        <v>14</v>
      </c>
      <c r="W673">
        <v>3</v>
      </c>
      <c r="X673">
        <v>2</v>
      </c>
      <c r="Y673">
        <v>2</v>
      </c>
      <c r="Z673">
        <v>1</v>
      </c>
      <c r="AA673">
        <v>3</v>
      </c>
      <c r="AB673">
        <v>3</v>
      </c>
      <c r="AC673">
        <v>1</v>
      </c>
      <c r="AD673">
        <v>0</v>
      </c>
      <c r="AE673">
        <v>1</v>
      </c>
      <c r="AF673">
        <v>0</v>
      </c>
      <c r="AG673" t="s">
        <v>67</v>
      </c>
      <c r="AH673">
        <v>0</v>
      </c>
      <c r="AI673" t="s">
        <v>72</v>
      </c>
      <c r="AJ673" s="3" t="s">
        <v>83</v>
      </c>
      <c r="AK673" s="3">
        <v>2</v>
      </c>
      <c r="AL673" s="3" t="s">
        <v>84</v>
      </c>
    </row>
    <row r="674" spans="1:38" x14ac:dyDescent="0.3">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v>6244</v>
      </c>
      <c r="S674">
        <v>7824</v>
      </c>
      <c r="T674">
        <v>7</v>
      </c>
      <c r="U674" t="s">
        <v>43</v>
      </c>
      <c r="V674">
        <v>17</v>
      </c>
      <c r="W674">
        <v>3</v>
      </c>
      <c r="X674">
        <v>1</v>
      </c>
      <c r="Y674">
        <v>0</v>
      </c>
      <c r="Z674">
        <v>10</v>
      </c>
      <c r="AA674">
        <v>6</v>
      </c>
      <c r="AB674">
        <v>3</v>
      </c>
      <c r="AC674">
        <v>5</v>
      </c>
      <c r="AD674">
        <v>4</v>
      </c>
      <c r="AE674">
        <v>0</v>
      </c>
      <c r="AF674">
        <v>3</v>
      </c>
      <c r="AG674" t="s">
        <v>68</v>
      </c>
      <c r="AH674">
        <v>0</v>
      </c>
      <c r="AI674" t="s">
        <v>71</v>
      </c>
      <c r="AJ674" s="3" t="s">
        <v>84</v>
      </c>
      <c r="AK674" s="3">
        <v>0</v>
      </c>
      <c r="AL674" s="3" t="s">
        <v>83</v>
      </c>
    </row>
    <row r="675" spans="1:38" x14ac:dyDescent="0.3">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v>2799</v>
      </c>
      <c r="S675">
        <v>3339</v>
      </c>
      <c r="T675">
        <v>3</v>
      </c>
      <c r="U675" t="s">
        <v>35</v>
      </c>
      <c r="V675">
        <v>11</v>
      </c>
      <c r="W675">
        <v>3</v>
      </c>
      <c r="X675">
        <v>2</v>
      </c>
      <c r="Y675">
        <v>0</v>
      </c>
      <c r="Z675">
        <v>6</v>
      </c>
      <c r="AA675">
        <v>1</v>
      </c>
      <c r="AB675">
        <v>3</v>
      </c>
      <c r="AC675">
        <v>3</v>
      </c>
      <c r="AD675">
        <v>2</v>
      </c>
      <c r="AE675">
        <v>0</v>
      </c>
      <c r="AF675">
        <v>2</v>
      </c>
      <c r="AG675" t="s">
        <v>67</v>
      </c>
      <c r="AH675">
        <v>0</v>
      </c>
      <c r="AI675" t="s">
        <v>70</v>
      </c>
      <c r="AJ675" s="3" t="s">
        <v>83</v>
      </c>
      <c r="AK675" s="3">
        <v>3</v>
      </c>
      <c r="AL675" s="3" t="s">
        <v>82</v>
      </c>
    </row>
    <row r="676" spans="1:38" x14ac:dyDescent="0.3">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v>10552</v>
      </c>
      <c r="S676">
        <v>9255</v>
      </c>
      <c r="T676">
        <v>2</v>
      </c>
      <c r="U676" t="s">
        <v>35</v>
      </c>
      <c r="V676">
        <v>13</v>
      </c>
      <c r="W676">
        <v>3</v>
      </c>
      <c r="X676">
        <v>4</v>
      </c>
      <c r="Y676">
        <v>1</v>
      </c>
      <c r="Z676">
        <v>24</v>
      </c>
      <c r="AA676">
        <v>3</v>
      </c>
      <c r="AB676">
        <v>3</v>
      </c>
      <c r="AC676">
        <v>6</v>
      </c>
      <c r="AD676">
        <v>0</v>
      </c>
      <c r="AE676">
        <v>0</v>
      </c>
      <c r="AF676">
        <v>4</v>
      </c>
      <c r="AG676" t="s">
        <v>65</v>
      </c>
      <c r="AH676">
        <v>0</v>
      </c>
      <c r="AI676" t="s">
        <v>71</v>
      </c>
      <c r="AJ676" s="3" t="s">
        <v>83</v>
      </c>
      <c r="AK676" s="3">
        <v>2</v>
      </c>
      <c r="AL676" s="3" t="s">
        <v>84</v>
      </c>
    </row>
    <row r="677" spans="1:38" x14ac:dyDescent="0.3">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v>2329</v>
      </c>
      <c r="S677">
        <v>11737</v>
      </c>
      <c r="T677">
        <v>3</v>
      </c>
      <c r="U677" t="s">
        <v>43</v>
      </c>
      <c r="V677">
        <v>15</v>
      </c>
      <c r="W677">
        <v>3</v>
      </c>
      <c r="X677">
        <v>2</v>
      </c>
      <c r="Y677">
        <v>0</v>
      </c>
      <c r="Z677">
        <v>13</v>
      </c>
      <c r="AA677">
        <v>2</v>
      </c>
      <c r="AB677">
        <v>4</v>
      </c>
      <c r="AC677">
        <v>7</v>
      </c>
      <c r="AD677">
        <v>7</v>
      </c>
      <c r="AE677">
        <v>5</v>
      </c>
      <c r="AF677">
        <v>2</v>
      </c>
      <c r="AG677" t="s">
        <v>65</v>
      </c>
      <c r="AH677">
        <v>0</v>
      </c>
      <c r="AI677" t="s">
        <v>69</v>
      </c>
      <c r="AJ677" s="3" t="s">
        <v>84</v>
      </c>
      <c r="AK677" s="3">
        <v>0</v>
      </c>
      <c r="AL677" s="3" t="s">
        <v>83</v>
      </c>
    </row>
    <row r="678" spans="1:38" x14ac:dyDescent="0.3">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v>4014</v>
      </c>
      <c r="S678">
        <v>19170</v>
      </c>
      <c r="T678">
        <v>1</v>
      </c>
      <c r="U678" t="s">
        <v>35</v>
      </c>
      <c r="V678">
        <v>25</v>
      </c>
      <c r="W678">
        <v>4</v>
      </c>
      <c r="X678">
        <v>4</v>
      </c>
      <c r="Y678">
        <v>1</v>
      </c>
      <c r="Z678">
        <v>10</v>
      </c>
      <c r="AA678">
        <v>2</v>
      </c>
      <c r="AB678">
        <v>1</v>
      </c>
      <c r="AC678">
        <v>10</v>
      </c>
      <c r="AD678">
        <v>6</v>
      </c>
      <c r="AE678">
        <v>0</v>
      </c>
      <c r="AF678">
        <v>7</v>
      </c>
      <c r="AG678" t="s">
        <v>65</v>
      </c>
      <c r="AH678">
        <v>0</v>
      </c>
      <c r="AI678" t="s">
        <v>71</v>
      </c>
      <c r="AJ678" s="3" t="s">
        <v>82</v>
      </c>
      <c r="AK678" s="3">
        <v>1</v>
      </c>
      <c r="AL678" s="3" t="s">
        <v>83</v>
      </c>
    </row>
    <row r="679" spans="1:38" x14ac:dyDescent="0.3">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v>7403</v>
      </c>
      <c r="S679">
        <v>22477</v>
      </c>
      <c r="T679">
        <v>4</v>
      </c>
      <c r="U679" t="s">
        <v>43</v>
      </c>
      <c r="V679">
        <v>11</v>
      </c>
      <c r="W679">
        <v>3</v>
      </c>
      <c r="X679">
        <v>3</v>
      </c>
      <c r="Y679">
        <v>1</v>
      </c>
      <c r="Z679">
        <v>29</v>
      </c>
      <c r="AA679">
        <v>3</v>
      </c>
      <c r="AB679">
        <v>2</v>
      </c>
      <c r="AC679">
        <v>26</v>
      </c>
      <c r="AD679">
        <v>9</v>
      </c>
      <c r="AE679">
        <v>1</v>
      </c>
      <c r="AF679">
        <v>7</v>
      </c>
      <c r="AG679" t="s">
        <v>65</v>
      </c>
      <c r="AH679">
        <v>0</v>
      </c>
      <c r="AI679" t="s">
        <v>71</v>
      </c>
      <c r="AJ679" s="3" t="s">
        <v>83</v>
      </c>
      <c r="AK679" s="3">
        <v>1</v>
      </c>
      <c r="AL679" s="3" t="s">
        <v>83</v>
      </c>
    </row>
    <row r="680" spans="1:38" x14ac:dyDescent="0.3">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v>2259</v>
      </c>
      <c r="S680">
        <v>5543</v>
      </c>
      <c r="T680">
        <v>4</v>
      </c>
      <c r="U680" t="s">
        <v>43</v>
      </c>
      <c r="V680">
        <v>17</v>
      </c>
      <c r="W680">
        <v>3</v>
      </c>
      <c r="X680">
        <v>1</v>
      </c>
      <c r="Y680">
        <v>2</v>
      </c>
      <c r="Z680">
        <v>13</v>
      </c>
      <c r="AA680">
        <v>2</v>
      </c>
      <c r="AB680">
        <v>2</v>
      </c>
      <c r="AC680">
        <v>0</v>
      </c>
      <c r="AD680">
        <v>0</v>
      </c>
      <c r="AE680">
        <v>0</v>
      </c>
      <c r="AF680">
        <v>0</v>
      </c>
      <c r="AG680" t="s">
        <v>66</v>
      </c>
      <c r="AH680">
        <v>0</v>
      </c>
      <c r="AI680" t="s">
        <v>70</v>
      </c>
      <c r="AJ680" s="3" t="s">
        <v>84</v>
      </c>
      <c r="AK680" s="3">
        <v>1</v>
      </c>
      <c r="AL680" s="3" t="s">
        <v>83</v>
      </c>
    </row>
    <row r="681" spans="1:38" x14ac:dyDescent="0.3">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v>6932</v>
      </c>
      <c r="S681">
        <v>24406</v>
      </c>
      <c r="T681">
        <v>1</v>
      </c>
      <c r="U681" t="s">
        <v>43</v>
      </c>
      <c r="V681">
        <v>13</v>
      </c>
      <c r="W681">
        <v>3</v>
      </c>
      <c r="X681">
        <v>4</v>
      </c>
      <c r="Y681">
        <v>1</v>
      </c>
      <c r="Z681">
        <v>9</v>
      </c>
      <c r="AA681">
        <v>2</v>
      </c>
      <c r="AB681">
        <v>2</v>
      </c>
      <c r="AC681">
        <v>9</v>
      </c>
      <c r="AD681">
        <v>8</v>
      </c>
      <c r="AE681">
        <v>0</v>
      </c>
      <c r="AF681">
        <v>0</v>
      </c>
      <c r="AG681" t="s">
        <v>65</v>
      </c>
      <c r="AH681">
        <v>0</v>
      </c>
      <c r="AI681" t="s">
        <v>70</v>
      </c>
      <c r="AJ681" s="3" t="s">
        <v>84</v>
      </c>
      <c r="AK681" s="3">
        <v>0</v>
      </c>
      <c r="AL681" s="3" t="s">
        <v>83</v>
      </c>
    </row>
    <row r="682" spans="1:38" x14ac:dyDescent="0.3">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v>4678</v>
      </c>
      <c r="S682">
        <v>23293</v>
      </c>
      <c r="T682">
        <v>2</v>
      </c>
      <c r="U682" t="s">
        <v>43</v>
      </c>
      <c r="V682">
        <v>18</v>
      </c>
      <c r="W682">
        <v>3</v>
      </c>
      <c r="X682">
        <v>3</v>
      </c>
      <c r="Y682">
        <v>0</v>
      </c>
      <c r="Z682">
        <v>8</v>
      </c>
      <c r="AA682">
        <v>6</v>
      </c>
      <c r="AB682">
        <v>3</v>
      </c>
      <c r="AC682">
        <v>6</v>
      </c>
      <c r="AD682">
        <v>2</v>
      </c>
      <c r="AE682">
        <v>0</v>
      </c>
      <c r="AF682">
        <v>1</v>
      </c>
      <c r="AG682" t="s">
        <v>65</v>
      </c>
      <c r="AH682">
        <v>0</v>
      </c>
      <c r="AI682" t="s">
        <v>71</v>
      </c>
      <c r="AJ682" s="3" t="s">
        <v>82</v>
      </c>
      <c r="AK682" s="3">
        <v>0</v>
      </c>
      <c r="AL682" s="3" t="s">
        <v>83</v>
      </c>
    </row>
    <row r="683" spans="1:38" x14ac:dyDescent="0.3">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v>13582</v>
      </c>
      <c r="S683">
        <v>16292</v>
      </c>
      <c r="T683">
        <v>1</v>
      </c>
      <c r="U683" t="s">
        <v>43</v>
      </c>
      <c r="V683">
        <v>13</v>
      </c>
      <c r="W683">
        <v>3</v>
      </c>
      <c r="X683">
        <v>2</v>
      </c>
      <c r="Y683">
        <v>1</v>
      </c>
      <c r="Z683">
        <v>15</v>
      </c>
      <c r="AA683">
        <v>3</v>
      </c>
      <c r="AB683">
        <v>3</v>
      </c>
      <c r="AC683">
        <v>15</v>
      </c>
      <c r="AD683">
        <v>12</v>
      </c>
      <c r="AE683">
        <v>5</v>
      </c>
      <c r="AF683">
        <v>11</v>
      </c>
      <c r="AG683" t="s">
        <v>65</v>
      </c>
      <c r="AH683">
        <v>0</v>
      </c>
      <c r="AI683" t="s">
        <v>71</v>
      </c>
      <c r="AJ683" s="3" t="s">
        <v>83</v>
      </c>
      <c r="AK683" s="3">
        <v>1</v>
      </c>
      <c r="AL683" s="3" t="s">
        <v>83</v>
      </c>
    </row>
    <row r="684" spans="1:38" x14ac:dyDescent="0.3">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v>2332</v>
      </c>
      <c r="S684">
        <v>3974</v>
      </c>
      <c r="T684">
        <v>6</v>
      </c>
      <c r="U684" t="s">
        <v>43</v>
      </c>
      <c r="V684">
        <v>20</v>
      </c>
      <c r="W684">
        <v>4</v>
      </c>
      <c r="X684">
        <v>3</v>
      </c>
      <c r="Y684">
        <v>0</v>
      </c>
      <c r="Z684">
        <v>5</v>
      </c>
      <c r="AA684">
        <v>3</v>
      </c>
      <c r="AB684">
        <v>3</v>
      </c>
      <c r="AC684">
        <v>3</v>
      </c>
      <c r="AD684">
        <v>0</v>
      </c>
      <c r="AE684">
        <v>0</v>
      </c>
      <c r="AF684">
        <v>2</v>
      </c>
      <c r="AG684" t="s">
        <v>67</v>
      </c>
      <c r="AH684">
        <v>0</v>
      </c>
      <c r="AI684" t="s">
        <v>71</v>
      </c>
      <c r="AJ684" s="3" t="s">
        <v>83</v>
      </c>
      <c r="AK684" s="3">
        <v>2</v>
      </c>
      <c r="AL684" s="3" t="s">
        <v>84</v>
      </c>
    </row>
    <row r="685" spans="1:38" x14ac:dyDescent="0.3">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v>2413</v>
      </c>
      <c r="S685">
        <v>18798</v>
      </c>
      <c r="T685">
        <v>1</v>
      </c>
      <c r="U685" t="s">
        <v>35</v>
      </c>
      <c r="V685">
        <v>18</v>
      </c>
      <c r="W685">
        <v>3</v>
      </c>
      <c r="X685">
        <v>3</v>
      </c>
      <c r="Y685">
        <v>3</v>
      </c>
      <c r="Z685">
        <v>1</v>
      </c>
      <c r="AA685">
        <v>2</v>
      </c>
      <c r="AB685">
        <v>3</v>
      </c>
      <c r="AC685">
        <v>1</v>
      </c>
      <c r="AD685">
        <v>0</v>
      </c>
      <c r="AE685">
        <v>0</v>
      </c>
      <c r="AF685">
        <v>0</v>
      </c>
      <c r="AG685" t="s">
        <v>67</v>
      </c>
      <c r="AH685">
        <v>1</v>
      </c>
      <c r="AI685" t="s">
        <v>71</v>
      </c>
      <c r="AJ685" s="3" t="s">
        <v>83</v>
      </c>
      <c r="AK685" s="3">
        <v>3</v>
      </c>
      <c r="AL685" s="3" t="s">
        <v>82</v>
      </c>
    </row>
    <row r="686" spans="1:38" x14ac:dyDescent="0.3">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v>9705</v>
      </c>
      <c r="S686">
        <v>20652</v>
      </c>
      <c r="T686">
        <v>2</v>
      </c>
      <c r="U686" t="s">
        <v>43</v>
      </c>
      <c r="V686">
        <v>12</v>
      </c>
      <c r="W686">
        <v>3</v>
      </c>
      <c r="X686">
        <v>2</v>
      </c>
      <c r="Y686">
        <v>1</v>
      </c>
      <c r="Z686">
        <v>11</v>
      </c>
      <c r="AA686">
        <v>2</v>
      </c>
      <c r="AB686">
        <v>2</v>
      </c>
      <c r="AC686">
        <v>1</v>
      </c>
      <c r="AD686">
        <v>0</v>
      </c>
      <c r="AE686">
        <v>0</v>
      </c>
      <c r="AF686">
        <v>0</v>
      </c>
      <c r="AG686" t="s">
        <v>67</v>
      </c>
      <c r="AH686">
        <v>0</v>
      </c>
      <c r="AI686" t="s">
        <v>72</v>
      </c>
      <c r="AJ686" s="3" t="s">
        <v>83</v>
      </c>
      <c r="AK686" s="3">
        <v>2</v>
      </c>
      <c r="AL686" s="3" t="s">
        <v>84</v>
      </c>
    </row>
    <row r="687" spans="1:38" x14ac:dyDescent="0.3">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v>4294</v>
      </c>
      <c r="S687">
        <v>11148</v>
      </c>
      <c r="T687">
        <v>1</v>
      </c>
      <c r="U687" t="s">
        <v>43</v>
      </c>
      <c r="V687">
        <v>12</v>
      </c>
      <c r="W687">
        <v>3</v>
      </c>
      <c r="X687">
        <v>2</v>
      </c>
      <c r="Y687">
        <v>0</v>
      </c>
      <c r="Z687">
        <v>7</v>
      </c>
      <c r="AA687">
        <v>2</v>
      </c>
      <c r="AB687">
        <v>3</v>
      </c>
      <c r="AC687">
        <v>7</v>
      </c>
      <c r="AD687">
        <v>7</v>
      </c>
      <c r="AE687">
        <v>0</v>
      </c>
      <c r="AF687">
        <v>7</v>
      </c>
      <c r="AG687" t="s">
        <v>65</v>
      </c>
      <c r="AH687">
        <v>0</v>
      </c>
      <c r="AI687" t="s">
        <v>70</v>
      </c>
      <c r="AJ687" s="3" t="s">
        <v>83</v>
      </c>
      <c r="AK687" s="3">
        <v>1</v>
      </c>
      <c r="AL687" s="3" t="s">
        <v>83</v>
      </c>
    </row>
    <row r="688" spans="1:38" x14ac:dyDescent="0.3">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v>4721</v>
      </c>
      <c r="S688">
        <v>3119</v>
      </c>
      <c r="T688">
        <v>2</v>
      </c>
      <c r="U688" t="s">
        <v>35</v>
      </c>
      <c r="V688">
        <v>13</v>
      </c>
      <c r="W688">
        <v>3</v>
      </c>
      <c r="X688">
        <v>3</v>
      </c>
      <c r="Y688">
        <v>0</v>
      </c>
      <c r="Z688">
        <v>20</v>
      </c>
      <c r="AA688">
        <v>3</v>
      </c>
      <c r="AB688">
        <v>3</v>
      </c>
      <c r="AC688">
        <v>18</v>
      </c>
      <c r="AD688">
        <v>13</v>
      </c>
      <c r="AE688">
        <v>2</v>
      </c>
      <c r="AF688">
        <v>17</v>
      </c>
      <c r="AG688" t="s">
        <v>65</v>
      </c>
      <c r="AH688">
        <v>0</v>
      </c>
      <c r="AI688" t="s">
        <v>72</v>
      </c>
      <c r="AJ688" s="3" t="s">
        <v>83</v>
      </c>
      <c r="AK688" s="3">
        <v>2</v>
      </c>
      <c r="AL688" s="3" t="s">
        <v>84</v>
      </c>
    </row>
    <row r="689" spans="1:38" x14ac:dyDescent="0.3">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v>2519</v>
      </c>
      <c r="S689">
        <v>12287</v>
      </c>
      <c r="T689">
        <v>4</v>
      </c>
      <c r="U689" t="s">
        <v>43</v>
      </c>
      <c r="V689">
        <v>21</v>
      </c>
      <c r="W689">
        <v>4</v>
      </c>
      <c r="X689">
        <v>3</v>
      </c>
      <c r="Y689">
        <v>0</v>
      </c>
      <c r="Z689">
        <v>16</v>
      </c>
      <c r="AA689">
        <v>6</v>
      </c>
      <c r="AB689">
        <v>3</v>
      </c>
      <c r="AC689">
        <v>11</v>
      </c>
      <c r="AD689">
        <v>8</v>
      </c>
      <c r="AE689">
        <v>3</v>
      </c>
      <c r="AF689">
        <v>9</v>
      </c>
      <c r="AG689" t="s">
        <v>65</v>
      </c>
      <c r="AH689">
        <v>0</v>
      </c>
      <c r="AI689" t="s">
        <v>70</v>
      </c>
      <c r="AJ689" s="3" t="s">
        <v>84</v>
      </c>
      <c r="AK689" s="3">
        <v>0</v>
      </c>
      <c r="AL689" s="3" t="s">
        <v>83</v>
      </c>
    </row>
    <row r="690" spans="1:38" x14ac:dyDescent="0.3">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v>2121</v>
      </c>
      <c r="S690">
        <v>9947</v>
      </c>
      <c r="T690">
        <v>1</v>
      </c>
      <c r="U690" t="s">
        <v>35</v>
      </c>
      <c r="V690">
        <v>13</v>
      </c>
      <c r="W690">
        <v>3</v>
      </c>
      <c r="X690">
        <v>2</v>
      </c>
      <c r="Y690">
        <v>0</v>
      </c>
      <c r="Z690">
        <v>1</v>
      </c>
      <c r="AA690">
        <v>3</v>
      </c>
      <c r="AB690">
        <v>4</v>
      </c>
      <c r="AC690">
        <v>1</v>
      </c>
      <c r="AD690">
        <v>0</v>
      </c>
      <c r="AE690">
        <v>0</v>
      </c>
      <c r="AF690">
        <v>0</v>
      </c>
      <c r="AG690" t="s">
        <v>67</v>
      </c>
      <c r="AH690">
        <v>1</v>
      </c>
      <c r="AI690" t="s">
        <v>71</v>
      </c>
      <c r="AJ690" s="3" t="s">
        <v>83</v>
      </c>
      <c r="AK690" s="3">
        <v>3</v>
      </c>
      <c r="AL690" s="3" t="s">
        <v>82</v>
      </c>
    </row>
    <row r="691" spans="1:38" x14ac:dyDescent="0.3">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v>2973</v>
      </c>
      <c r="S691">
        <v>13008</v>
      </c>
      <c r="T691">
        <v>1</v>
      </c>
      <c r="U691" t="s">
        <v>43</v>
      </c>
      <c r="V691">
        <v>19</v>
      </c>
      <c r="W691">
        <v>3</v>
      </c>
      <c r="X691">
        <v>2</v>
      </c>
      <c r="Y691">
        <v>0</v>
      </c>
      <c r="Z691">
        <v>1</v>
      </c>
      <c r="AA691">
        <v>2</v>
      </c>
      <c r="AB691">
        <v>3</v>
      </c>
      <c r="AC691">
        <v>1</v>
      </c>
      <c r="AD691">
        <v>0</v>
      </c>
      <c r="AE691">
        <v>0</v>
      </c>
      <c r="AF691">
        <v>0</v>
      </c>
      <c r="AG691" t="s">
        <v>67</v>
      </c>
      <c r="AH691">
        <v>1</v>
      </c>
      <c r="AI691" t="s">
        <v>72</v>
      </c>
      <c r="AJ691" s="3" t="s">
        <v>83</v>
      </c>
      <c r="AK691" s="3">
        <v>2</v>
      </c>
      <c r="AL691" s="3" t="s">
        <v>84</v>
      </c>
    </row>
    <row r="692" spans="1:38" x14ac:dyDescent="0.3">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v>5855</v>
      </c>
      <c r="S692">
        <v>17369</v>
      </c>
      <c r="T692">
        <v>0</v>
      </c>
      <c r="U692" t="s">
        <v>35</v>
      </c>
      <c r="V692">
        <v>11</v>
      </c>
      <c r="W692">
        <v>3</v>
      </c>
      <c r="X692">
        <v>3</v>
      </c>
      <c r="Y692">
        <v>2</v>
      </c>
      <c r="Z692">
        <v>10</v>
      </c>
      <c r="AA692">
        <v>2</v>
      </c>
      <c r="AB692">
        <v>1</v>
      </c>
      <c r="AC692">
        <v>9</v>
      </c>
      <c r="AD692">
        <v>7</v>
      </c>
      <c r="AE692">
        <v>8</v>
      </c>
      <c r="AF692">
        <v>5</v>
      </c>
      <c r="AG692" t="s">
        <v>65</v>
      </c>
      <c r="AH692">
        <v>0</v>
      </c>
      <c r="AI692" t="s">
        <v>72</v>
      </c>
      <c r="AJ692" s="3" t="s">
        <v>82</v>
      </c>
      <c r="AK692" s="3">
        <v>1</v>
      </c>
      <c r="AL692" s="3" t="s">
        <v>83</v>
      </c>
    </row>
    <row r="693" spans="1:38" x14ac:dyDescent="0.3">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v>3617</v>
      </c>
      <c r="S693">
        <v>25063</v>
      </c>
      <c r="T693">
        <v>8</v>
      </c>
      <c r="U693" t="s">
        <v>35</v>
      </c>
      <c r="V693">
        <v>14</v>
      </c>
      <c r="W693">
        <v>3</v>
      </c>
      <c r="X693">
        <v>4</v>
      </c>
      <c r="Y693">
        <v>1</v>
      </c>
      <c r="Z693">
        <v>3</v>
      </c>
      <c r="AA693">
        <v>2</v>
      </c>
      <c r="AB693">
        <v>3</v>
      </c>
      <c r="AC693">
        <v>1</v>
      </c>
      <c r="AD693">
        <v>1</v>
      </c>
      <c r="AE693">
        <v>0</v>
      </c>
      <c r="AF693">
        <v>0</v>
      </c>
      <c r="AG693" t="s">
        <v>67</v>
      </c>
      <c r="AH693">
        <v>0</v>
      </c>
      <c r="AI693" t="s">
        <v>71</v>
      </c>
      <c r="AJ693" s="3" t="s">
        <v>83</v>
      </c>
      <c r="AK693" s="3">
        <v>3</v>
      </c>
      <c r="AL693" s="3" t="s">
        <v>82</v>
      </c>
    </row>
    <row r="694" spans="1:38" x14ac:dyDescent="0.3">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v>6725</v>
      </c>
      <c r="S694">
        <v>13554</v>
      </c>
      <c r="T694">
        <v>1</v>
      </c>
      <c r="U694" t="s">
        <v>43</v>
      </c>
      <c r="V694">
        <v>12</v>
      </c>
      <c r="W694">
        <v>3</v>
      </c>
      <c r="X694">
        <v>3</v>
      </c>
      <c r="Y694">
        <v>1</v>
      </c>
      <c r="Z694">
        <v>8</v>
      </c>
      <c r="AA694">
        <v>2</v>
      </c>
      <c r="AB694">
        <v>4</v>
      </c>
      <c r="AC694">
        <v>8</v>
      </c>
      <c r="AD694">
        <v>7</v>
      </c>
      <c r="AE694">
        <v>6</v>
      </c>
      <c r="AF694">
        <v>3</v>
      </c>
      <c r="AG694" t="s">
        <v>65</v>
      </c>
      <c r="AH694">
        <v>0</v>
      </c>
      <c r="AI694" t="s">
        <v>70</v>
      </c>
      <c r="AJ694" s="3" t="s">
        <v>83</v>
      </c>
      <c r="AK694" s="3">
        <v>1</v>
      </c>
      <c r="AL694" s="3" t="s">
        <v>83</v>
      </c>
    </row>
    <row r="695" spans="1:38" x14ac:dyDescent="0.3">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v>10325</v>
      </c>
      <c r="S695">
        <v>5518</v>
      </c>
      <c r="T695">
        <v>1</v>
      </c>
      <c r="U695" t="s">
        <v>35</v>
      </c>
      <c r="V695">
        <v>11</v>
      </c>
      <c r="W695">
        <v>3</v>
      </c>
      <c r="X695">
        <v>1</v>
      </c>
      <c r="Y695">
        <v>1</v>
      </c>
      <c r="Z695">
        <v>16</v>
      </c>
      <c r="AA695">
        <v>6</v>
      </c>
      <c r="AB695">
        <v>3</v>
      </c>
      <c r="AC695">
        <v>16</v>
      </c>
      <c r="AD695">
        <v>7</v>
      </c>
      <c r="AE695">
        <v>3</v>
      </c>
      <c r="AF695">
        <v>7</v>
      </c>
      <c r="AG695" t="s">
        <v>65</v>
      </c>
      <c r="AH695">
        <v>1</v>
      </c>
      <c r="AI695" t="s">
        <v>71</v>
      </c>
      <c r="AJ695" s="3" t="s">
        <v>82</v>
      </c>
      <c r="AK695" s="3">
        <v>1</v>
      </c>
      <c r="AL695" s="3" t="s">
        <v>83</v>
      </c>
    </row>
    <row r="696" spans="1:38" x14ac:dyDescent="0.3">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v>6949</v>
      </c>
      <c r="S696">
        <v>12291</v>
      </c>
      <c r="T696">
        <v>0</v>
      </c>
      <c r="U696" t="s">
        <v>43</v>
      </c>
      <c r="V696">
        <v>14</v>
      </c>
      <c r="W696">
        <v>3</v>
      </c>
      <c r="X696">
        <v>1</v>
      </c>
      <c r="Y696">
        <v>0</v>
      </c>
      <c r="Z696">
        <v>6</v>
      </c>
      <c r="AA696">
        <v>3</v>
      </c>
      <c r="AB696">
        <v>3</v>
      </c>
      <c r="AC696">
        <v>5</v>
      </c>
      <c r="AD696">
        <v>0</v>
      </c>
      <c r="AE696">
        <v>1</v>
      </c>
      <c r="AF696">
        <v>4</v>
      </c>
      <c r="AG696" t="s">
        <v>68</v>
      </c>
      <c r="AH696">
        <v>0</v>
      </c>
      <c r="AI696" t="s">
        <v>71</v>
      </c>
      <c r="AJ696" s="3" t="s">
        <v>82</v>
      </c>
      <c r="AK696" s="3">
        <v>0</v>
      </c>
      <c r="AL696" s="3" t="s">
        <v>83</v>
      </c>
    </row>
    <row r="697" spans="1:38" x14ac:dyDescent="0.3">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v>10609</v>
      </c>
      <c r="S697">
        <v>14922</v>
      </c>
      <c r="T697">
        <v>5</v>
      </c>
      <c r="U697" t="s">
        <v>43</v>
      </c>
      <c r="V697">
        <v>11</v>
      </c>
      <c r="W697">
        <v>3</v>
      </c>
      <c r="X697">
        <v>3</v>
      </c>
      <c r="Y697">
        <v>0</v>
      </c>
      <c r="Z697">
        <v>17</v>
      </c>
      <c r="AA697">
        <v>2</v>
      </c>
      <c r="AB697">
        <v>1</v>
      </c>
      <c r="AC697">
        <v>14</v>
      </c>
      <c r="AD697">
        <v>1</v>
      </c>
      <c r="AE697">
        <v>11</v>
      </c>
      <c r="AF697">
        <v>7</v>
      </c>
      <c r="AG697" t="s">
        <v>65</v>
      </c>
      <c r="AH697">
        <v>1</v>
      </c>
      <c r="AI697" t="s">
        <v>71</v>
      </c>
      <c r="AJ697" s="3" t="s">
        <v>84</v>
      </c>
      <c r="AK697" s="3">
        <v>0</v>
      </c>
      <c r="AL697" s="3" t="s">
        <v>83</v>
      </c>
    </row>
    <row r="698" spans="1:38" x14ac:dyDescent="0.3">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v>4447</v>
      </c>
      <c r="S698">
        <v>23163</v>
      </c>
      <c r="T698">
        <v>1</v>
      </c>
      <c r="U698" t="s">
        <v>43</v>
      </c>
      <c r="V698">
        <v>12</v>
      </c>
      <c r="W698">
        <v>3</v>
      </c>
      <c r="X698">
        <v>2</v>
      </c>
      <c r="Y698">
        <v>0</v>
      </c>
      <c r="Z698">
        <v>9</v>
      </c>
      <c r="AA698">
        <v>5</v>
      </c>
      <c r="AB698">
        <v>2</v>
      </c>
      <c r="AC698">
        <v>9</v>
      </c>
      <c r="AD698">
        <v>7</v>
      </c>
      <c r="AE698">
        <v>0</v>
      </c>
      <c r="AF698">
        <v>8</v>
      </c>
      <c r="AG698" t="s">
        <v>65</v>
      </c>
      <c r="AH698">
        <v>0</v>
      </c>
      <c r="AI698" t="s">
        <v>71</v>
      </c>
      <c r="AJ698" s="3" t="s">
        <v>83</v>
      </c>
      <c r="AK698" s="3">
        <v>1</v>
      </c>
      <c r="AL698" s="3" t="s">
        <v>83</v>
      </c>
    </row>
    <row r="699" spans="1:38" x14ac:dyDescent="0.3">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v>2157</v>
      </c>
      <c r="S699">
        <v>18203</v>
      </c>
      <c r="T699">
        <v>1</v>
      </c>
      <c r="U699" t="s">
        <v>43</v>
      </c>
      <c r="V699">
        <v>15</v>
      </c>
      <c r="W699">
        <v>3</v>
      </c>
      <c r="X699">
        <v>2</v>
      </c>
      <c r="Y699">
        <v>1</v>
      </c>
      <c r="Z699">
        <v>3</v>
      </c>
      <c r="AA699">
        <v>5</v>
      </c>
      <c r="AB699">
        <v>3</v>
      </c>
      <c r="AC699">
        <v>3</v>
      </c>
      <c r="AD699">
        <v>1</v>
      </c>
      <c r="AE699">
        <v>0</v>
      </c>
      <c r="AF699">
        <v>2</v>
      </c>
      <c r="AG699" t="s">
        <v>67</v>
      </c>
      <c r="AH699">
        <v>0</v>
      </c>
      <c r="AI699" t="s">
        <v>70</v>
      </c>
      <c r="AJ699" s="3" t="s">
        <v>82</v>
      </c>
      <c r="AK699" s="3">
        <v>1</v>
      </c>
      <c r="AL699" s="3" t="s">
        <v>83</v>
      </c>
    </row>
    <row r="700" spans="1:38" x14ac:dyDescent="0.3">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v>4601</v>
      </c>
      <c r="S700">
        <v>6179</v>
      </c>
      <c r="T700">
        <v>1</v>
      </c>
      <c r="U700" t="s">
        <v>43</v>
      </c>
      <c r="V700">
        <v>16</v>
      </c>
      <c r="W700">
        <v>3</v>
      </c>
      <c r="X700">
        <v>2</v>
      </c>
      <c r="Y700">
        <v>0</v>
      </c>
      <c r="Z700">
        <v>5</v>
      </c>
      <c r="AA700">
        <v>3</v>
      </c>
      <c r="AB700">
        <v>3</v>
      </c>
      <c r="AC700">
        <v>5</v>
      </c>
      <c r="AD700">
        <v>2</v>
      </c>
      <c r="AE700">
        <v>1</v>
      </c>
      <c r="AF700">
        <v>0</v>
      </c>
      <c r="AG700" t="s">
        <v>68</v>
      </c>
      <c r="AH700">
        <v>0</v>
      </c>
      <c r="AI700" t="s">
        <v>72</v>
      </c>
      <c r="AJ700" s="3" t="s">
        <v>84</v>
      </c>
      <c r="AK700" s="3">
        <v>0</v>
      </c>
      <c r="AL700" s="3" t="s">
        <v>83</v>
      </c>
    </row>
    <row r="701" spans="1:38" x14ac:dyDescent="0.3">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v>17099</v>
      </c>
      <c r="S701">
        <v>13829</v>
      </c>
      <c r="T701">
        <v>2</v>
      </c>
      <c r="U701" t="s">
        <v>43</v>
      </c>
      <c r="V701">
        <v>15</v>
      </c>
      <c r="W701">
        <v>3</v>
      </c>
      <c r="X701">
        <v>2</v>
      </c>
      <c r="Y701">
        <v>1</v>
      </c>
      <c r="Z701">
        <v>26</v>
      </c>
      <c r="AA701">
        <v>2</v>
      </c>
      <c r="AB701">
        <v>2</v>
      </c>
      <c r="AC701">
        <v>9</v>
      </c>
      <c r="AD701">
        <v>8</v>
      </c>
      <c r="AE701">
        <v>7</v>
      </c>
      <c r="AF701">
        <v>8</v>
      </c>
      <c r="AG701" t="s">
        <v>65</v>
      </c>
      <c r="AH701">
        <v>0</v>
      </c>
      <c r="AI701" t="s">
        <v>71</v>
      </c>
      <c r="AJ701" s="3" t="s">
        <v>82</v>
      </c>
      <c r="AK701" s="3">
        <v>0</v>
      </c>
      <c r="AL701" s="3" t="s">
        <v>83</v>
      </c>
    </row>
    <row r="702" spans="1:38" x14ac:dyDescent="0.3">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v>2479</v>
      </c>
      <c r="S702">
        <v>26227</v>
      </c>
      <c r="T702">
        <v>4</v>
      </c>
      <c r="U702" t="s">
        <v>43</v>
      </c>
      <c r="V702">
        <v>24</v>
      </c>
      <c r="W702">
        <v>4</v>
      </c>
      <c r="X702">
        <v>1</v>
      </c>
      <c r="Y702">
        <v>0</v>
      </c>
      <c r="Z702">
        <v>7</v>
      </c>
      <c r="AA702">
        <v>4</v>
      </c>
      <c r="AB702">
        <v>3</v>
      </c>
      <c r="AC702">
        <v>1</v>
      </c>
      <c r="AD702">
        <v>0</v>
      </c>
      <c r="AE702">
        <v>0</v>
      </c>
      <c r="AF702">
        <v>0</v>
      </c>
      <c r="AG702" t="s">
        <v>67</v>
      </c>
      <c r="AH702">
        <v>1</v>
      </c>
      <c r="AI702" t="s">
        <v>69</v>
      </c>
      <c r="AJ702" s="3" t="s">
        <v>84</v>
      </c>
      <c r="AK702" s="3">
        <v>1</v>
      </c>
      <c r="AL702" s="3" t="s">
        <v>83</v>
      </c>
    </row>
    <row r="703" spans="1:38" x14ac:dyDescent="0.3">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v>14852</v>
      </c>
      <c r="S703">
        <v>13938</v>
      </c>
      <c r="T703">
        <v>6</v>
      </c>
      <c r="U703" t="s">
        <v>43</v>
      </c>
      <c r="V703">
        <v>13</v>
      </c>
      <c r="W703">
        <v>3</v>
      </c>
      <c r="X703">
        <v>3</v>
      </c>
      <c r="Y703">
        <v>1</v>
      </c>
      <c r="Z703">
        <v>22</v>
      </c>
      <c r="AA703">
        <v>3</v>
      </c>
      <c r="AB703">
        <v>4</v>
      </c>
      <c r="AC703">
        <v>17</v>
      </c>
      <c r="AD703">
        <v>13</v>
      </c>
      <c r="AE703">
        <v>15</v>
      </c>
      <c r="AF703">
        <v>2</v>
      </c>
      <c r="AG703" t="s">
        <v>65</v>
      </c>
      <c r="AH703">
        <v>0</v>
      </c>
      <c r="AI703" t="s">
        <v>69</v>
      </c>
      <c r="AJ703" s="3" t="s">
        <v>84</v>
      </c>
      <c r="AK703" s="3">
        <v>0</v>
      </c>
      <c r="AL703" s="3" t="s">
        <v>83</v>
      </c>
    </row>
    <row r="704" spans="1:38" x14ac:dyDescent="0.3">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v>7264</v>
      </c>
      <c r="S704">
        <v>9977</v>
      </c>
      <c r="T704">
        <v>5</v>
      </c>
      <c r="U704" t="s">
        <v>43</v>
      </c>
      <c r="V704">
        <v>11</v>
      </c>
      <c r="W704">
        <v>3</v>
      </c>
      <c r="X704">
        <v>1</v>
      </c>
      <c r="Y704">
        <v>1</v>
      </c>
      <c r="Z704">
        <v>10</v>
      </c>
      <c r="AA704">
        <v>2</v>
      </c>
      <c r="AB704">
        <v>4</v>
      </c>
      <c r="AC704">
        <v>8</v>
      </c>
      <c r="AD704">
        <v>4</v>
      </c>
      <c r="AE704">
        <v>7</v>
      </c>
      <c r="AF704">
        <v>7</v>
      </c>
      <c r="AG704" t="s">
        <v>65</v>
      </c>
      <c r="AH704">
        <v>0</v>
      </c>
      <c r="AI704" t="s">
        <v>69</v>
      </c>
      <c r="AJ704" s="3" t="s">
        <v>84</v>
      </c>
      <c r="AK704" s="3">
        <v>0</v>
      </c>
      <c r="AL704" s="3" t="s">
        <v>83</v>
      </c>
    </row>
    <row r="705" spans="1:38" x14ac:dyDescent="0.3">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v>5666</v>
      </c>
      <c r="S705">
        <v>19899</v>
      </c>
      <c r="T705">
        <v>1</v>
      </c>
      <c r="U705" t="s">
        <v>35</v>
      </c>
      <c r="V705">
        <v>13</v>
      </c>
      <c r="W705">
        <v>3</v>
      </c>
      <c r="X705">
        <v>2</v>
      </c>
      <c r="Y705">
        <v>0</v>
      </c>
      <c r="Z705">
        <v>6</v>
      </c>
      <c r="AA705">
        <v>1</v>
      </c>
      <c r="AB705">
        <v>3</v>
      </c>
      <c r="AC705">
        <v>5</v>
      </c>
      <c r="AD705">
        <v>3</v>
      </c>
      <c r="AE705">
        <v>1</v>
      </c>
      <c r="AF705">
        <v>3</v>
      </c>
      <c r="AG705" t="s">
        <v>68</v>
      </c>
      <c r="AH705">
        <v>0</v>
      </c>
      <c r="AI705" t="s">
        <v>71</v>
      </c>
      <c r="AJ705" s="3" t="s">
        <v>82</v>
      </c>
      <c r="AK705" s="3">
        <v>1</v>
      </c>
      <c r="AL705" s="3" t="s">
        <v>83</v>
      </c>
    </row>
    <row r="706" spans="1:38" x14ac:dyDescent="0.3">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v>7823</v>
      </c>
      <c r="S706">
        <v>6812</v>
      </c>
      <c r="T706">
        <v>6</v>
      </c>
      <c r="U706" t="s">
        <v>43</v>
      </c>
      <c r="V706">
        <v>13</v>
      </c>
      <c r="W706">
        <v>3</v>
      </c>
      <c r="X706">
        <v>2</v>
      </c>
      <c r="Y706">
        <v>1</v>
      </c>
      <c r="Z706">
        <v>12</v>
      </c>
      <c r="AA706">
        <v>2</v>
      </c>
      <c r="AB706">
        <v>3</v>
      </c>
      <c r="AC706">
        <v>10</v>
      </c>
      <c r="AD706">
        <v>9</v>
      </c>
      <c r="AE706">
        <v>0</v>
      </c>
      <c r="AF706">
        <v>8</v>
      </c>
      <c r="AG706" t="s">
        <v>65</v>
      </c>
      <c r="AH706">
        <v>0</v>
      </c>
      <c r="AI706" t="s">
        <v>71</v>
      </c>
      <c r="AJ706" s="3" t="s">
        <v>82</v>
      </c>
      <c r="AK706" s="3">
        <v>0</v>
      </c>
      <c r="AL706" s="3" t="s">
        <v>83</v>
      </c>
    </row>
    <row r="707" spans="1:38" x14ac:dyDescent="0.3">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v>7880</v>
      </c>
      <c r="S707">
        <v>2560</v>
      </c>
      <c r="T707">
        <v>0</v>
      </c>
      <c r="U707" t="s">
        <v>43</v>
      </c>
      <c r="V707">
        <v>18</v>
      </c>
      <c r="W707">
        <v>3</v>
      </c>
      <c r="X707">
        <v>4</v>
      </c>
      <c r="Y707">
        <v>0</v>
      </c>
      <c r="Z707">
        <v>9</v>
      </c>
      <c r="AA707">
        <v>3</v>
      </c>
      <c r="AB707">
        <v>3</v>
      </c>
      <c r="AC707">
        <v>8</v>
      </c>
      <c r="AD707">
        <v>7</v>
      </c>
      <c r="AE707">
        <v>0</v>
      </c>
      <c r="AF707">
        <v>7</v>
      </c>
      <c r="AG707" t="s">
        <v>65</v>
      </c>
      <c r="AH707">
        <v>0</v>
      </c>
      <c r="AI707" t="s">
        <v>71</v>
      </c>
      <c r="AJ707" s="3" t="s">
        <v>84</v>
      </c>
      <c r="AK707" s="3">
        <v>0</v>
      </c>
      <c r="AL707" s="3" t="s">
        <v>83</v>
      </c>
    </row>
    <row r="708" spans="1:38" x14ac:dyDescent="0.3">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v>13194</v>
      </c>
      <c r="S708">
        <v>17071</v>
      </c>
      <c r="T708">
        <v>4</v>
      </c>
      <c r="U708" t="s">
        <v>35</v>
      </c>
      <c r="V708">
        <v>16</v>
      </c>
      <c r="W708">
        <v>3</v>
      </c>
      <c r="X708">
        <v>4</v>
      </c>
      <c r="Y708">
        <v>0</v>
      </c>
      <c r="Z708">
        <v>22</v>
      </c>
      <c r="AA708">
        <v>2</v>
      </c>
      <c r="AB708">
        <v>2</v>
      </c>
      <c r="AC708">
        <v>1</v>
      </c>
      <c r="AD708">
        <v>0</v>
      </c>
      <c r="AE708">
        <v>0</v>
      </c>
      <c r="AF708">
        <v>0</v>
      </c>
      <c r="AG708" t="s">
        <v>67</v>
      </c>
      <c r="AH708">
        <v>1</v>
      </c>
      <c r="AI708" t="s">
        <v>71</v>
      </c>
      <c r="AJ708" s="3" t="s">
        <v>83</v>
      </c>
      <c r="AK708" s="3">
        <v>3</v>
      </c>
      <c r="AL708" s="3" t="s">
        <v>82</v>
      </c>
    </row>
    <row r="709" spans="1:38" x14ac:dyDescent="0.3">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v>5067</v>
      </c>
      <c r="S709">
        <v>6759</v>
      </c>
      <c r="T709">
        <v>1</v>
      </c>
      <c r="U709" t="s">
        <v>35</v>
      </c>
      <c r="V709">
        <v>19</v>
      </c>
      <c r="W709">
        <v>3</v>
      </c>
      <c r="X709">
        <v>3</v>
      </c>
      <c r="Y709">
        <v>0</v>
      </c>
      <c r="Z709">
        <v>20</v>
      </c>
      <c r="AA709">
        <v>3</v>
      </c>
      <c r="AB709">
        <v>4</v>
      </c>
      <c r="AC709">
        <v>19</v>
      </c>
      <c r="AD709">
        <v>10</v>
      </c>
      <c r="AE709">
        <v>2</v>
      </c>
      <c r="AF709">
        <v>7</v>
      </c>
      <c r="AG709" t="s">
        <v>65</v>
      </c>
      <c r="AH709">
        <v>0</v>
      </c>
      <c r="AI709" t="s">
        <v>70</v>
      </c>
      <c r="AJ709" s="3" t="s">
        <v>84</v>
      </c>
      <c r="AK709" s="3">
        <v>1</v>
      </c>
      <c r="AL709" s="3" t="s">
        <v>83</v>
      </c>
    </row>
    <row r="710" spans="1:38" x14ac:dyDescent="0.3">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v>5079</v>
      </c>
      <c r="S710">
        <v>25952</v>
      </c>
      <c r="T710">
        <v>4</v>
      </c>
      <c r="U710" t="s">
        <v>43</v>
      </c>
      <c r="V710">
        <v>13</v>
      </c>
      <c r="W710">
        <v>3</v>
      </c>
      <c r="X710">
        <v>4</v>
      </c>
      <c r="Y710">
        <v>2</v>
      </c>
      <c r="Z710">
        <v>12</v>
      </c>
      <c r="AA710">
        <v>3</v>
      </c>
      <c r="AB710">
        <v>3</v>
      </c>
      <c r="AC710">
        <v>7</v>
      </c>
      <c r="AD710">
        <v>7</v>
      </c>
      <c r="AE710">
        <v>0</v>
      </c>
      <c r="AF710">
        <v>7</v>
      </c>
      <c r="AG710" t="s">
        <v>65</v>
      </c>
      <c r="AH710">
        <v>0</v>
      </c>
      <c r="AI710" t="s">
        <v>70</v>
      </c>
      <c r="AJ710" s="3" t="s">
        <v>82</v>
      </c>
      <c r="AK710" s="3">
        <v>0</v>
      </c>
      <c r="AL710" s="3" t="s">
        <v>83</v>
      </c>
    </row>
    <row r="711" spans="1:38" x14ac:dyDescent="0.3">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v>2321</v>
      </c>
      <c r="S711">
        <v>10322</v>
      </c>
      <c r="T711">
        <v>0</v>
      </c>
      <c r="U711" t="s">
        <v>35</v>
      </c>
      <c r="V711">
        <v>22</v>
      </c>
      <c r="W711">
        <v>4</v>
      </c>
      <c r="X711">
        <v>1</v>
      </c>
      <c r="Y711">
        <v>0</v>
      </c>
      <c r="Z711">
        <v>4</v>
      </c>
      <c r="AA711">
        <v>0</v>
      </c>
      <c r="AB711">
        <v>3</v>
      </c>
      <c r="AC711">
        <v>3</v>
      </c>
      <c r="AD711">
        <v>2</v>
      </c>
      <c r="AE711">
        <v>1</v>
      </c>
      <c r="AF711">
        <v>2</v>
      </c>
      <c r="AG711" t="s">
        <v>67</v>
      </c>
      <c r="AH711">
        <v>1</v>
      </c>
      <c r="AI711" t="s">
        <v>71</v>
      </c>
      <c r="AJ711" s="3" t="s">
        <v>83</v>
      </c>
      <c r="AK711" s="3">
        <v>3</v>
      </c>
      <c r="AL711" s="3" t="s">
        <v>82</v>
      </c>
    </row>
    <row r="712" spans="1:38" x14ac:dyDescent="0.3">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v>17444</v>
      </c>
      <c r="S712">
        <v>20489</v>
      </c>
      <c r="T712">
        <v>1</v>
      </c>
      <c r="U712" t="s">
        <v>43</v>
      </c>
      <c r="V712">
        <v>11</v>
      </c>
      <c r="W712">
        <v>3</v>
      </c>
      <c r="X712">
        <v>4</v>
      </c>
      <c r="Y712">
        <v>0</v>
      </c>
      <c r="Z712">
        <v>10</v>
      </c>
      <c r="AA712">
        <v>2</v>
      </c>
      <c r="AB712">
        <v>3</v>
      </c>
      <c r="AC712">
        <v>10</v>
      </c>
      <c r="AD712">
        <v>8</v>
      </c>
      <c r="AE712">
        <v>6</v>
      </c>
      <c r="AF712">
        <v>0</v>
      </c>
      <c r="AG712" t="s">
        <v>65</v>
      </c>
      <c r="AH712">
        <v>0</v>
      </c>
      <c r="AI712" t="s">
        <v>71</v>
      </c>
      <c r="AJ712" s="3" t="s">
        <v>84</v>
      </c>
      <c r="AK712" s="3">
        <v>0</v>
      </c>
      <c r="AL712" s="3" t="s">
        <v>83</v>
      </c>
    </row>
    <row r="713" spans="1:38" x14ac:dyDescent="0.3">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v>2404</v>
      </c>
      <c r="S713">
        <v>11479</v>
      </c>
      <c r="T713">
        <v>6</v>
      </c>
      <c r="U713" t="s">
        <v>35</v>
      </c>
      <c r="V713">
        <v>20</v>
      </c>
      <c r="W713">
        <v>4</v>
      </c>
      <c r="X713">
        <v>3</v>
      </c>
      <c r="Y713">
        <v>0</v>
      </c>
      <c r="Z713">
        <v>3</v>
      </c>
      <c r="AA713">
        <v>5</v>
      </c>
      <c r="AB713">
        <v>3</v>
      </c>
      <c r="AC713">
        <v>0</v>
      </c>
      <c r="AD713">
        <v>0</v>
      </c>
      <c r="AE713">
        <v>0</v>
      </c>
      <c r="AF713">
        <v>0</v>
      </c>
      <c r="AG713" t="s">
        <v>66</v>
      </c>
      <c r="AH713">
        <v>1</v>
      </c>
      <c r="AI713" t="s">
        <v>71</v>
      </c>
      <c r="AJ713" s="3" t="s">
        <v>83</v>
      </c>
      <c r="AK713" s="3">
        <v>3</v>
      </c>
      <c r="AL713" s="3" t="s">
        <v>82</v>
      </c>
    </row>
    <row r="714" spans="1:38" x14ac:dyDescent="0.3">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v>3452</v>
      </c>
      <c r="S714">
        <v>17241</v>
      </c>
      <c r="T714">
        <v>3</v>
      </c>
      <c r="U714" t="s">
        <v>43</v>
      </c>
      <c r="V714">
        <v>18</v>
      </c>
      <c r="W714">
        <v>3</v>
      </c>
      <c r="X714">
        <v>1</v>
      </c>
      <c r="Y714">
        <v>0</v>
      </c>
      <c r="Z714">
        <v>5</v>
      </c>
      <c r="AA714">
        <v>4</v>
      </c>
      <c r="AB714">
        <v>3</v>
      </c>
      <c r="AC714">
        <v>3</v>
      </c>
      <c r="AD714">
        <v>2</v>
      </c>
      <c r="AE714">
        <v>0</v>
      </c>
      <c r="AF714">
        <v>2</v>
      </c>
      <c r="AG714" t="s">
        <v>67</v>
      </c>
      <c r="AH714">
        <v>0</v>
      </c>
      <c r="AI714" t="s">
        <v>72</v>
      </c>
      <c r="AJ714" s="3" t="s">
        <v>82</v>
      </c>
      <c r="AK714" s="3">
        <v>1</v>
      </c>
      <c r="AL714" s="3" t="s">
        <v>83</v>
      </c>
    </row>
    <row r="715" spans="1:38" x14ac:dyDescent="0.3">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v>2270</v>
      </c>
      <c r="S715">
        <v>11005</v>
      </c>
      <c r="T715">
        <v>3</v>
      </c>
      <c r="U715" t="s">
        <v>43</v>
      </c>
      <c r="V715">
        <v>14</v>
      </c>
      <c r="W715">
        <v>3</v>
      </c>
      <c r="X715">
        <v>4</v>
      </c>
      <c r="Y715">
        <v>2</v>
      </c>
      <c r="Z715">
        <v>8</v>
      </c>
      <c r="AA715">
        <v>2</v>
      </c>
      <c r="AB715">
        <v>3</v>
      </c>
      <c r="AC715">
        <v>5</v>
      </c>
      <c r="AD715">
        <v>3</v>
      </c>
      <c r="AE715">
        <v>0</v>
      </c>
      <c r="AF715">
        <v>2</v>
      </c>
      <c r="AG715" t="s">
        <v>68</v>
      </c>
      <c r="AH715">
        <v>0</v>
      </c>
      <c r="AI715" t="s">
        <v>71</v>
      </c>
      <c r="AJ715" s="3" t="s">
        <v>82</v>
      </c>
      <c r="AK715" s="3">
        <v>0</v>
      </c>
      <c r="AL715" s="3" t="s">
        <v>83</v>
      </c>
    </row>
    <row r="716" spans="1:38" x14ac:dyDescent="0.3">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v>17399</v>
      </c>
      <c r="S716">
        <v>6615</v>
      </c>
      <c r="T716">
        <v>9</v>
      </c>
      <c r="U716" t="s">
        <v>43</v>
      </c>
      <c r="V716">
        <v>22</v>
      </c>
      <c r="W716">
        <v>4</v>
      </c>
      <c r="X716">
        <v>3</v>
      </c>
      <c r="Y716">
        <v>1</v>
      </c>
      <c r="Z716">
        <v>32</v>
      </c>
      <c r="AA716">
        <v>1</v>
      </c>
      <c r="AB716">
        <v>2</v>
      </c>
      <c r="AC716">
        <v>5</v>
      </c>
      <c r="AD716">
        <v>4</v>
      </c>
      <c r="AE716">
        <v>1</v>
      </c>
      <c r="AF716">
        <v>3</v>
      </c>
      <c r="AG716" t="s">
        <v>68</v>
      </c>
      <c r="AH716">
        <v>0</v>
      </c>
      <c r="AI716" t="s">
        <v>70</v>
      </c>
      <c r="AJ716" s="3" t="s">
        <v>82</v>
      </c>
      <c r="AK716" s="3">
        <v>0</v>
      </c>
      <c r="AL716" s="3" t="s">
        <v>83</v>
      </c>
    </row>
    <row r="717" spans="1:38" x14ac:dyDescent="0.3">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v>5488</v>
      </c>
      <c r="S717">
        <v>20161</v>
      </c>
      <c r="T717">
        <v>1</v>
      </c>
      <c r="U717" t="s">
        <v>35</v>
      </c>
      <c r="V717">
        <v>13</v>
      </c>
      <c r="W717">
        <v>3</v>
      </c>
      <c r="X717">
        <v>1</v>
      </c>
      <c r="Y717">
        <v>1</v>
      </c>
      <c r="Z717">
        <v>6</v>
      </c>
      <c r="AA717">
        <v>2</v>
      </c>
      <c r="AB717">
        <v>3</v>
      </c>
      <c r="AC717">
        <v>6</v>
      </c>
      <c r="AD717">
        <v>5</v>
      </c>
      <c r="AE717">
        <v>1</v>
      </c>
      <c r="AF717">
        <v>2</v>
      </c>
      <c r="AG717" t="s">
        <v>65</v>
      </c>
      <c r="AH717">
        <v>0</v>
      </c>
      <c r="AI717" t="s">
        <v>69</v>
      </c>
      <c r="AJ717" s="3" t="s">
        <v>83</v>
      </c>
      <c r="AK717" s="3">
        <v>2</v>
      </c>
      <c r="AL717" s="3" t="s">
        <v>84</v>
      </c>
    </row>
    <row r="718" spans="1:38" x14ac:dyDescent="0.3">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v>19419</v>
      </c>
      <c r="S718">
        <v>3735</v>
      </c>
      <c r="T718">
        <v>2</v>
      </c>
      <c r="U718" t="s">
        <v>43</v>
      </c>
      <c r="V718">
        <v>17</v>
      </c>
      <c r="W718">
        <v>3</v>
      </c>
      <c r="X718">
        <v>2</v>
      </c>
      <c r="Y718">
        <v>1</v>
      </c>
      <c r="Z718">
        <v>21</v>
      </c>
      <c r="AA718">
        <v>2</v>
      </c>
      <c r="AB718">
        <v>4</v>
      </c>
      <c r="AC718">
        <v>18</v>
      </c>
      <c r="AD718">
        <v>16</v>
      </c>
      <c r="AE718">
        <v>0</v>
      </c>
      <c r="AF718">
        <v>11</v>
      </c>
      <c r="AG718" t="s">
        <v>65</v>
      </c>
      <c r="AH718">
        <v>0</v>
      </c>
      <c r="AI718" t="s">
        <v>71</v>
      </c>
      <c r="AJ718" s="3" t="s">
        <v>84</v>
      </c>
      <c r="AK718" s="3">
        <v>0</v>
      </c>
      <c r="AL718" s="3" t="s">
        <v>83</v>
      </c>
    </row>
    <row r="719" spans="1:38" x14ac:dyDescent="0.3">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v>2811</v>
      </c>
      <c r="S719">
        <v>12086</v>
      </c>
      <c r="T719">
        <v>9</v>
      </c>
      <c r="U719" t="s">
        <v>43</v>
      </c>
      <c r="V719">
        <v>14</v>
      </c>
      <c r="W719">
        <v>3</v>
      </c>
      <c r="X719">
        <v>2</v>
      </c>
      <c r="Y719">
        <v>1</v>
      </c>
      <c r="Z719">
        <v>4</v>
      </c>
      <c r="AA719">
        <v>2</v>
      </c>
      <c r="AB719">
        <v>3</v>
      </c>
      <c r="AC719">
        <v>2</v>
      </c>
      <c r="AD719">
        <v>2</v>
      </c>
      <c r="AE719">
        <v>2</v>
      </c>
      <c r="AF719">
        <v>2</v>
      </c>
      <c r="AG719" t="s">
        <v>67</v>
      </c>
      <c r="AH719">
        <v>0</v>
      </c>
      <c r="AI719" t="s">
        <v>70</v>
      </c>
      <c r="AJ719" s="3" t="s">
        <v>83</v>
      </c>
      <c r="AK719" s="3">
        <v>2</v>
      </c>
      <c r="AL719" s="3" t="s">
        <v>84</v>
      </c>
    </row>
    <row r="720" spans="1:38" x14ac:dyDescent="0.3">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v>3633</v>
      </c>
      <c r="S720">
        <v>14039</v>
      </c>
      <c r="T720">
        <v>1</v>
      </c>
      <c r="U720" t="s">
        <v>35</v>
      </c>
      <c r="V720">
        <v>15</v>
      </c>
      <c r="W720">
        <v>3</v>
      </c>
      <c r="X720">
        <v>3</v>
      </c>
      <c r="Y720">
        <v>1</v>
      </c>
      <c r="Z720">
        <v>9</v>
      </c>
      <c r="AA720">
        <v>2</v>
      </c>
      <c r="AB720">
        <v>3</v>
      </c>
      <c r="AC720">
        <v>9</v>
      </c>
      <c r="AD720">
        <v>8</v>
      </c>
      <c r="AE720">
        <v>0</v>
      </c>
      <c r="AF720">
        <v>8</v>
      </c>
      <c r="AG720" t="s">
        <v>65</v>
      </c>
      <c r="AH720">
        <v>0</v>
      </c>
      <c r="AI720" t="s">
        <v>72</v>
      </c>
      <c r="AJ720" s="3" t="s">
        <v>83</v>
      </c>
      <c r="AK720" s="3">
        <v>2</v>
      </c>
      <c r="AL720" s="3" t="s">
        <v>84</v>
      </c>
    </row>
    <row r="721" spans="1:38" x14ac:dyDescent="0.3">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v>4163</v>
      </c>
      <c r="S721">
        <v>8571</v>
      </c>
      <c r="T721">
        <v>1</v>
      </c>
      <c r="U721" t="s">
        <v>35</v>
      </c>
      <c r="V721">
        <v>17</v>
      </c>
      <c r="W721">
        <v>3</v>
      </c>
      <c r="X721">
        <v>3</v>
      </c>
      <c r="Y721">
        <v>0</v>
      </c>
      <c r="Z721">
        <v>9</v>
      </c>
      <c r="AA721">
        <v>0</v>
      </c>
      <c r="AB721">
        <v>3</v>
      </c>
      <c r="AC721">
        <v>9</v>
      </c>
      <c r="AD721">
        <v>0</v>
      </c>
      <c r="AE721">
        <v>0</v>
      </c>
      <c r="AF721">
        <v>7</v>
      </c>
      <c r="AG721" t="s">
        <v>65</v>
      </c>
      <c r="AH721">
        <v>0</v>
      </c>
      <c r="AI721" t="s">
        <v>70</v>
      </c>
      <c r="AJ721" s="3" t="s">
        <v>82</v>
      </c>
      <c r="AK721" s="3">
        <v>1</v>
      </c>
      <c r="AL721" s="3" t="s">
        <v>83</v>
      </c>
    </row>
    <row r="722" spans="1:38" x14ac:dyDescent="0.3">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v>2132</v>
      </c>
      <c r="S722">
        <v>11539</v>
      </c>
      <c r="T722">
        <v>4</v>
      </c>
      <c r="U722" t="s">
        <v>35</v>
      </c>
      <c r="V722">
        <v>11</v>
      </c>
      <c r="W722">
        <v>3</v>
      </c>
      <c r="X722">
        <v>2</v>
      </c>
      <c r="Y722">
        <v>0</v>
      </c>
      <c r="Z722">
        <v>7</v>
      </c>
      <c r="AA722">
        <v>2</v>
      </c>
      <c r="AB722">
        <v>3</v>
      </c>
      <c r="AC722">
        <v>5</v>
      </c>
      <c r="AD722">
        <v>2</v>
      </c>
      <c r="AE722">
        <v>0</v>
      </c>
      <c r="AF722">
        <v>1</v>
      </c>
      <c r="AG722" t="s">
        <v>68</v>
      </c>
      <c r="AH722">
        <v>1</v>
      </c>
      <c r="AI722" t="s">
        <v>70</v>
      </c>
      <c r="AJ722" s="3" t="s">
        <v>84</v>
      </c>
      <c r="AK722" s="3">
        <v>1</v>
      </c>
      <c r="AL722" s="3" t="s">
        <v>83</v>
      </c>
    </row>
    <row r="723" spans="1:38" x14ac:dyDescent="0.3">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v>13973</v>
      </c>
      <c r="S723">
        <v>4161</v>
      </c>
      <c r="T723">
        <v>3</v>
      </c>
      <c r="U723" t="s">
        <v>35</v>
      </c>
      <c r="V723">
        <v>18</v>
      </c>
      <c r="W723">
        <v>3</v>
      </c>
      <c r="X723">
        <v>4</v>
      </c>
      <c r="Y723">
        <v>1</v>
      </c>
      <c r="Z723">
        <v>22</v>
      </c>
      <c r="AA723">
        <v>2</v>
      </c>
      <c r="AB723">
        <v>3</v>
      </c>
      <c r="AC723">
        <v>12</v>
      </c>
      <c r="AD723">
        <v>11</v>
      </c>
      <c r="AE723">
        <v>1</v>
      </c>
      <c r="AF723">
        <v>5</v>
      </c>
      <c r="AG723" t="s">
        <v>65</v>
      </c>
      <c r="AH723">
        <v>0</v>
      </c>
      <c r="AI723" t="s">
        <v>71</v>
      </c>
      <c r="AJ723" s="3" t="s">
        <v>84</v>
      </c>
      <c r="AK723" s="3">
        <v>1</v>
      </c>
      <c r="AL723" s="3" t="s">
        <v>83</v>
      </c>
    </row>
    <row r="724" spans="1:38" x14ac:dyDescent="0.3">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v>2684</v>
      </c>
      <c r="S724">
        <v>12127</v>
      </c>
      <c r="T724">
        <v>0</v>
      </c>
      <c r="U724" t="s">
        <v>43</v>
      </c>
      <c r="V724">
        <v>17</v>
      </c>
      <c r="W724">
        <v>3</v>
      </c>
      <c r="X724">
        <v>2</v>
      </c>
      <c r="Y724">
        <v>1</v>
      </c>
      <c r="Z724">
        <v>3</v>
      </c>
      <c r="AA724">
        <v>0</v>
      </c>
      <c r="AB724">
        <v>2</v>
      </c>
      <c r="AC724">
        <v>2</v>
      </c>
      <c r="AD724">
        <v>1</v>
      </c>
      <c r="AE724">
        <v>0</v>
      </c>
      <c r="AF724">
        <v>2</v>
      </c>
      <c r="AG724" t="s">
        <v>67</v>
      </c>
      <c r="AH724">
        <v>0</v>
      </c>
      <c r="AI724" t="s">
        <v>69</v>
      </c>
      <c r="AJ724" s="3" t="s">
        <v>84</v>
      </c>
      <c r="AK724" s="3">
        <v>1</v>
      </c>
      <c r="AL724" s="3" t="s">
        <v>83</v>
      </c>
    </row>
    <row r="725" spans="1:38" x14ac:dyDescent="0.3">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v>10845</v>
      </c>
      <c r="S725">
        <v>24208</v>
      </c>
      <c r="T725">
        <v>6</v>
      </c>
      <c r="U725" t="s">
        <v>43</v>
      </c>
      <c r="V725">
        <v>13</v>
      </c>
      <c r="W725">
        <v>3</v>
      </c>
      <c r="X725">
        <v>2</v>
      </c>
      <c r="Y725">
        <v>1</v>
      </c>
      <c r="Z725">
        <v>13</v>
      </c>
      <c r="AA725">
        <v>3</v>
      </c>
      <c r="AB725">
        <v>3</v>
      </c>
      <c r="AC725">
        <v>8</v>
      </c>
      <c r="AD725">
        <v>7</v>
      </c>
      <c r="AE725">
        <v>0</v>
      </c>
      <c r="AF725">
        <v>7</v>
      </c>
      <c r="AG725" t="s">
        <v>65</v>
      </c>
      <c r="AH725">
        <v>0</v>
      </c>
      <c r="AI725" t="s">
        <v>71</v>
      </c>
      <c r="AJ725" s="3" t="s">
        <v>84</v>
      </c>
      <c r="AK725" s="3">
        <v>0</v>
      </c>
      <c r="AL725" s="3" t="s">
        <v>83</v>
      </c>
    </row>
    <row r="726" spans="1:38" x14ac:dyDescent="0.3">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v>4377</v>
      </c>
      <c r="S726">
        <v>24117</v>
      </c>
      <c r="T726">
        <v>1</v>
      </c>
      <c r="U726" t="s">
        <v>43</v>
      </c>
      <c r="V726">
        <v>15</v>
      </c>
      <c r="W726">
        <v>3</v>
      </c>
      <c r="X726">
        <v>2</v>
      </c>
      <c r="Y726">
        <v>2</v>
      </c>
      <c r="Z726">
        <v>5</v>
      </c>
      <c r="AA726">
        <v>6</v>
      </c>
      <c r="AB726">
        <v>3</v>
      </c>
      <c r="AC726">
        <v>4</v>
      </c>
      <c r="AD726">
        <v>2</v>
      </c>
      <c r="AE726">
        <v>3</v>
      </c>
      <c r="AF726">
        <v>2</v>
      </c>
      <c r="AG726" t="s">
        <v>68</v>
      </c>
      <c r="AH726">
        <v>0</v>
      </c>
      <c r="AI726" t="s">
        <v>70</v>
      </c>
      <c r="AJ726" s="3" t="s">
        <v>84</v>
      </c>
      <c r="AK726" s="3">
        <v>0</v>
      </c>
      <c r="AL726" s="3" t="s">
        <v>83</v>
      </c>
    </row>
    <row r="727" spans="1:38" x14ac:dyDescent="0.3">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v>3743</v>
      </c>
      <c r="S727">
        <v>10074</v>
      </c>
      <c r="T727">
        <v>1</v>
      </c>
      <c r="U727" t="s">
        <v>35</v>
      </c>
      <c r="V727">
        <v>24</v>
      </c>
      <c r="W727">
        <v>4</v>
      </c>
      <c r="X727">
        <v>4</v>
      </c>
      <c r="Y727">
        <v>1</v>
      </c>
      <c r="Z727">
        <v>5</v>
      </c>
      <c r="AA727">
        <v>2</v>
      </c>
      <c r="AB727">
        <v>1</v>
      </c>
      <c r="AC727">
        <v>4</v>
      </c>
      <c r="AD727">
        <v>2</v>
      </c>
      <c r="AE727">
        <v>0</v>
      </c>
      <c r="AF727">
        <v>2</v>
      </c>
      <c r="AG727" t="s">
        <v>68</v>
      </c>
      <c r="AH727">
        <v>1</v>
      </c>
      <c r="AI727" t="s">
        <v>72</v>
      </c>
      <c r="AJ727" s="3" t="s">
        <v>83</v>
      </c>
      <c r="AK727" s="3">
        <v>2</v>
      </c>
      <c r="AL727" s="3" t="s">
        <v>84</v>
      </c>
    </row>
    <row r="728" spans="1:38" x14ac:dyDescent="0.3">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v>4148</v>
      </c>
      <c r="S728">
        <v>11275</v>
      </c>
      <c r="T728">
        <v>1</v>
      </c>
      <c r="U728" t="s">
        <v>43</v>
      </c>
      <c r="V728">
        <v>12</v>
      </c>
      <c r="W728">
        <v>3</v>
      </c>
      <c r="X728">
        <v>3</v>
      </c>
      <c r="Y728">
        <v>1</v>
      </c>
      <c r="Z728">
        <v>4</v>
      </c>
      <c r="AA728">
        <v>1</v>
      </c>
      <c r="AB728">
        <v>3</v>
      </c>
      <c r="AC728">
        <v>4</v>
      </c>
      <c r="AD728">
        <v>3</v>
      </c>
      <c r="AE728">
        <v>0</v>
      </c>
      <c r="AF728">
        <v>3</v>
      </c>
      <c r="AG728" t="s">
        <v>68</v>
      </c>
      <c r="AH728">
        <v>0</v>
      </c>
      <c r="AI728" t="s">
        <v>71</v>
      </c>
      <c r="AJ728" s="3" t="s">
        <v>83</v>
      </c>
      <c r="AK728" s="3">
        <v>1</v>
      </c>
      <c r="AL728" s="3" t="s">
        <v>83</v>
      </c>
    </row>
    <row r="729" spans="1:38" x14ac:dyDescent="0.3">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v>1051</v>
      </c>
      <c r="S729">
        <v>13493</v>
      </c>
      <c r="T729">
        <v>1</v>
      </c>
      <c r="U729" t="s">
        <v>43</v>
      </c>
      <c r="V729">
        <v>15</v>
      </c>
      <c r="W729">
        <v>3</v>
      </c>
      <c r="X729">
        <v>4</v>
      </c>
      <c r="Y729">
        <v>0</v>
      </c>
      <c r="Z729">
        <v>0</v>
      </c>
      <c r="AA729">
        <v>2</v>
      </c>
      <c r="AB729">
        <v>3</v>
      </c>
      <c r="AC729">
        <v>0</v>
      </c>
      <c r="AD729">
        <v>0</v>
      </c>
      <c r="AE729">
        <v>0</v>
      </c>
      <c r="AF729">
        <v>0</v>
      </c>
      <c r="AG729" t="s">
        <v>66</v>
      </c>
      <c r="AH729">
        <v>0</v>
      </c>
      <c r="AI729" t="s">
        <v>71</v>
      </c>
      <c r="AJ729" s="3" t="s">
        <v>82</v>
      </c>
      <c r="AK729" s="3">
        <v>1</v>
      </c>
      <c r="AL729" s="3" t="s">
        <v>83</v>
      </c>
    </row>
    <row r="730" spans="1:38" x14ac:dyDescent="0.3">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v>10739</v>
      </c>
      <c r="S730">
        <v>13943</v>
      </c>
      <c r="T730">
        <v>8</v>
      </c>
      <c r="U730" t="s">
        <v>43</v>
      </c>
      <c r="V730">
        <v>11</v>
      </c>
      <c r="W730">
        <v>3</v>
      </c>
      <c r="X730">
        <v>3</v>
      </c>
      <c r="Y730">
        <v>1</v>
      </c>
      <c r="Z730">
        <v>22</v>
      </c>
      <c r="AA730">
        <v>2</v>
      </c>
      <c r="AB730">
        <v>3</v>
      </c>
      <c r="AC730">
        <v>10</v>
      </c>
      <c r="AD730">
        <v>7</v>
      </c>
      <c r="AE730">
        <v>0</v>
      </c>
      <c r="AF730">
        <v>8</v>
      </c>
      <c r="AG730" t="s">
        <v>65</v>
      </c>
      <c r="AH730">
        <v>0</v>
      </c>
      <c r="AI730" t="s">
        <v>72</v>
      </c>
      <c r="AJ730" s="3" t="s">
        <v>84</v>
      </c>
      <c r="AK730" s="3">
        <v>0</v>
      </c>
      <c r="AL730" s="3" t="s">
        <v>83</v>
      </c>
    </row>
    <row r="731" spans="1:38" x14ac:dyDescent="0.3">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v>10388</v>
      </c>
      <c r="S731">
        <v>6975</v>
      </c>
      <c r="T731">
        <v>1</v>
      </c>
      <c r="U731" t="s">
        <v>35</v>
      </c>
      <c r="V731">
        <v>11</v>
      </c>
      <c r="W731">
        <v>3</v>
      </c>
      <c r="X731">
        <v>3</v>
      </c>
      <c r="Y731">
        <v>1</v>
      </c>
      <c r="Z731">
        <v>16</v>
      </c>
      <c r="AA731">
        <v>3</v>
      </c>
      <c r="AB731">
        <v>2</v>
      </c>
      <c r="AC731">
        <v>16</v>
      </c>
      <c r="AD731">
        <v>10</v>
      </c>
      <c r="AE731">
        <v>10</v>
      </c>
      <c r="AF731">
        <v>1</v>
      </c>
      <c r="AG731" t="s">
        <v>65</v>
      </c>
      <c r="AH731">
        <v>0</v>
      </c>
      <c r="AI731" t="s">
        <v>69</v>
      </c>
      <c r="AJ731" s="3" t="s">
        <v>84</v>
      </c>
      <c r="AK731" s="3">
        <v>1</v>
      </c>
      <c r="AL731" s="3" t="s">
        <v>83</v>
      </c>
    </row>
    <row r="732" spans="1:38" x14ac:dyDescent="0.3">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v>11416</v>
      </c>
      <c r="S732">
        <v>17802</v>
      </c>
      <c r="T732">
        <v>0</v>
      </c>
      <c r="U732" t="s">
        <v>35</v>
      </c>
      <c r="V732">
        <v>12</v>
      </c>
      <c r="W732">
        <v>3</v>
      </c>
      <c r="X732">
        <v>3</v>
      </c>
      <c r="Y732">
        <v>3</v>
      </c>
      <c r="Z732">
        <v>9</v>
      </c>
      <c r="AA732">
        <v>4</v>
      </c>
      <c r="AB732">
        <v>2</v>
      </c>
      <c r="AC732">
        <v>8</v>
      </c>
      <c r="AD732">
        <v>7</v>
      </c>
      <c r="AE732">
        <v>1</v>
      </c>
      <c r="AF732">
        <v>7</v>
      </c>
      <c r="AG732" t="s">
        <v>65</v>
      </c>
      <c r="AH732">
        <v>0</v>
      </c>
      <c r="AI732" t="s">
        <v>71</v>
      </c>
      <c r="AJ732" s="3" t="s">
        <v>83</v>
      </c>
      <c r="AK732" s="3">
        <v>2</v>
      </c>
      <c r="AL732" s="3" t="s">
        <v>84</v>
      </c>
    </row>
    <row r="733" spans="1:38" x14ac:dyDescent="0.3">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v>2600</v>
      </c>
      <c r="S733">
        <v>18275</v>
      </c>
      <c r="T733">
        <v>1</v>
      </c>
      <c r="U733" t="s">
        <v>35</v>
      </c>
      <c r="V733">
        <v>15</v>
      </c>
      <c r="W733">
        <v>3</v>
      </c>
      <c r="X733">
        <v>1</v>
      </c>
      <c r="Y733">
        <v>0</v>
      </c>
      <c r="Z733">
        <v>1</v>
      </c>
      <c r="AA733">
        <v>2</v>
      </c>
      <c r="AB733">
        <v>3</v>
      </c>
      <c r="AC733">
        <v>1</v>
      </c>
      <c r="AD733">
        <v>0</v>
      </c>
      <c r="AE733">
        <v>0</v>
      </c>
      <c r="AF733">
        <v>0</v>
      </c>
      <c r="AG733" t="s">
        <v>67</v>
      </c>
      <c r="AH733">
        <v>1</v>
      </c>
      <c r="AI733" t="s">
        <v>71</v>
      </c>
      <c r="AJ733" s="3" t="s">
        <v>83</v>
      </c>
      <c r="AK733" s="3">
        <v>3</v>
      </c>
      <c r="AL733" s="3" t="s">
        <v>82</v>
      </c>
    </row>
    <row r="734" spans="1:38" x14ac:dyDescent="0.3">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v>2422</v>
      </c>
      <c r="S734">
        <v>25725</v>
      </c>
      <c r="T734">
        <v>0</v>
      </c>
      <c r="U734" t="s">
        <v>43</v>
      </c>
      <c r="V734">
        <v>17</v>
      </c>
      <c r="W734">
        <v>3</v>
      </c>
      <c r="X734">
        <v>1</v>
      </c>
      <c r="Y734">
        <v>0</v>
      </c>
      <c r="Z734">
        <v>4</v>
      </c>
      <c r="AA734">
        <v>3</v>
      </c>
      <c r="AB734">
        <v>3</v>
      </c>
      <c r="AC734">
        <v>3</v>
      </c>
      <c r="AD734">
        <v>2</v>
      </c>
      <c r="AE734">
        <v>1</v>
      </c>
      <c r="AF734">
        <v>2</v>
      </c>
      <c r="AG734" t="s">
        <v>67</v>
      </c>
      <c r="AH734">
        <v>1</v>
      </c>
      <c r="AI734" t="s">
        <v>72</v>
      </c>
      <c r="AJ734" s="3" t="s">
        <v>83</v>
      </c>
      <c r="AK734" s="3">
        <v>2</v>
      </c>
      <c r="AL734" s="3" t="s">
        <v>84</v>
      </c>
    </row>
    <row r="735" spans="1:38" x14ac:dyDescent="0.3">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v>5472</v>
      </c>
      <c r="S735">
        <v>3334</v>
      </c>
      <c r="T735">
        <v>1</v>
      </c>
      <c r="U735" t="s">
        <v>43</v>
      </c>
      <c r="V735">
        <v>12</v>
      </c>
      <c r="W735">
        <v>3</v>
      </c>
      <c r="X735">
        <v>2</v>
      </c>
      <c r="Y735">
        <v>0</v>
      </c>
      <c r="Z735">
        <v>8</v>
      </c>
      <c r="AA735">
        <v>2</v>
      </c>
      <c r="AB735">
        <v>3</v>
      </c>
      <c r="AC735">
        <v>8</v>
      </c>
      <c r="AD735">
        <v>7</v>
      </c>
      <c r="AE735">
        <v>1</v>
      </c>
      <c r="AF735">
        <v>3</v>
      </c>
      <c r="AG735" t="s">
        <v>65</v>
      </c>
      <c r="AH735">
        <v>0</v>
      </c>
      <c r="AI735" t="s">
        <v>71</v>
      </c>
      <c r="AJ735" s="3" t="s">
        <v>82</v>
      </c>
      <c r="AK735" s="3">
        <v>0</v>
      </c>
      <c r="AL735" s="3" t="s">
        <v>83</v>
      </c>
    </row>
    <row r="736" spans="1:38" x14ac:dyDescent="0.3">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v>2451</v>
      </c>
      <c r="S736">
        <v>6881</v>
      </c>
      <c r="T736">
        <v>1</v>
      </c>
      <c r="U736" t="s">
        <v>43</v>
      </c>
      <c r="V736">
        <v>15</v>
      </c>
      <c r="W736">
        <v>3</v>
      </c>
      <c r="X736">
        <v>1</v>
      </c>
      <c r="Y736">
        <v>1</v>
      </c>
      <c r="Z736">
        <v>4</v>
      </c>
      <c r="AA736">
        <v>3</v>
      </c>
      <c r="AB736">
        <v>2</v>
      </c>
      <c r="AC736">
        <v>4</v>
      </c>
      <c r="AD736">
        <v>3</v>
      </c>
      <c r="AE736">
        <v>1</v>
      </c>
      <c r="AF736">
        <v>1</v>
      </c>
      <c r="AG736" t="s">
        <v>68</v>
      </c>
      <c r="AH736">
        <v>0</v>
      </c>
      <c r="AI736" t="s">
        <v>72</v>
      </c>
      <c r="AJ736" s="3" t="s">
        <v>83</v>
      </c>
      <c r="AK736" s="3">
        <v>1</v>
      </c>
      <c r="AL736" s="3" t="s">
        <v>83</v>
      </c>
    </row>
    <row r="737" spans="1:38" x14ac:dyDescent="0.3">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v>4240</v>
      </c>
      <c r="S737">
        <v>13119</v>
      </c>
      <c r="T737">
        <v>2</v>
      </c>
      <c r="U737" t="s">
        <v>43</v>
      </c>
      <c r="V737">
        <v>13</v>
      </c>
      <c r="W737">
        <v>3</v>
      </c>
      <c r="X737">
        <v>4</v>
      </c>
      <c r="Y737">
        <v>0</v>
      </c>
      <c r="Z737">
        <v>19</v>
      </c>
      <c r="AA737">
        <v>0</v>
      </c>
      <c r="AB737">
        <v>3</v>
      </c>
      <c r="AC737">
        <v>2</v>
      </c>
      <c r="AD737">
        <v>2</v>
      </c>
      <c r="AE737">
        <v>2</v>
      </c>
      <c r="AF737">
        <v>2</v>
      </c>
      <c r="AG737" t="s">
        <v>67</v>
      </c>
      <c r="AH737">
        <v>0</v>
      </c>
      <c r="AI737" t="s">
        <v>72</v>
      </c>
      <c r="AJ737" s="3" t="s">
        <v>84</v>
      </c>
      <c r="AK737" s="3">
        <v>1</v>
      </c>
      <c r="AL737" s="3" t="s">
        <v>83</v>
      </c>
    </row>
    <row r="738" spans="1:38" x14ac:dyDescent="0.3">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v>10999</v>
      </c>
      <c r="S738">
        <v>22245</v>
      </c>
      <c r="T738">
        <v>7</v>
      </c>
      <c r="U738" t="s">
        <v>43</v>
      </c>
      <c r="V738">
        <v>14</v>
      </c>
      <c r="W738">
        <v>3</v>
      </c>
      <c r="X738">
        <v>2</v>
      </c>
      <c r="Y738">
        <v>0</v>
      </c>
      <c r="Z738">
        <v>27</v>
      </c>
      <c r="AA738">
        <v>3</v>
      </c>
      <c r="AB738">
        <v>3</v>
      </c>
      <c r="AC738">
        <v>15</v>
      </c>
      <c r="AD738">
        <v>11</v>
      </c>
      <c r="AE738">
        <v>4</v>
      </c>
      <c r="AF738">
        <v>8</v>
      </c>
      <c r="AG738" t="s">
        <v>65</v>
      </c>
      <c r="AH738">
        <v>0</v>
      </c>
      <c r="AI738" t="s">
        <v>70</v>
      </c>
      <c r="AJ738" s="3" t="s">
        <v>84</v>
      </c>
      <c r="AK738" s="3">
        <v>0</v>
      </c>
      <c r="AL738" s="3" t="s">
        <v>83</v>
      </c>
    </row>
    <row r="739" spans="1:38" x14ac:dyDescent="0.3">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v>5003</v>
      </c>
      <c r="S739">
        <v>23371</v>
      </c>
      <c r="T739">
        <v>6</v>
      </c>
      <c r="U739" t="s">
        <v>43</v>
      </c>
      <c r="V739">
        <v>14</v>
      </c>
      <c r="W739">
        <v>3</v>
      </c>
      <c r="X739">
        <v>2</v>
      </c>
      <c r="Y739">
        <v>0</v>
      </c>
      <c r="Z739">
        <v>8</v>
      </c>
      <c r="AA739">
        <v>6</v>
      </c>
      <c r="AB739">
        <v>3</v>
      </c>
      <c r="AC739">
        <v>2</v>
      </c>
      <c r="AD739">
        <v>2</v>
      </c>
      <c r="AE739">
        <v>2</v>
      </c>
      <c r="AF739">
        <v>1</v>
      </c>
      <c r="AG739" t="s">
        <v>67</v>
      </c>
      <c r="AH739">
        <v>0</v>
      </c>
      <c r="AI739" t="s">
        <v>70</v>
      </c>
      <c r="AJ739" s="3" t="s">
        <v>84</v>
      </c>
      <c r="AK739" s="3">
        <v>1</v>
      </c>
      <c r="AL739" s="3" t="s">
        <v>83</v>
      </c>
    </row>
    <row r="740" spans="1:38" x14ac:dyDescent="0.3">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v>12742</v>
      </c>
      <c r="S740">
        <v>7060</v>
      </c>
      <c r="T740">
        <v>1</v>
      </c>
      <c r="U740" t="s">
        <v>43</v>
      </c>
      <c r="V740">
        <v>16</v>
      </c>
      <c r="W740">
        <v>3</v>
      </c>
      <c r="X740">
        <v>3</v>
      </c>
      <c r="Y740">
        <v>1</v>
      </c>
      <c r="Z740">
        <v>21</v>
      </c>
      <c r="AA740">
        <v>3</v>
      </c>
      <c r="AB740">
        <v>3</v>
      </c>
      <c r="AC740">
        <v>21</v>
      </c>
      <c r="AD740">
        <v>6</v>
      </c>
      <c r="AE740">
        <v>11</v>
      </c>
      <c r="AF740">
        <v>8</v>
      </c>
      <c r="AG740" t="s">
        <v>65</v>
      </c>
      <c r="AH740">
        <v>0</v>
      </c>
      <c r="AI740" t="s">
        <v>70</v>
      </c>
      <c r="AJ740" s="3" t="s">
        <v>82</v>
      </c>
      <c r="AK740" s="3">
        <v>0</v>
      </c>
      <c r="AL740" s="3" t="s">
        <v>83</v>
      </c>
    </row>
    <row r="741" spans="1:38" x14ac:dyDescent="0.3">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v>4227</v>
      </c>
      <c r="S741">
        <v>4658</v>
      </c>
      <c r="T741">
        <v>0</v>
      </c>
      <c r="U741" t="s">
        <v>43</v>
      </c>
      <c r="V741">
        <v>18</v>
      </c>
      <c r="W741">
        <v>3</v>
      </c>
      <c r="X741">
        <v>2</v>
      </c>
      <c r="Y741">
        <v>1</v>
      </c>
      <c r="Z741">
        <v>4</v>
      </c>
      <c r="AA741">
        <v>2</v>
      </c>
      <c r="AB741">
        <v>3</v>
      </c>
      <c r="AC741">
        <v>3</v>
      </c>
      <c r="AD741">
        <v>2</v>
      </c>
      <c r="AE741">
        <v>2</v>
      </c>
      <c r="AF741">
        <v>2</v>
      </c>
      <c r="AG741" t="s">
        <v>67</v>
      </c>
      <c r="AH741">
        <v>0</v>
      </c>
      <c r="AI741" t="s">
        <v>71</v>
      </c>
      <c r="AJ741" s="3" t="s">
        <v>82</v>
      </c>
      <c r="AK741" s="3">
        <v>1</v>
      </c>
      <c r="AL741" s="3" t="s">
        <v>83</v>
      </c>
    </row>
    <row r="742" spans="1:38" x14ac:dyDescent="0.3">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v>3917</v>
      </c>
      <c r="S742">
        <v>9541</v>
      </c>
      <c r="T742">
        <v>1</v>
      </c>
      <c r="U742" t="s">
        <v>43</v>
      </c>
      <c r="V742">
        <v>20</v>
      </c>
      <c r="W742">
        <v>4</v>
      </c>
      <c r="X742">
        <v>1</v>
      </c>
      <c r="Y742">
        <v>1</v>
      </c>
      <c r="Z742">
        <v>3</v>
      </c>
      <c r="AA742">
        <v>4</v>
      </c>
      <c r="AB742">
        <v>2</v>
      </c>
      <c r="AC742">
        <v>3</v>
      </c>
      <c r="AD742">
        <v>2</v>
      </c>
      <c r="AE742">
        <v>1</v>
      </c>
      <c r="AF742">
        <v>2</v>
      </c>
      <c r="AG742" t="s">
        <v>67</v>
      </c>
      <c r="AH742">
        <v>0</v>
      </c>
      <c r="AI742" t="s">
        <v>72</v>
      </c>
      <c r="AJ742" s="3" t="s">
        <v>82</v>
      </c>
      <c r="AK742" s="3">
        <v>1</v>
      </c>
      <c r="AL742" s="3" t="s">
        <v>83</v>
      </c>
    </row>
    <row r="743" spans="1:38" x14ac:dyDescent="0.3">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v>18303</v>
      </c>
      <c r="S743">
        <v>7770</v>
      </c>
      <c r="T743">
        <v>6</v>
      </c>
      <c r="U743" t="s">
        <v>43</v>
      </c>
      <c r="V743">
        <v>13</v>
      </c>
      <c r="W743">
        <v>3</v>
      </c>
      <c r="X743">
        <v>2</v>
      </c>
      <c r="Y743">
        <v>0</v>
      </c>
      <c r="Z743">
        <v>21</v>
      </c>
      <c r="AA743">
        <v>3</v>
      </c>
      <c r="AB743">
        <v>4</v>
      </c>
      <c r="AC743">
        <v>1</v>
      </c>
      <c r="AD743">
        <v>0</v>
      </c>
      <c r="AE743">
        <v>0</v>
      </c>
      <c r="AF743">
        <v>0</v>
      </c>
      <c r="AG743" t="s">
        <v>67</v>
      </c>
      <c r="AH743">
        <v>0</v>
      </c>
      <c r="AI743" t="s">
        <v>71</v>
      </c>
      <c r="AJ743" s="3" t="s">
        <v>84</v>
      </c>
      <c r="AK743" s="3">
        <v>1</v>
      </c>
      <c r="AL743" s="3" t="s">
        <v>83</v>
      </c>
    </row>
    <row r="744" spans="1:38" x14ac:dyDescent="0.3">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v>2380</v>
      </c>
      <c r="S744">
        <v>20165</v>
      </c>
      <c r="T744">
        <v>4</v>
      </c>
      <c r="U744" t="s">
        <v>43</v>
      </c>
      <c r="V744">
        <v>18</v>
      </c>
      <c r="W744">
        <v>3</v>
      </c>
      <c r="X744">
        <v>2</v>
      </c>
      <c r="Y744">
        <v>0</v>
      </c>
      <c r="Z744">
        <v>8</v>
      </c>
      <c r="AA744">
        <v>5</v>
      </c>
      <c r="AB744">
        <v>3</v>
      </c>
      <c r="AC744">
        <v>1</v>
      </c>
      <c r="AD744">
        <v>0</v>
      </c>
      <c r="AE744">
        <v>0</v>
      </c>
      <c r="AF744">
        <v>0</v>
      </c>
      <c r="AG744" t="s">
        <v>67</v>
      </c>
      <c r="AH744">
        <v>0</v>
      </c>
      <c r="AI744" t="s">
        <v>70</v>
      </c>
      <c r="AJ744" s="3" t="s">
        <v>82</v>
      </c>
      <c r="AK744" s="3">
        <v>1</v>
      </c>
      <c r="AL744" s="3" t="s">
        <v>83</v>
      </c>
    </row>
    <row r="745" spans="1:38" x14ac:dyDescent="0.3">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v>13726</v>
      </c>
      <c r="S745">
        <v>21829</v>
      </c>
      <c r="T745">
        <v>3</v>
      </c>
      <c r="U745" t="s">
        <v>35</v>
      </c>
      <c r="V745">
        <v>13</v>
      </c>
      <c r="W745">
        <v>3</v>
      </c>
      <c r="X745">
        <v>1</v>
      </c>
      <c r="Y745">
        <v>0</v>
      </c>
      <c r="Z745">
        <v>30</v>
      </c>
      <c r="AA745">
        <v>4</v>
      </c>
      <c r="AB745">
        <v>3</v>
      </c>
      <c r="AC745">
        <v>5</v>
      </c>
      <c r="AD745">
        <v>3</v>
      </c>
      <c r="AE745">
        <v>4</v>
      </c>
      <c r="AF745">
        <v>3</v>
      </c>
      <c r="AG745" t="s">
        <v>68</v>
      </c>
      <c r="AH745">
        <v>0</v>
      </c>
      <c r="AI745" t="s">
        <v>69</v>
      </c>
      <c r="AJ745" s="3" t="s">
        <v>82</v>
      </c>
      <c r="AK745" s="3">
        <v>1</v>
      </c>
      <c r="AL745" s="3" t="s">
        <v>83</v>
      </c>
    </row>
    <row r="746" spans="1:38" x14ac:dyDescent="0.3">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v>4777</v>
      </c>
      <c r="S746">
        <v>14382</v>
      </c>
      <c r="T746">
        <v>5</v>
      </c>
      <c r="U746" t="s">
        <v>43</v>
      </c>
      <c r="V746">
        <v>15</v>
      </c>
      <c r="W746">
        <v>3</v>
      </c>
      <c r="X746">
        <v>1</v>
      </c>
      <c r="Y746">
        <v>0</v>
      </c>
      <c r="Z746">
        <v>15</v>
      </c>
      <c r="AA746">
        <v>2</v>
      </c>
      <c r="AB746">
        <v>1</v>
      </c>
      <c r="AC746">
        <v>1</v>
      </c>
      <c r="AD746">
        <v>0</v>
      </c>
      <c r="AE746">
        <v>0</v>
      </c>
      <c r="AF746">
        <v>0</v>
      </c>
      <c r="AG746" t="s">
        <v>67</v>
      </c>
      <c r="AH746">
        <v>1</v>
      </c>
      <c r="AI746" t="s">
        <v>69</v>
      </c>
      <c r="AJ746" s="3" t="s">
        <v>83</v>
      </c>
      <c r="AK746" s="3">
        <v>2</v>
      </c>
      <c r="AL746" s="3" t="s">
        <v>84</v>
      </c>
    </row>
    <row r="747" spans="1:38" x14ac:dyDescent="0.3">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v>6385</v>
      </c>
      <c r="S747">
        <v>12992</v>
      </c>
      <c r="T747">
        <v>3</v>
      </c>
      <c r="U747" t="s">
        <v>35</v>
      </c>
      <c r="V747">
        <v>14</v>
      </c>
      <c r="W747">
        <v>3</v>
      </c>
      <c r="X747">
        <v>4</v>
      </c>
      <c r="Y747">
        <v>2</v>
      </c>
      <c r="Z747">
        <v>17</v>
      </c>
      <c r="AA747">
        <v>3</v>
      </c>
      <c r="AB747">
        <v>3</v>
      </c>
      <c r="AC747">
        <v>8</v>
      </c>
      <c r="AD747">
        <v>7</v>
      </c>
      <c r="AE747">
        <v>6</v>
      </c>
      <c r="AF747">
        <v>7</v>
      </c>
      <c r="AG747" t="s">
        <v>65</v>
      </c>
      <c r="AH747">
        <v>0</v>
      </c>
      <c r="AI747" t="s">
        <v>71</v>
      </c>
      <c r="AJ747" s="3" t="s">
        <v>83</v>
      </c>
      <c r="AK747" s="3">
        <v>2</v>
      </c>
      <c r="AL747" s="3" t="s">
        <v>84</v>
      </c>
    </row>
    <row r="748" spans="1:38" x14ac:dyDescent="0.3">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v>19973</v>
      </c>
      <c r="S748">
        <v>20284</v>
      </c>
      <c r="T748">
        <v>1</v>
      </c>
      <c r="U748" t="s">
        <v>43</v>
      </c>
      <c r="V748">
        <v>22</v>
      </c>
      <c r="W748">
        <v>4</v>
      </c>
      <c r="X748">
        <v>2</v>
      </c>
      <c r="Y748">
        <v>2</v>
      </c>
      <c r="Z748">
        <v>21</v>
      </c>
      <c r="AA748">
        <v>3</v>
      </c>
      <c r="AB748">
        <v>3</v>
      </c>
      <c r="AC748">
        <v>21</v>
      </c>
      <c r="AD748">
        <v>16</v>
      </c>
      <c r="AE748">
        <v>5</v>
      </c>
      <c r="AF748">
        <v>10</v>
      </c>
      <c r="AG748" t="s">
        <v>65</v>
      </c>
      <c r="AH748">
        <v>0</v>
      </c>
      <c r="AI748" t="s">
        <v>69</v>
      </c>
      <c r="AJ748" s="3" t="s">
        <v>84</v>
      </c>
      <c r="AK748" s="3">
        <v>0</v>
      </c>
      <c r="AL748" s="3" t="s">
        <v>83</v>
      </c>
    </row>
    <row r="749" spans="1:38" x14ac:dyDescent="0.3">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v>6861</v>
      </c>
      <c r="S749">
        <v>4981</v>
      </c>
      <c r="T749">
        <v>8</v>
      </c>
      <c r="U749" t="s">
        <v>35</v>
      </c>
      <c r="V749">
        <v>12</v>
      </c>
      <c r="W749">
        <v>3</v>
      </c>
      <c r="X749">
        <v>3</v>
      </c>
      <c r="Y749">
        <v>0</v>
      </c>
      <c r="Z749">
        <v>19</v>
      </c>
      <c r="AA749">
        <v>1</v>
      </c>
      <c r="AB749">
        <v>3</v>
      </c>
      <c r="AC749">
        <v>1</v>
      </c>
      <c r="AD749">
        <v>0</v>
      </c>
      <c r="AE749">
        <v>0</v>
      </c>
      <c r="AF749">
        <v>0</v>
      </c>
      <c r="AG749" t="s">
        <v>67</v>
      </c>
      <c r="AH749">
        <v>0</v>
      </c>
      <c r="AI749" t="s">
        <v>70</v>
      </c>
      <c r="AJ749" s="3" t="s">
        <v>82</v>
      </c>
      <c r="AK749" s="3">
        <v>2</v>
      </c>
      <c r="AL749" s="3" t="s">
        <v>84</v>
      </c>
    </row>
    <row r="750" spans="1:38" x14ac:dyDescent="0.3">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v>4969</v>
      </c>
      <c r="S750">
        <v>21813</v>
      </c>
      <c r="T750">
        <v>8</v>
      </c>
      <c r="U750" t="s">
        <v>43</v>
      </c>
      <c r="V750">
        <v>18</v>
      </c>
      <c r="W750">
        <v>3</v>
      </c>
      <c r="X750">
        <v>4</v>
      </c>
      <c r="Y750">
        <v>0</v>
      </c>
      <c r="Z750">
        <v>7</v>
      </c>
      <c r="AA750">
        <v>6</v>
      </c>
      <c r="AB750">
        <v>3</v>
      </c>
      <c r="AC750">
        <v>2</v>
      </c>
      <c r="AD750">
        <v>2</v>
      </c>
      <c r="AE750">
        <v>2</v>
      </c>
      <c r="AF750">
        <v>2</v>
      </c>
      <c r="AG750" t="s">
        <v>67</v>
      </c>
      <c r="AH750">
        <v>1</v>
      </c>
      <c r="AI750" t="s">
        <v>71</v>
      </c>
      <c r="AJ750" s="3" t="s">
        <v>83</v>
      </c>
      <c r="AK750" s="3">
        <v>2</v>
      </c>
      <c r="AL750" s="3" t="s">
        <v>84</v>
      </c>
    </row>
    <row r="751" spans="1:38" x14ac:dyDescent="0.3">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v>19845</v>
      </c>
      <c r="S751">
        <v>25846</v>
      </c>
      <c r="T751">
        <v>1</v>
      </c>
      <c r="U751" t="s">
        <v>43</v>
      </c>
      <c r="V751">
        <v>15</v>
      </c>
      <c r="W751">
        <v>3</v>
      </c>
      <c r="X751">
        <v>4</v>
      </c>
      <c r="Y751">
        <v>1</v>
      </c>
      <c r="Z751">
        <v>33</v>
      </c>
      <c r="AA751">
        <v>3</v>
      </c>
      <c r="AB751">
        <v>3</v>
      </c>
      <c r="AC751">
        <v>32</v>
      </c>
      <c r="AD751">
        <v>14</v>
      </c>
      <c r="AE751">
        <v>6</v>
      </c>
      <c r="AF751">
        <v>9</v>
      </c>
      <c r="AG751" t="s">
        <v>65</v>
      </c>
      <c r="AH751">
        <v>1</v>
      </c>
      <c r="AI751" t="s">
        <v>72</v>
      </c>
      <c r="AJ751" s="3" t="s">
        <v>82</v>
      </c>
      <c r="AK751" s="3">
        <v>0</v>
      </c>
      <c r="AL751" s="3" t="s">
        <v>83</v>
      </c>
    </row>
    <row r="752" spans="1:38" x14ac:dyDescent="0.3">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v>13320</v>
      </c>
      <c r="S752">
        <v>11737</v>
      </c>
      <c r="T752">
        <v>3</v>
      </c>
      <c r="U752" t="s">
        <v>35</v>
      </c>
      <c r="V752">
        <v>18</v>
      </c>
      <c r="W752">
        <v>3</v>
      </c>
      <c r="X752">
        <v>3</v>
      </c>
      <c r="Y752">
        <v>1</v>
      </c>
      <c r="Z752">
        <v>23</v>
      </c>
      <c r="AA752">
        <v>2</v>
      </c>
      <c r="AB752">
        <v>3</v>
      </c>
      <c r="AC752">
        <v>12</v>
      </c>
      <c r="AD752">
        <v>11</v>
      </c>
      <c r="AE752">
        <v>11</v>
      </c>
      <c r="AF752">
        <v>11</v>
      </c>
      <c r="AG752" t="s">
        <v>65</v>
      </c>
      <c r="AH752">
        <v>0</v>
      </c>
      <c r="AI752" t="s">
        <v>69</v>
      </c>
      <c r="AJ752" s="3" t="s">
        <v>82</v>
      </c>
      <c r="AK752" s="3">
        <v>1</v>
      </c>
      <c r="AL752" s="3" t="s">
        <v>83</v>
      </c>
    </row>
    <row r="753" spans="1:38" x14ac:dyDescent="0.3">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v>6347</v>
      </c>
      <c r="S753">
        <v>24920</v>
      </c>
      <c r="T753">
        <v>0</v>
      </c>
      <c r="U753" t="s">
        <v>43</v>
      </c>
      <c r="V753">
        <v>12</v>
      </c>
      <c r="W753">
        <v>3</v>
      </c>
      <c r="X753">
        <v>1</v>
      </c>
      <c r="Y753">
        <v>1</v>
      </c>
      <c r="Z753">
        <v>19</v>
      </c>
      <c r="AA753">
        <v>3</v>
      </c>
      <c r="AB753">
        <v>3</v>
      </c>
      <c r="AC753">
        <v>18</v>
      </c>
      <c r="AD753">
        <v>7</v>
      </c>
      <c r="AE753">
        <v>0</v>
      </c>
      <c r="AF753">
        <v>13</v>
      </c>
      <c r="AG753" t="s">
        <v>65</v>
      </c>
      <c r="AH753">
        <v>0</v>
      </c>
      <c r="AI753" t="s">
        <v>70</v>
      </c>
      <c r="AJ753" s="3" t="s">
        <v>84</v>
      </c>
      <c r="AK753" s="3">
        <v>0</v>
      </c>
      <c r="AL753" s="3" t="s">
        <v>83</v>
      </c>
    </row>
    <row r="754" spans="1:38" x14ac:dyDescent="0.3">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v>2743</v>
      </c>
      <c r="S754">
        <v>8269</v>
      </c>
      <c r="T754">
        <v>1</v>
      </c>
      <c r="U754" t="s">
        <v>43</v>
      </c>
      <c r="V754">
        <v>16</v>
      </c>
      <c r="W754">
        <v>3</v>
      </c>
      <c r="X754">
        <v>3</v>
      </c>
      <c r="Y754">
        <v>0</v>
      </c>
      <c r="Z754">
        <v>18</v>
      </c>
      <c r="AA754">
        <v>1</v>
      </c>
      <c r="AB754">
        <v>3</v>
      </c>
      <c r="AC754">
        <v>17</v>
      </c>
      <c r="AD754">
        <v>13</v>
      </c>
      <c r="AE754">
        <v>15</v>
      </c>
      <c r="AF754">
        <v>14</v>
      </c>
      <c r="AG754" t="s">
        <v>65</v>
      </c>
      <c r="AH754">
        <v>1</v>
      </c>
      <c r="AI754" t="s">
        <v>69</v>
      </c>
      <c r="AJ754" s="3" t="s">
        <v>83</v>
      </c>
      <c r="AK754" s="3">
        <v>1</v>
      </c>
      <c r="AL754" s="3" t="s">
        <v>83</v>
      </c>
    </row>
    <row r="755" spans="1:38" x14ac:dyDescent="0.3">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v>10880</v>
      </c>
      <c r="S755">
        <v>5083</v>
      </c>
      <c r="T755">
        <v>1</v>
      </c>
      <c r="U755" t="s">
        <v>35</v>
      </c>
      <c r="V755">
        <v>13</v>
      </c>
      <c r="W755">
        <v>3</v>
      </c>
      <c r="X755">
        <v>3</v>
      </c>
      <c r="Y755">
        <v>0</v>
      </c>
      <c r="Z755">
        <v>21</v>
      </c>
      <c r="AA755">
        <v>2</v>
      </c>
      <c r="AB755">
        <v>3</v>
      </c>
      <c r="AC755">
        <v>21</v>
      </c>
      <c r="AD755">
        <v>6</v>
      </c>
      <c r="AE755">
        <v>2</v>
      </c>
      <c r="AF755">
        <v>8</v>
      </c>
      <c r="AG755" t="s">
        <v>65</v>
      </c>
      <c r="AH755">
        <v>0</v>
      </c>
      <c r="AI755" t="s">
        <v>71</v>
      </c>
      <c r="AJ755" s="3" t="s">
        <v>83</v>
      </c>
      <c r="AK755" s="3">
        <v>2</v>
      </c>
      <c r="AL755" s="3" t="s">
        <v>84</v>
      </c>
    </row>
    <row r="756" spans="1:38" x14ac:dyDescent="0.3">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v>2342</v>
      </c>
      <c r="S756">
        <v>21437</v>
      </c>
      <c r="T756">
        <v>0</v>
      </c>
      <c r="U756" t="s">
        <v>43</v>
      </c>
      <c r="V756">
        <v>19</v>
      </c>
      <c r="W756">
        <v>3</v>
      </c>
      <c r="X756">
        <v>4</v>
      </c>
      <c r="Y756">
        <v>0</v>
      </c>
      <c r="Z756">
        <v>3</v>
      </c>
      <c r="AA756">
        <v>2</v>
      </c>
      <c r="AB756">
        <v>2</v>
      </c>
      <c r="AC756">
        <v>2</v>
      </c>
      <c r="AD756">
        <v>2</v>
      </c>
      <c r="AE756">
        <v>2</v>
      </c>
      <c r="AF756">
        <v>2</v>
      </c>
      <c r="AG756" t="s">
        <v>67</v>
      </c>
      <c r="AH756">
        <v>0</v>
      </c>
      <c r="AI756" t="s">
        <v>71</v>
      </c>
      <c r="AJ756" s="3" t="s">
        <v>82</v>
      </c>
      <c r="AK756" s="3">
        <v>1</v>
      </c>
      <c r="AL756" s="3" t="s">
        <v>83</v>
      </c>
    </row>
    <row r="757" spans="1:38" x14ac:dyDescent="0.3">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v>17650</v>
      </c>
      <c r="S757">
        <v>5404</v>
      </c>
      <c r="T757">
        <v>3</v>
      </c>
      <c r="U757" t="s">
        <v>43</v>
      </c>
      <c r="V757">
        <v>13</v>
      </c>
      <c r="W757">
        <v>3</v>
      </c>
      <c r="X757">
        <v>2</v>
      </c>
      <c r="Y757">
        <v>1</v>
      </c>
      <c r="Z757">
        <v>26</v>
      </c>
      <c r="AA757">
        <v>4</v>
      </c>
      <c r="AB757">
        <v>4</v>
      </c>
      <c r="AC757">
        <v>9</v>
      </c>
      <c r="AD757">
        <v>3</v>
      </c>
      <c r="AE757">
        <v>1</v>
      </c>
      <c r="AF757">
        <v>1</v>
      </c>
      <c r="AG757" t="s">
        <v>65</v>
      </c>
      <c r="AH757">
        <v>0</v>
      </c>
      <c r="AI757" t="s">
        <v>71</v>
      </c>
      <c r="AJ757" s="3" t="s">
        <v>82</v>
      </c>
      <c r="AK757" s="3">
        <v>0</v>
      </c>
      <c r="AL757" s="3" t="s">
        <v>83</v>
      </c>
    </row>
    <row r="758" spans="1:38" x14ac:dyDescent="0.3">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v>4025</v>
      </c>
      <c r="S758">
        <v>11135</v>
      </c>
      <c r="T758">
        <v>9</v>
      </c>
      <c r="U758" t="s">
        <v>43</v>
      </c>
      <c r="V758">
        <v>12</v>
      </c>
      <c r="W758">
        <v>3</v>
      </c>
      <c r="X758">
        <v>2</v>
      </c>
      <c r="Y758">
        <v>0</v>
      </c>
      <c r="Z758">
        <v>10</v>
      </c>
      <c r="AA758">
        <v>2</v>
      </c>
      <c r="AB758">
        <v>3</v>
      </c>
      <c r="AC758">
        <v>8</v>
      </c>
      <c r="AD758">
        <v>7</v>
      </c>
      <c r="AE758">
        <v>7</v>
      </c>
      <c r="AF758">
        <v>7</v>
      </c>
      <c r="AG758" t="s">
        <v>65</v>
      </c>
      <c r="AH758">
        <v>0</v>
      </c>
      <c r="AI758" t="s">
        <v>70</v>
      </c>
      <c r="AJ758" s="3" t="s">
        <v>84</v>
      </c>
      <c r="AK758" s="3">
        <v>0</v>
      </c>
      <c r="AL758" s="3" t="s">
        <v>83</v>
      </c>
    </row>
    <row r="759" spans="1:38" x14ac:dyDescent="0.3">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v>9725</v>
      </c>
      <c r="S759">
        <v>12278</v>
      </c>
      <c r="T759">
        <v>0</v>
      </c>
      <c r="U759" t="s">
        <v>43</v>
      </c>
      <c r="V759">
        <v>11</v>
      </c>
      <c r="W759">
        <v>3</v>
      </c>
      <c r="X759">
        <v>4</v>
      </c>
      <c r="Y759">
        <v>1</v>
      </c>
      <c r="Z759">
        <v>16</v>
      </c>
      <c r="AA759">
        <v>2</v>
      </c>
      <c r="AB759">
        <v>2</v>
      </c>
      <c r="AC759">
        <v>15</v>
      </c>
      <c r="AD759">
        <v>1</v>
      </c>
      <c r="AE759">
        <v>0</v>
      </c>
      <c r="AF759">
        <v>9</v>
      </c>
      <c r="AG759" t="s">
        <v>65</v>
      </c>
      <c r="AH759">
        <v>0</v>
      </c>
      <c r="AI759" t="s">
        <v>71</v>
      </c>
      <c r="AJ759" s="3" t="s">
        <v>82</v>
      </c>
      <c r="AK759" s="3">
        <v>0</v>
      </c>
      <c r="AL759" s="3" t="s">
        <v>83</v>
      </c>
    </row>
    <row r="760" spans="1:38" x14ac:dyDescent="0.3">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v>11904</v>
      </c>
      <c r="S760">
        <v>11038</v>
      </c>
      <c r="T760">
        <v>3</v>
      </c>
      <c r="U760" t="s">
        <v>35</v>
      </c>
      <c r="V760">
        <v>14</v>
      </c>
      <c r="W760">
        <v>3</v>
      </c>
      <c r="X760">
        <v>3</v>
      </c>
      <c r="Y760">
        <v>1</v>
      </c>
      <c r="Z760">
        <v>14</v>
      </c>
      <c r="AA760">
        <v>1</v>
      </c>
      <c r="AB760">
        <v>1</v>
      </c>
      <c r="AC760">
        <v>6</v>
      </c>
      <c r="AD760">
        <v>4</v>
      </c>
      <c r="AE760">
        <v>0</v>
      </c>
      <c r="AF760">
        <v>4</v>
      </c>
      <c r="AG760" t="s">
        <v>65</v>
      </c>
      <c r="AH760">
        <v>0</v>
      </c>
      <c r="AI760" t="s">
        <v>71</v>
      </c>
      <c r="AJ760" s="3" t="s">
        <v>82</v>
      </c>
      <c r="AK760" s="3">
        <v>1</v>
      </c>
      <c r="AL760" s="3" t="s">
        <v>83</v>
      </c>
    </row>
    <row r="761" spans="1:38" x14ac:dyDescent="0.3">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v>2177</v>
      </c>
      <c r="S761">
        <v>8318</v>
      </c>
      <c r="T761">
        <v>1</v>
      </c>
      <c r="U761" t="s">
        <v>43</v>
      </c>
      <c r="V761">
        <v>16</v>
      </c>
      <c r="W761">
        <v>3</v>
      </c>
      <c r="X761">
        <v>1</v>
      </c>
      <c r="Y761">
        <v>0</v>
      </c>
      <c r="Z761">
        <v>6</v>
      </c>
      <c r="AA761">
        <v>3</v>
      </c>
      <c r="AB761">
        <v>3</v>
      </c>
      <c r="AC761">
        <v>6</v>
      </c>
      <c r="AD761">
        <v>3</v>
      </c>
      <c r="AE761">
        <v>0</v>
      </c>
      <c r="AF761">
        <v>4</v>
      </c>
      <c r="AG761" t="s">
        <v>65</v>
      </c>
      <c r="AH761">
        <v>0</v>
      </c>
      <c r="AI761" t="s">
        <v>69</v>
      </c>
      <c r="AJ761" s="3" t="s">
        <v>83</v>
      </c>
      <c r="AK761" s="3">
        <v>1</v>
      </c>
      <c r="AL761" s="3" t="s">
        <v>83</v>
      </c>
    </row>
    <row r="762" spans="1:38" x14ac:dyDescent="0.3">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v>7525</v>
      </c>
      <c r="S762">
        <v>23537</v>
      </c>
      <c r="T762">
        <v>2</v>
      </c>
      <c r="U762" t="s">
        <v>43</v>
      </c>
      <c r="V762">
        <v>12</v>
      </c>
      <c r="W762">
        <v>3</v>
      </c>
      <c r="X762">
        <v>1</v>
      </c>
      <c r="Y762">
        <v>1</v>
      </c>
      <c r="Z762">
        <v>30</v>
      </c>
      <c r="AA762">
        <v>2</v>
      </c>
      <c r="AB762">
        <v>3</v>
      </c>
      <c r="AC762">
        <v>15</v>
      </c>
      <c r="AD762">
        <v>7</v>
      </c>
      <c r="AE762">
        <v>6</v>
      </c>
      <c r="AF762">
        <v>12</v>
      </c>
      <c r="AG762" t="s">
        <v>65</v>
      </c>
      <c r="AH762">
        <v>0</v>
      </c>
      <c r="AI762" t="s">
        <v>70</v>
      </c>
      <c r="AJ762" s="3" t="s">
        <v>83</v>
      </c>
      <c r="AK762" s="3">
        <v>1</v>
      </c>
      <c r="AL762" s="3" t="s">
        <v>83</v>
      </c>
    </row>
    <row r="763" spans="1:38" x14ac:dyDescent="0.3">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v>4834</v>
      </c>
      <c r="S763">
        <v>7858</v>
      </c>
      <c r="T763">
        <v>7</v>
      </c>
      <c r="U763" t="s">
        <v>43</v>
      </c>
      <c r="V763">
        <v>14</v>
      </c>
      <c r="W763">
        <v>3</v>
      </c>
      <c r="X763">
        <v>2</v>
      </c>
      <c r="Y763">
        <v>1</v>
      </c>
      <c r="Z763">
        <v>9</v>
      </c>
      <c r="AA763">
        <v>3</v>
      </c>
      <c r="AB763">
        <v>2</v>
      </c>
      <c r="AC763">
        <v>1</v>
      </c>
      <c r="AD763">
        <v>0</v>
      </c>
      <c r="AE763">
        <v>0</v>
      </c>
      <c r="AF763">
        <v>0</v>
      </c>
      <c r="AG763" t="s">
        <v>67</v>
      </c>
      <c r="AH763">
        <v>1</v>
      </c>
      <c r="AI763" t="s">
        <v>69</v>
      </c>
      <c r="AJ763" s="3" t="s">
        <v>84</v>
      </c>
      <c r="AK763" s="3">
        <v>1</v>
      </c>
      <c r="AL763" s="3" t="s">
        <v>83</v>
      </c>
    </row>
    <row r="764" spans="1:38" x14ac:dyDescent="0.3">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v>2042</v>
      </c>
      <c r="S764">
        <v>15346</v>
      </c>
      <c r="T764">
        <v>6</v>
      </c>
      <c r="U764" t="s">
        <v>35</v>
      </c>
      <c r="V764">
        <v>14</v>
      </c>
      <c r="W764">
        <v>3</v>
      </c>
      <c r="X764">
        <v>2</v>
      </c>
      <c r="Y764">
        <v>1</v>
      </c>
      <c r="Z764">
        <v>6</v>
      </c>
      <c r="AA764">
        <v>2</v>
      </c>
      <c r="AB764">
        <v>3</v>
      </c>
      <c r="AC764">
        <v>3</v>
      </c>
      <c r="AD764">
        <v>2</v>
      </c>
      <c r="AE764">
        <v>1</v>
      </c>
      <c r="AF764">
        <v>2</v>
      </c>
      <c r="AG764" t="s">
        <v>67</v>
      </c>
      <c r="AH764">
        <v>1</v>
      </c>
      <c r="AI764" t="s">
        <v>71</v>
      </c>
      <c r="AJ764" s="3" t="s">
        <v>83</v>
      </c>
      <c r="AK764" s="3">
        <v>3</v>
      </c>
      <c r="AL764" s="3" t="s">
        <v>82</v>
      </c>
    </row>
    <row r="765" spans="1:38" x14ac:dyDescent="0.3">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v>2220</v>
      </c>
      <c r="S765">
        <v>18410</v>
      </c>
      <c r="T765">
        <v>1</v>
      </c>
      <c r="U765" t="s">
        <v>35</v>
      </c>
      <c r="V765">
        <v>19</v>
      </c>
      <c r="W765">
        <v>3</v>
      </c>
      <c r="X765">
        <v>4</v>
      </c>
      <c r="Y765">
        <v>1</v>
      </c>
      <c r="Z765">
        <v>1</v>
      </c>
      <c r="AA765">
        <v>2</v>
      </c>
      <c r="AB765">
        <v>3</v>
      </c>
      <c r="AC765">
        <v>1</v>
      </c>
      <c r="AD765">
        <v>1</v>
      </c>
      <c r="AE765">
        <v>0</v>
      </c>
      <c r="AF765">
        <v>0</v>
      </c>
      <c r="AG765" t="s">
        <v>67</v>
      </c>
      <c r="AH765">
        <v>0</v>
      </c>
      <c r="AI765" t="s">
        <v>72</v>
      </c>
      <c r="AJ765" s="3" t="s">
        <v>84</v>
      </c>
      <c r="AK765" s="3">
        <v>2</v>
      </c>
      <c r="AL765" s="3" t="s">
        <v>84</v>
      </c>
    </row>
    <row r="766" spans="1:38" x14ac:dyDescent="0.3">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v>1052</v>
      </c>
      <c r="S766">
        <v>23384</v>
      </c>
      <c r="T766">
        <v>1</v>
      </c>
      <c r="U766" t="s">
        <v>43</v>
      </c>
      <c r="V766">
        <v>22</v>
      </c>
      <c r="W766">
        <v>4</v>
      </c>
      <c r="X766">
        <v>2</v>
      </c>
      <c r="Y766">
        <v>0</v>
      </c>
      <c r="Z766">
        <v>1</v>
      </c>
      <c r="AA766">
        <v>5</v>
      </c>
      <c r="AB766">
        <v>3</v>
      </c>
      <c r="AC766">
        <v>1</v>
      </c>
      <c r="AD766">
        <v>0</v>
      </c>
      <c r="AE766">
        <v>0</v>
      </c>
      <c r="AF766">
        <v>0</v>
      </c>
      <c r="AG766" t="s">
        <v>67</v>
      </c>
      <c r="AH766">
        <v>0</v>
      </c>
      <c r="AI766" t="s">
        <v>71</v>
      </c>
      <c r="AJ766" s="3" t="s">
        <v>83</v>
      </c>
      <c r="AK766" s="3">
        <v>2</v>
      </c>
      <c r="AL766" s="3" t="s">
        <v>84</v>
      </c>
    </row>
    <row r="767" spans="1:38" x14ac:dyDescent="0.3">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v>2821</v>
      </c>
      <c r="S767">
        <v>2997</v>
      </c>
      <c r="T767">
        <v>3</v>
      </c>
      <c r="U767" t="s">
        <v>43</v>
      </c>
      <c r="V767">
        <v>16</v>
      </c>
      <c r="W767">
        <v>3</v>
      </c>
      <c r="X767">
        <v>1</v>
      </c>
      <c r="Y767">
        <v>1</v>
      </c>
      <c r="Z767">
        <v>8</v>
      </c>
      <c r="AA767">
        <v>2</v>
      </c>
      <c r="AB767">
        <v>3</v>
      </c>
      <c r="AC767">
        <v>2</v>
      </c>
      <c r="AD767">
        <v>2</v>
      </c>
      <c r="AE767">
        <v>2</v>
      </c>
      <c r="AF767">
        <v>2</v>
      </c>
      <c r="AG767" t="s">
        <v>67</v>
      </c>
      <c r="AH767">
        <v>0</v>
      </c>
      <c r="AI767" t="s">
        <v>72</v>
      </c>
      <c r="AJ767" s="3" t="s">
        <v>84</v>
      </c>
      <c r="AK767" s="3">
        <v>1</v>
      </c>
      <c r="AL767" s="3" t="s">
        <v>83</v>
      </c>
    </row>
    <row r="768" spans="1:38" x14ac:dyDescent="0.3">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v>19237</v>
      </c>
      <c r="S768">
        <v>12853</v>
      </c>
      <c r="T768">
        <v>2</v>
      </c>
      <c r="U768" t="s">
        <v>35</v>
      </c>
      <c r="V768">
        <v>11</v>
      </c>
      <c r="W768">
        <v>3</v>
      </c>
      <c r="X768">
        <v>4</v>
      </c>
      <c r="Y768">
        <v>1</v>
      </c>
      <c r="Z768">
        <v>29</v>
      </c>
      <c r="AA768">
        <v>2</v>
      </c>
      <c r="AB768">
        <v>2</v>
      </c>
      <c r="AC768">
        <v>8</v>
      </c>
      <c r="AD768">
        <v>1</v>
      </c>
      <c r="AE768">
        <v>7</v>
      </c>
      <c r="AF768">
        <v>7</v>
      </c>
      <c r="AG768" t="s">
        <v>65</v>
      </c>
      <c r="AH768">
        <v>0</v>
      </c>
      <c r="AI768" t="s">
        <v>71</v>
      </c>
      <c r="AJ768" s="3" t="s">
        <v>84</v>
      </c>
      <c r="AK768" s="3">
        <v>1</v>
      </c>
      <c r="AL768" s="3" t="s">
        <v>83</v>
      </c>
    </row>
    <row r="769" spans="1:38" x14ac:dyDescent="0.3">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v>4107</v>
      </c>
      <c r="S769">
        <v>13848</v>
      </c>
      <c r="T769">
        <v>3</v>
      </c>
      <c r="U769" t="s">
        <v>43</v>
      </c>
      <c r="V769">
        <v>15</v>
      </c>
      <c r="W769">
        <v>3</v>
      </c>
      <c r="X769">
        <v>1</v>
      </c>
      <c r="Y769">
        <v>0</v>
      </c>
      <c r="Z769">
        <v>8</v>
      </c>
      <c r="AA769">
        <v>3</v>
      </c>
      <c r="AB769">
        <v>2</v>
      </c>
      <c r="AC769">
        <v>4</v>
      </c>
      <c r="AD769">
        <v>3</v>
      </c>
      <c r="AE769">
        <v>0</v>
      </c>
      <c r="AF769">
        <v>1</v>
      </c>
      <c r="AG769" t="s">
        <v>68</v>
      </c>
      <c r="AH769">
        <v>0</v>
      </c>
      <c r="AI769" t="s">
        <v>69</v>
      </c>
      <c r="AJ769" s="3" t="s">
        <v>83</v>
      </c>
      <c r="AK769" s="3">
        <v>1</v>
      </c>
      <c r="AL769" s="3" t="s">
        <v>83</v>
      </c>
    </row>
    <row r="770" spans="1:38" x14ac:dyDescent="0.3">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v>8396</v>
      </c>
      <c r="S770">
        <v>22217</v>
      </c>
      <c r="T770">
        <v>1</v>
      </c>
      <c r="U770" t="s">
        <v>43</v>
      </c>
      <c r="V770">
        <v>14</v>
      </c>
      <c r="W770">
        <v>3</v>
      </c>
      <c r="X770">
        <v>2</v>
      </c>
      <c r="Y770">
        <v>1</v>
      </c>
      <c r="Z770">
        <v>8</v>
      </c>
      <c r="AA770">
        <v>3</v>
      </c>
      <c r="AB770">
        <v>2</v>
      </c>
      <c r="AC770">
        <v>7</v>
      </c>
      <c r="AD770">
        <v>7</v>
      </c>
      <c r="AE770">
        <v>7</v>
      </c>
      <c r="AF770">
        <v>5</v>
      </c>
      <c r="AG770" t="s">
        <v>65</v>
      </c>
      <c r="AH770">
        <v>0</v>
      </c>
      <c r="AI770" t="s">
        <v>71</v>
      </c>
      <c r="AJ770" s="3" t="s">
        <v>83</v>
      </c>
      <c r="AK770" s="3">
        <v>1</v>
      </c>
      <c r="AL770" s="3" t="s">
        <v>83</v>
      </c>
    </row>
    <row r="771" spans="1:38" x14ac:dyDescent="0.3">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v>2007</v>
      </c>
      <c r="S771">
        <v>25265</v>
      </c>
      <c r="T771">
        <v>1</v>
      </c>
      <c r="U771" t="s">
        <v>43</v>
      </c>
      <c r="V771">
        <v>13</v>
      </c>
      <c r="W771">
        <v>3</v>
      </c>
      <c r="X771">
        <v>3</v>
      </c>
      <c r="Y771">
        <v>2</v>
      </c>
      <c r="Z771">
        <v>5</v>
      </c>
      <c r="AA771">
        <v>5</v>
      </c>
      <c r="AB771">
        <v>3</v>
      </c>
      <c r="AC771">
        <v>5</v>
      </c>
      <c r="AD771">
        <v>3</v>
      </c>
      <c r="AE771">
        <v>1</v>
      </c>
      <c r="AF771">
        <v>3</v>
      </c>
      <c r="AG771" t="s">
        <v>68</v>
      </c>
      <c r="AH771">
        <v>0</v>
      </c>
      <c r="AI771" t="s">
        <v>70</v>
      </c>
      <c r="AJ771" s="3" t="s">
        <v>84</v>
      </c>
      <c r="AK771" s="3">
        <v>0</v>
      </c>
      <c r="AL771" s="3" t="s">
        <v>83</v>
      </c>
    </row>
    <row r="772" spans="1:38" x14ac:dyDescent="0.3">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v>19627</v>
      </c>
      <c r="S772">
        <v>21445</v>
      </c>
      <c r="T772">
        <v>9</v>
      </c>
      <c r="U772" t="s">
        <v>43</v>
      </c>
      <c r="V772">
        <v>17</v>
      </c>
      <c r="W772">
        <v>3</v>
      </c>
      <c r="X772">
        <v>4</v>
      </c>
      <c r="Y772">
        <v>2</v>
      </c>
      <c r="Z772">
        <v>23</v>
      </c>
      <c r="AA772">
        <v>0</v>
      </c>
      <c r="AB772">
        <v>3</v>
      </c>
      <c r="AC772">
        <v>2</v>
      </c>
      <c r="AD772">
        <v>2</v>
      </c>
      <c r="AE772">
        <v>2</v>
      </c>
      <c r="AF772">
        <v>2</v>
      </c>
      <c r="AG772" t="s">
        <v>67</v>
      </c>
      <c r="AH772">
        <v>0</v>
      </c>
      <c r="AI772" t="s">
        <v>72</v>
      </c>
      <c r="AJ772" s="3" t="s">
        <v>82</v>
      </c>
      <c r="AK772" s="3">
        <v>1</v>
      </c>
      <c r="AL772" s="3" t="s">
        <v>83</v>
      </c>
    </row>
    <row r="773" spans="1:38" x14ac:dyDescent="0.3">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v>10686</v>
      </c>
      <c r="S773">
        <v>8392</v>
      </c>
      <c r="T773">
        <v>6</v>
      </c>
      <c r="U773" t="s">
        <v>43</v>
      </c>
      <c r="V773">
        <v>11</v>
      </c>
      <c r="W773">
        <v>3</v>
      </c>
      <c r="X773">
        <v>2</v>
      </c>
      <c r="Y773">
        <v>1</v>
      </c>
      <c r="Z773">
        <v>13</v>
      </c>
      <c r="AA773">
        <v>4</v>
      </c>
      <c r="AB773">
        <v>3</v>
      </c>
      <c r="AC773">
        <v>9</v>
      </c>
      <c r="AD773">
        <v>4</v>
      </c>
      <c r="AE773">
        <v>7</v>
      </c>
      <c r="AF773">
        <v>0</v>
      </c>
      <c r="AG773" t="s">
        <v>65</v>
      </c>
      <c r="AH773">
        <v>0</v>
      </c>
      <c r="AI773" t="s">
        <v>70</v>
      </c>
      <c r="AJ773" s="3" t="s">
        <v>84</v>
      </c>
      <c r="AK773" s="3">
        <v>0</v>
      </c>
      <c r="AL773" s="3" t="s">
        <v>83</v>
      </c>
    </row>
    <row r="774" spans="1:38" x14ac:dyDescent="0.3">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v>2942</v>
      </c>
      <c r="S774">
        <v>12154</v>
      </c>
      <c r="T774">
        <v>2</v>
      </c>
      <c r="U774" t="s">
        <v>43</v>
      </c>
      <c r="V774">
        <v>19</v>
      </c>
      <c r="W774">
        <v>3</v>
      </c>
      <c r="X774">
        <v>2</v>
      </c>
      <c r="Y774">
        <v>1</v>
      </c>
      <c r="Z774">
        <v>18</v>
      </c>
      <c r="AA774">
        <v>4</v>
      </c>
      <c r="AB774">
        <v>3</v>
      </c>
      <c r="AC774">
        <v>5</v>
      </c>
      <c r="AD774">
        <v>4</v>
      </c>
      <c r="AE774">
        <v>0</v>
      </c>
      <c r="AF774">
        <v>3</v>
      </c>
      <c r="AG774" t="s">
        <v>68</v>
      </c>
      <c r="AH774">
        <v>0</v>
      </c>
      <c r="AI774" t="s">
        <v>69</v>
      </c>
      <c r="AJ774" s="3" t="s">
        <v>84</v>
      </c>
      <c r="AK774" s="3">
        <v>0</v>
      </c>
      <c r="AL774" s="3" t="s">
        <v>83</v>
      </c>
    </row>
    <row r="775" spans="1:38" x14ac:dyDescent="0.3">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v>8858</v>
      </c>
      <c r="S775">
        <v>15669</v>
      </c>
      <c r="T775">
        <v>0</v>
      </c>
      <c r="U775" t="s">
        <v>43</v>
      </c>
      <c r="V775">
        <v>11</v>
      </c>
      <c r="W775">
        <v>3</v>
      </c>
      <c r="X775">
        <v>2</v>
      </c>
      <c r="Y775">
        <v>0</v>
      </c>
      <c r="Z775">
        <v>15</v>
      </c>
      <c r="AA775">
        <v>2</v>
      </c>
      <c r="AB775">
        <v>2</v>
      </c>
      <c r="AC775">
        <v>14</v>
      </c>
      <c r="AD775">
        <v>8</v>
      </c>
      <c r="AE775">
        <v>7</v>
      </c>
      <c r="AF775">
        <v>8</v>
      </c>
      <c r="AG775" t="s">
        <v>65</v>
      </c>
      <c r="AH775">
        <v>0</v>
      </c>
      <c r="AI775" t="s">
        <v>69</v>
      </c>
      <c r="AJ775" s="3" t="s">
        <v>82</v>
      </c>
      <c r="AK775" s="3">
        <v>0</v>
      </c>
      <c r="AL775" s="3" t="s">
        <v>83</v>
      </c>
    </row>
    <row r="776" spans="1:38" x14ac:dyDescent="0.3">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v>16756</v>
      </c>
      <c r="S776">
        <v>17323</v>
      </c>
      <c r="T776">
        <v>7</v>
      </c>
      <c r="U776" t="s">
        <v>43</v>
      </c>
      <c r="V776">
        <v>15</v>
      </c>
      <c r="W776">
        <v>3</v>
      </c>
      <c r="X776">
        <v>2</v>
      </c>
      <c r="Y776">
        <v>0</v>
      </c>
      <c r="Z776">
        <v>31</v>
      </c>
      <c r="AA776">
        <v>3</v>
      </c>
      <c r="AB776">
        <v>4</v>
      </c>
      <c r="AC776">
        <v>9</v>
      </c>
      <c r="AD776">
        <v>7</v>
      </c>
      <c r="AE776">
        <v>6</v>
      </c>
      <c r="AF776">
        <v>2</v>
      </c>
      <c r="AG776" t="s">
        <v>65</v>
      </c>
      <c r="AH776">
        <v>0</v>
      </c>
      <c r="AI776" t="s">
        <v>71</v>
      </c>
      <c r="AJ776" s="3" t="s">
        <v>83</v>
      </c>
      <c r="AK776" s="3">
        <v>1</v>
      </c>
      <c r="AL776" s="3" t="s">
        <v>83</v>
      </c>
    </row>
    <row r="777" spans="1:38" x14ac:dyDescent="0.3">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v>10798</v>
      </c>
      <c r="S777">
        <v>5268</v>
      </c>
      <c r="T777">
        <v>5</v>
      </c>
      <c r="U777" t="s">
        <v>43</v>
      </c>
      <c r="V777">
        <v>13</v>
      </c>
      <c r="W777">
        <v>3</v>
      </c>
      <c r="X777">
        <v>3</v>
      </c>
      <c r="Y777">
        <v>1</v>
      </c>
      <c r="Z777">
        <v>18</v>
      </c>
      <c r="AA777">
        <v>5</v>
      </c>
      <c r="AB777">
        <v>3</v>
      </c>
      <c r="AC777">
        <v>1</v>
      </c>
      <c r="AD777">
        <v>0</v>
      </c>
      <c r="AE777">
        <v>0</v>
      </c>
      <c r="AF777">
        <v>0</v>
      </c>
      <c r="AG777" t="s">
        <v>67</v>
      </c>
      <c r="AH777">
        <v>0</v>
      </c>
      <c r="AI777" t="s">
        <v>69</v>
      </c>
      <c r="AJ777" s="3" t="s">
        <v>82</v>
      </c>
      <c r="AK777" s="3">
        <v>1</v>
      </c>
      <c r="AL777" s="3" t="s">
        <v>83</v>
      </c>
    </row>
    <row r="778" spans="1:38" x14ac:dyDescent="0.3">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v>2323</v>
      </c>
      <c r="S778">
        <v>17205</v>
      </c>
      <c r="T778">
        <v>1</v>
      </c>
      <c r="U778" t="s">
        <v>35</v>
      </c>
      <c r="V778">
        <v>14</v>
      </c>
      <c r="W778">
        <v>3</v>
      </c>
      <c r="X778">
        <v>2</v>
      </c>
      <c r="Y778">
        <v>0</v>
      </c>
      <c r="Z778">
        <v>2</v>
      </c>
      <c r="AA778">
        <v>3</v>
      </c>
      <c r="AB778">
        <v>3</v>
      </c>
      <c r="AC778">
        <v>2</v>
      </c>
      <c r="AD778">
        <v>2</v>
      </c>
      <c r="AE778">
        <v>0</v>
      </c>
      <c r="AF778">
        <v>2</v>
      </c>
      <c r="AG778" t="s">
        <v>67</v>
      </c>
      <c r="AH778">
        <v>1</v>
      </c>
      <c r="AI778" t="s">
        <v>70</v>
      </c>
      <c r="AJ778" s="3" t="s">
        <v>82</v>
      </c>
      <c r="AK778" s="3">
        <v>2</v>
      </c>
      <c r="AL778" s="3" t="s">
        <v>84</v>
      </c>
    </row>
    <row r="779" spans="1:38" x14ac:dyDescent="0.3">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v>1416</v>
      </c>
      <c r="S779">
        <v>17258</v>
      </c>
      <c r="T779">
        <v>1</v>
      </c>
      <c r="U779" t="s">
        <v>43</v>
      </c>
      <c r="V779">
        <v>13</v>
      </c>
      <c r="W779">
        <v>3</v>
      </c>
      <c r="X779">
        <v>1</v>
      </c>
      <c r="Y779">
        <v>0</v>
      </c>
      <c r="Z779">
        <v>1</v>
      </c>
      <c r="AA779">
        <v>6</v>
      </c>
      <c r="AB779">
        <v>2</v>
      </c>
      <c r="AC779">
        <v>1</v>
      </c>
      <c r="AD779">
        <v>0</v>
      </c>
      <c r="AE779">
        <v>1</v>
      </c>
      <c r="AF779">
        <v>0</v>
      </c>
      <c r="AG779" t="s">
        <v>67</v>
      </c>
      <c r="AH779">
        <v>1</v>
      </c>
      <c r="AI779" t="s">
        <v>72</v>
      </c>
      <c r="AJ779" s="3" t="s">
        <v>83</v>
      </c>
      <c r="AK779" s="3">
        <v>2</v>
      </c>
      <c r="AL779" s="3" t="s">
        <v>84</v>
      </c>
    </row>
    <row r="780" spans="1:38" x14ac:dyDescent="0.3">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v>4615</v>
      </c>
      <c r="S780">
        <v>21029</v>
      </c>
      <c r="T780">
        <v>8</v>
      </c>
      <c r="U780" t="s">
        <v>35</v>
      </c>
      <c r="V780">
        <v>23</v>
      </c>
      <c r="W780">
        <v>4</v>
      </c>
      <c r="X780">
        <v>1</v>
      </c>
      <c r="Y780">
        <v>3</v>
      </c>
      <c r="Z780">
        <v>19</v>
      </c>
      <c r="AA780">
        <v>2</v>
      </c>
      <c r="AB780">
        <v>3</v>
      </c>
      <c r="AC780">
        <v>16</v>
      </c>
      <c r="AD780">
        <v>13</v>
      </c>
      <c r="AE780">
        <v>1</v>
      </c>
      <c r="AF780">
        <v>7</v>
      </c>
      <c r="AG780" t="s">
        <v>65</v>
      </c>
      <c r="AH780">
        <v>0</v>
      </c>
      <c r="AI780" t="s">
        <v>72</v>
      </c>
      <c r="AJ780" s="3" t="s">
        <v>83</v>
      </c>
      <c r="AK780" s="3">
        <v>2</v>
      </c>
      <c r="AL780" s="3" t="s">
        <v>84</v>
      </c>
    </row>
    <row r="781" spans="1:38" x14ac:dyDescent="0.3">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v>2461</v>
      </c>
      <c r="S781">
        <v>10332</v>
      </c>
      <c r="T781">
        <v>9</v>
      </c>
      <c r="U781" t="s">
        <v>35</v>
      </c>
      <c r="V781">
        <v>12</v>
      </c>
      <c r="W781">
        <v>3</v>
      </c>
      <c r="X781">
        <v>3</v>
      </c>
      <c r="Y781">
        <v>3</v>
      </c>
      <c r="Z781">
        <v>18</v>
      </c>
      <c r="AA781">
        <v>2</v>
      </c>
      <c r="AB781">
        <v>4</v>
      </c>
      <c r="AC781">
        <v>10</v>
      </c>
      <c r="AD781">
        <v>0</v>
      </c>
      <c r="AE781">
        <v>2</v>
      </c>
      <c r="AF781">
        <v>7</v>
      </c>
      <c r="AG781" t="s">
        <v>65</v>
      </c>
      <c r="AH781">
        <v>1</v>
      </c>
      <c r="AI781" t="s">
        <v>70</v>
      </c>
      <c r="AJ781" s="3" t="s">
        <v>84</v>
      </c>
      <c r="AK781" s="3">
        <v>1</v>
      </c>
      <c r="AL781" s="3" t="s">
        <v>83</v>
      </c>
    </row>
    <row r="782" spans="1:38" x14ac:dyDescent="0.3">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v>8722</v>
      </c>
      <c r="S782">
        <v>12355</v>
      </c>
      <c r="T782">
        <v>1</v>
      </c>
      <c r="U782" t="s">
        <v>43</v>
      </c>
      <c r="V782">
        <v>12</v>
      </c>
      <c r="W782">
        <v>3</v>
      </c>
      <c r="X782">
        <v>1</v>
      </c>
      <c r="Y782">
        <v>0</v>
      </c>
      <c r="Z782">
        <v>10</v>
      </c>
      <c r="AA782">
        <v>2</v>
      </c>
      <c r="AB782">
        <v>2</v>
      </c>
      <c r="AC782">
        <v>10</v>
      </c>
      <c r="AD782">
        <v>7</v>
      </c>
      <c r="AE782">
        <v>1</v>
      </c>
      <c r="AF782">
        <v>9</v>
      </c>
      <c r="AG782" t="s">
        <v>65</v>
      </c>
      <c r="AH782">
        <v>1</v>
      </c>
      <c r="AI782" t="s">
        <v>69</v>
      </c>
      <c r="AJ782" s="3" t="s">
        <v>83</v>
      </c>
      <c r="AK782" s="3">
        <v>1</v>
      </c>
      <c r="AL782" s="3" t="s">
        <v>83</v>
      </c>
    </row>
    <row r="783" spans="1:38" x14ac:dyDescent="0.3">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v>3955</v>
      </c>
      <c r="S783">
        <v>11141</v>
      </c>
      <c r="T783">
        <v>1</v>
      </c>
      <c r="U783" t="s">
        <v>43</v>
      </c>
      <c r="V783">
        <v>16</v>
      </c>
      <c r="W783">
        <v>3</v>
      </c>
      <c r="X783">
        <v>1</v>
      </c>
      <c r="Y783">
        <v>2</v>
      </c>
      <c r="Z783">
        <v>6</v>
      </c>
      <c r="AA783">
        <v>2</v>
      </c>
      <c r="AB783">
        <v>3</v>
      </c>
      <c r="AC783">
        <v>5</v>
      </c>
      <c r="AD783">
        <v>3</v>
      </c>
      <c r="AE783">
        <v>1</v>
      </c>
      <c r="AF783">
        <v>3</v>
      </c>
      <c r="AG783" t="s">
        <v>68</v>
      </c>
      <c r="AH783">
        <v>0</v>
      </c>
      <c r="AI783" t="s">
        <v>72</v>
      </c>
      <c r="AJ783" s="3" t="s">
        <v>83</v>
      </c>
      <c r="AK783" s="3">
        <v>1</v>
      </c>
      <c r="AL783" s="3" t="s">
        <v>83</v>
      </c>
    </row>
    <row r="784" spans="1:38" x14ac:dyDescent="0.3">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v>9957</v>
      </c>
      <c r="S784">
        <v>9096</v>
      </c>
      <c r="T784">
        <v>0</v>
      </c>
      <c r="U784" t="s">
        <v>43</v>
      </c>
      <c r="V784">
        <v>15</v>
      </c>
      <c r="W784">
        <v>3</v>
      </c>
      <c r="X784">
        <v>3</v>
      </c>
      <c r="Y784">
        <v>1</v>
      </c>
      <c r="Z784">
        <v>7</v>
      </c>
      <c r="AA784">
        <v>1</v>
      </c>
      <c r="AB784">
        <v>2</v>
      </c>
      <c r="AC784">
        <v>6</v>
      </c>
      <c r="AD784">
        <v>2</v>
      </c>
      <c r="AE784">
        <v>0</v>
      </c>
      <c r="AF784">
        <v>2</v>
      </c>
      <c r="AG784" t="s">
        <v>65</v>
      </c>
      <c r="AH784">
        <v>0</v>
      </c>
      <c r="AI784" t="s">
        <v>72</v>
      </c>
      <c r="AJ784" s="3" t="s">
        <v>83</v>
      </c>
      <c r="AK784" s="3">
        <v>1</v>
      </c>
      <c r="AL784" s="3" t="s">
        <v>83</v>
      </c>
    </row>
    <row r="785" spans="1:38" x14ac:dyDescent="0.3">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v>3376</v>
      </c>
      <c r="S785">
        <v>18863</v>
      </c>
      <c r="T785">
        <v>1</v>
      </c>
      <c r="U785" t="s">
        <v>43</v>
      </c>
      <c r="V785">
        <v>13</v>
      </c>
      <c r="W785">
        <v>3</v>
      </c>
      <c r="X785">
        <v>3</v>
      </c>
      <c r="Y785">
        <v>0</v>
      </c>
      <c r="Z785">
        <v>10</v>
      </c>
      <c r="AA785">
        <v>3</v>
      </c>
      <c r="AB785">
        <v>3</v>
      </c>
      <c r="AC785">
        <v>10</v>
      </c>
      <c r="AD785">
        <v>6</v>
      </c>
      <c r="AE785">
        <v>0</v>
      </c>
      <c r="AF785">
        <v>8</v>
      </c>
      <c r="AG785" t="s">
        <v>65</v>
      </c>
      <c r="AH785">
        <v>0</v>
      </c>
      <c r="AI785" t="s">
        <v>71</v>
      </c>
      <c r="AJ785" s="3" t="s">
        <v>84</v>
      </c>
      <c r="AK785" s="3">
        <v>0</v>
      </c>
      <c r="AL785" s="3" t="s">
        <v>83</v>
      </c>
    </row>
    <row r="786" spans="1:38" x14ac:dyDescent="0.3">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v>8823</v>
      </c>
      <c r="S786">
        <v>24608</v>
      </c>
      <c r="T786">
        <v>0</v>
      </c>
      <c r="U786" t="s">
        <v>43</v>
      </c>
      <c r="V786">
        <v>18</v>
      </c>
      <c r="W786">
        <v>3</v>
      </c>
      <c r="X786">
        <v>1</v>
      </c>
      <c r="Y786">
        <v>1</v>
      </c>
      <c r="Z786">
        <v>20</v>
      </c>
      <c r="AA786">
        <v>4</v>
      </c>
      <c r="AB786">
        <v>2</v>
      </c>
      <c r="AC786">
        <v>19</v>
      </c>
      <c r="AD786">
        <v>9</v>
      </c>
      <c r="AE786">
        <v>1</v>
      </c>
      <c r="AF786">
        <v>9</v>
      </c>
      <c r="AG786" t="s">
        <v>65</v>
      </c>
      <c r="AH786">
        <v>0</v>
      </c>
      <c r="AI786" t="s">
        <v>70</v>
      </c>
      <c r="AJ786" s="3" t="s">
        <v>84</v>
      </c>
      <c r="AK786" s="3">
        <v>0</v>
      </c>
      <c r="AL786" s="3" t="s">
        <v>83</v>
      </c>
    </row>
    <row r="787" spans="1:38" x14ac:dyDescent="0.3">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v>10322</v>
      </c>
      <c r="S787">
        <v>26542</v>
      </c>
      <c r="T787">
        <v>4</v>
      </c>
      <c r="U787" t="s">
        <v>43</v>
      </c>
      <c r="V787">
        <v>20</v>
      </c>
      <c r="W787">
        <v>4</v>
      </c>
      <c r="X787">
        <v>4</v>
      </c>
      <c r="Y787">
        <v>1</v>
      </c>
      <c r="Z787">
        <v>14</v>
      </c>
      <c r="AA787">
        <v>6</v>
      </c>
      <c r="AB787">
        <v>3</v>
      </c>
      <c r="AC787">
        <v>11</v>
      </c>
      <c r="AD787">
        <v>10</v>
      </c>
      <c r="AE787">
        <v>11</v>
      </c>
      <c r="AF787">
        <v>1</v>
      </c>
      <c r="AG787" t="s">
        <v>65</v>
      </c>
      <c r="AH787">
        <v>0</v>
      </c>
      <c r="AI787" t="s">
        <v>71</v>
      </c>
      <c r="AJ787" s="3" t="s">
        <v>82</v>
      </c>
      <c r="AK787" s="3">
        <v>0</v>
      </c>
      <c r="AL787" s="3" t="s">
        <v>83</v>
      </c>
    </row>
    <row r="788" spans="1:38" x14ac:dyDescent="0.3">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v>4621</v>
      </c>
      <c r="S788">
        <v>5869</v>
      </c>
      <c r="T788">
        <v>1</v>
      </c>
      <c r="U788" t="s">
        <v>43</v>
      </c>
      <c r="V788">
        <v>19</v>
      </c>
      <c r="W788">
        <v>3</v>
      </c>
      <c r="X788">
        <v>4</v>
      </c>
      <c r="Y788">
        <v>3</v>
      </c>
      <c r="Z788">
        <v>3</v>
      </c>
      <c r="AA788">
        <v>4</v>
      </c>
      <c r="AB788">
        <v>3</v>
      </c>
      <c r="AC788">
        <v>3</v>
      </c>
      <c r="AD788">
        <v>2</v>
      </c>
      <c r="AE788">
        <v>1</v>
      </c>
      <c r="AF788">
        <v>2</v>
      </c>
      <c r="AG788" t="s">
        <v>67</v>
      </c>
      <c r="AH788">
        <v>0</v>
      </c>
      <c r="AI788" t="s">
        <v>70</v>
      </c>
      <c r="AJ788" s="3" t="s">
        <v>84</v>
      </c>
      <c r="AK788" s="3">
        <v>1</v>
      </c>
      <c r="AL788" s="3" t="s">
        <v>83</v>
      </c>
    </row>
    <row r="789" spans="1:38" x14ac:dyDescent="0.3">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v>10976</v>
      </c>
      <c r="S789">
        <v>15813</v>
      </c>
      <c r="T789">
        <v>3</v>
      </c>
      <c r="U789" t="s">
        <v>43</v>
      </c>
      <c r="V789">
        <v>18</v>
      </c>
      <c r="W789">
        <v>3</v>
      </c>
      <c r="X789">
        <v>2</v>
      </c>
      <c r="Y789">
        <v>1</v>
      </c>
      <c r="Z789">
        <v>23</v>
      </c>
      <c r="AA789">
        <v>4</v>
      </c>
      <c r="AB789">
        <v>3</v>
      </c>
      <c r="AC789">
        <v>3</v>
      </c>
      <c r="AD789">
        <v>2</v>
      </c>
      <c r="AE789">
        <v>1</v>
      </c>
      <c r="AF789">
        <v>2</v>
      </c>
      <c r="AG789" t="s">
        <v>67</v>
      </c>
      <c r="AH789">
        <v>0</v>
      </c>
      <c r="AI789" t="s">
        <v>72</v>
      </c>
      <c r="AJ789" s="3" t="s">
        <v>83</v>
      </c>
      <c r="AK789" s="3">
        <v>2</v>
      </c>
      <c r="AL789" s="3" t="s">
        <v>84</v>
      </c>
    </row>
    <row r="790" spans="1:38" x14ac:dyDescent="0.3">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v>3660</v>
      </c>
      <c r="S790">
        <v>7909</v>
      </c>
      <c r="T790">
        <v>3</v>
      </c>
      <c r="U790" t="s">
        <v>43</v>
      </c>
      <c r="V790">
        <v>13</v>
      </c>
      <c r="W790">
        <v>3</v>
      </c>
      <c r="X790">
        <v>4</v>
      </c>
      <c r="Y790">
        <v>0</v>
      </c>
      <c r="Z790">
        <v>10</v>
      </c>
      <c r="AA790">
        <v>4</v>
      </c>
      <c r="AB790">
        <v>4</v>
      </c>
      <c r="AC790">
        <v>8</v>
      </c>
      <c r="AD790">
        <v>7</v>
      </c>
      <c r="AE790">
        <v>1</v>
      </c>
      <c r="AF790">
        <v>7</v>
      </c>
      <c r="AG790" t="s">
        <v>65</v>
      </c>
      <c r="AH790">
        <v>0</v>
      </c>
      <c r="AI790" t="s">
        <v>69</v>
      </c>
      <c r="AJ790" s="3" t="s">
        <v>84</v>
      </c>
      <c r="AK790" s="3">
        <v>0</v>
      </c>
      <c r="AL790" s="3" t="s">
        <v>83</v>
      </c>
    </row>
    <row r="791" spans="1:38" x14ac:dyDescent="0.3">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v>10482</v>
      </c>
      <c r="S791">
        <v>2326</v>
      </c>
      <c r="T791">
        <v>9</v>
      </c>
      <c r="U791" t="s">
        <v>43</v>
      </c>
      <c r="V791">
        <v>14</v>
      </c>
      <c r="W791">
        <v>3</v>
      </c>
      <c r="X791">
        <v>4</v>
      </c>
      <c r="Y791">
        <v>1</v>
      </c>
      <c r="Z791">
        <v>24</v>
      </c>
      <c r="AA791">
        <v>1</v>
      </c>
      <c r="AB791">
        <v>3</v>
      </c>
      <c r="AC791">
        <v>20</v>
      </c>
      <c r="AD791">
        <v>6</v>
      </c>
      <c r="AE791">
        <v>3</v>
      </c>
      <c r="AF791">
        <v>6</v>
      </c>
      <c r="AG791" t="s">
        <v>65</v>
      </c>
      <c r="AH791">
        <v>1</v>
      </c>
      <c r="AI791" t="s">
        <v>72</v>
      </c>
      <c r="AJ791" s="3" t="s">
        <v>83</v>
      </c>
      <c r="AK791" s="3">
        <v>1</v>
      </c>
      <c r="AL791" s="3" t="s">
        <v>83</v>
      </c>
    </row>
    <row r="792" spans="1:38" x14ac:dyDescent="0.3">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v>7119</v>
      </c>
      <c r="S792">
        <v>21214</v>
      </c>
      <c r="T792">
        <v>4</v>
      </c>
      <c r="U792" t="s">
        <v>43</v>
      </c>
      <c r="V792">
        <v>15</v>
      </c>
      <c r="W792">
        <v>3</v>
      </c>
      <c r="X792">
        <v>3</v>
      </c>
      <c r="Y792">
        <v>1</v>
      </c>
      <c r="Z792">
        <v>9</v>
      </c>
      <c r="AA792">
        <v>2</v>
      </c>
      <c r="AB792">
        <v>3</v>
      </c>
      <c r="AC792">
        <v>3</v>
      </c>
      <c r="AD792">
        <v>2</v>
      </c>
      <c r="AE792">
        <v>1</v>
      </c>
      <c r="AF792">
        <v>2</v>
      </c>
      <c r="AG792" t="s">
        <v>67</v>
      </c>
      <c r="AH792">
        <v>0</v>
      </c>
      <c r="AI792" t="s">
        <v>70</v>
      </c>
      <c r="AJ792" s="3" t="s">
        <v>82</v>
      </c>
      <c r="AK792" s="3">
        <v>1</v>
      </c>
      <c r="AL792" s="3" t="s">
        <v>83</v>
      </c>
    </row>
    <row r="793" spans="1:38" x14ac:dyDescent="0.3">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v>9582</v>
      </c>
      <c r="S793">
        <v>10333</v>
      </c>
      <c r="T793">
        <v>0</v>
      </c>
      <c r="U793" t="s">
        <v>35</v>
      </c>
      <c r="V793">
        <v>22</v>
      </c>
      <c r="W793">
        <v>4</v>
      </c>
      <c r="X793">
        <v>1</v>
      </c>
      <c r="Y793">
        <v>0</v>
      </c>
      <c r="Z793">
        <v>9</v>
      </c>
      <c r="AA793">
        <v>2</v>
      </c>
      <c r="AB793">
        <v>3</v>
      </c>
      <c r="AC793">
        <v>8</v>
      </c>
      <c r="AD793">
        <v>7</v>
      </c>
      <c r="AE793">
        <v>4</v>
      </c>
      <c r="AF793">
        <v>7</v>
      </c>
      <c r="AG793" t="s">
        <v>65</v>
      </c>
      <c r="AH793">
        <v>1</v>
      </c>
      <c r="AI793" t="s">
        <v>71</v>
      </c>
      <c r="AJ793" s="3" t="s">
        <v>83</v>
      </c>
      <c r="AK793" s="3">
        <v>2</v>
      </c>
      <c r="AL793" s="3" t="s">
        <v>84</v>
      </c>
    </row>
    <row r="794" spans="1:38" x14ac:dyDescent="0.3">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v>4508</v>
      </c>
      <c r="S794">
        <v>3129</v>
      </c>
      <c r="T794">
        <v>1</v>
      </c>
      <c r="U794" t="s">
        <v>43</v>
      </c>
      <c r="V794">
        <v>22</v>
      </c>
      <c r="W794">
        <v>4</v>
      </c>
      <c r="X794">
        <v>2</v>
      </c>
      <c r="Y794">
        <v>0</v>
      </c>
      <c r="Z794">
        <v>14</v>
      </c>
      <c r="AA794">
        <v>4</v>
      </c>
      <c r="AB794">
        <v>3</v>
      </c>
      <c r="AC794">
        <v>13</v>
      </c>
      <c r="AD794">
        <v>7</v>
      </c>
      <c r="AE794">
        <v>3</v>
      </c>
      <c r="AF794">
        <v>8</v>
      </c>
      <c r="AG794" t="s">
        <v>65</v>
      </c>
      <c r="AH794">
        <v>1</v>
      </c>
      <c r="AI794" t="s">
        <v>71</v>
      </c>
      <c r="AJ794" s="3" t="s">
        <v>84</v>
      </c>
      <c r="AK794" s="3">
        <v>0</v>
      </c>
      <c r="AL794" s="3" t="s">
        <v>83</v>
      </c>
    </row>
    <row r="795" spans="1:38" x14ac:dyDescent="0.3">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v>2207</v>
      </c>
      <c r="S795">
        <v>22482</v>
      </c>
      <c r="T795">
        <v>1</v>
      </c>
      <c r="U795" t="s">
        <v>43</v>
      </c>
      <c r="V795">
        <v>16</v>
      </c>
      <c r="W795">
        <v>3</v>
      </c>
      <c r="X795">
        <v>4</v>
      </c>
      <c r="Y795">
        <v>1</v>
      </c>
      <c r="Z795">
        <v>4</v>
      </c>
      <c r="AA795">
        <v>5</v>
      </c>
      <c r="AB795">
        <v>2</v>
      </c>
      <c r="AC795">
        <v>4</v>
      </c>
      <c r="AD795">
        <v>2</v>
      </c>
      <c r="AE795">
        <v>2</v>
      </c>
      <c r="AF795">
        <v>2</v>
      </c>
      <c r="AG795" t="s">
        <v>68</v>
      </c>
      <c r="AH795">
        <v>0</v>
      </c>
      <c r="AI795" t="s">
        <v>71</v>
      </c>
      <c r="AJ795" s="3" t="s">
        <v>84</v>
      </c>
      <c r="AK795" s="3">
        <v>0</v>
      </c>
      <c r="AL795" s="3" t="s">
        <v>83</v>
      </c>
    </row>
    <row r="796" spans="1:38" x14ac:dyDescent="0.3">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v>7756</v>
      </c>
      <c r="S796">
        <v>22266</v>
      </c>
      <c r="T796">
        <v>0</v>
      </c>
      <c r="U796" t="s">
        <v>43</v>
      </c>
      <c r="V796">
        <v>17</v>
      </c>
      <c r="W796">
        <v>3</v>
      </c>
      <c r="X796">
        <v>3</v>
      </c>
      <c r="Y796">
        <v>0</v>
      </c>
      <c r="Z796">
        <v>7</v>
      </c>
      <c r="AA796">
        <v>1</v>
      </c>
      <c r="AB796">
        <v>2</v>
      </c>
      <c r="AC796">
        <v>6</v>
      </c>
      <c r="AD796">
        <v>2</v>
      </c>
      <c r="AE796">
        <v>0</v>
      </c>
      <c r="AF796">
        <v>4</v>
      </c>
      <c r="AG796" t="s">
        <v>65</v>
      </c>
      <c r="AH796">
        <v>0</v>
      </c>
      <c r="AI796" t="s">
        <v>72</v>
      </c>
      <c r="AJ796" s="3" t="s">
        <v>82</v>
      </c>
      <c r="AK796" s="3">
        <v>0</v>
      </c>
      <c r="AL796" s="3" t="s">
        <v>83</v>
      </c>
    </row>
    <row r="797" spans="1:38" x14ac:dyDescent="0.3">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v>6694</v>
      </c>
      <c r="S797">
        <v>24223</v>
      </c>
      <c r="T797">
        <v>2</v>
      </c>
      <c r="U797" t="s">
        <v>35</v>
      </c>
      <c r="V797">
        <v>14</v>
      </c>
      <c r="W797">
        <v>3</v>
      </c>
      <c r="X797">
        <v>3</v>
      </c>
      <c r="Y797">
        <v>3</v>
      </c>
      <c r="Z797">
        <v>8</v>
      </c>
      <c r="AA797">
        <v>5</v>
      </c>
      <c r="AB797">
        <v>3</v>
      </c>
      <c r="AC797">
        <v>1</v>
      </c>
      <c r="AD797">
        <v>0</v>
      </c>
      <c r="AE797">
        <v>0</v>
      </c>
      <c r="AF797">
        <v>0</v>
      </c>
      <c r="AG797" t="s">
        <v>67</v>
      </c>
      <c r="AH797">
        <v>0</v>
      </c>
      <c r="AI797" t="s">
        <v>71</v>
      </c>
      <c r="AJ797" s="3" t="s">
        <v>82</v>
      </c>
      <c r="AK797" s="3">
        <v>2</v>
      </c>
      <c r="AL797" s="3" t="s">
        <v>84</v>
      </c>
    </row>
    <row r="798" spans="1:38" x14ac:dyDescent="0.3">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v>3691</v>
      </c>
      <c r="S798">
        <v>4605</v>
      </c>
      <c r="T798">
        <v>1</v>
      </c>
      <c r="U798" t="s">
        <v>35</v>
      </c>
      <c r="V798">
        <v>15</v>
      </c>
      <c r="W798">
        <v>3</v>
      </c>
      <c r="X798">
        <v>2</v>
      </c>
      <c r="Y798">
        <v>1</v>
      </c>
      <c r="Z798">
        <v>7</v>
      </c>
      <c r="AA798">
        <v>3</v>
      </c>
      <c r="AB798">
        <v>4</v>
      </c>
      <c r="AC798">
        <v>7</v>
      </c>
      <c r="AD798">
        <v>7</v>
      </c>
      <c r="AE798">
        <v>5</v>
      </c>
      <c r="AF798">
        <v>6</v>
      </c>
      <c r="AG798" t="s">
        <v>65</v>
      </c>
      <c r="AH798">
        <v>1</v>
      </c>
      <c r="AI798" t="s">
        <v>71</v>
      </c>
      <c r="AJ798" s="3" t="s">
        <v>82</v>
      </c>
      <c r="AK798" s="3">
        <v>1</v>
      </c>
      <c r="AL798" s="3" t="s">
        <v>83</v>
      </c>
    </row>
    <row r="799" spans="1:38" x14ac:dyDescent="0.3">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v>2377</v>
      </c>
      <c r="S799">
        <v>19373</v>
      </c>
      <c r="T799">
        <v>1</v>
      </c>
      <c r="U799" t="s">
        <v>43</v>
      </c>
      <c r="V799">
        <v>20</v>
      </c>
      <c r="W799">
        <v>4</v>
      </c>
      <c r="X799">
        <v>3</v>
      </c>
      <c r="Y799">
        <v>1</v>
      </c>
      <c r="Z799">
        <v>1</v>
      </c>
      <c r="AA799">
        <v>0</v>
      </c>
      <c r="AB799">
        <v>2</v>
      </c>
      <c r="AC799">
        <v>1</v>
      </c>
      <c r="AD799">
        <v>1</v>
      </c>
      <c r="AE799">
        <v>0</v>
      </c>
      <c r="AF799">
        <v>0</v>
      </c>
      <c r="AG799" t="s">
        <v>67</v>
      </c>
      <c r="AH799">
        <v>1</v>
      </c>
      <c r="AI799" t="s">
        <v>72</v>
      </c>
      <c r="AJ799" s="3" t="s">
        <v>84</v>
      </c>
      <c r="AK799" s="3">
        <v>1</v>
      </c>
      <c r="AL799" s="3" t="s">
        <v>83</v>
      </c>
    </row>
    <row r="800" spans="1:38" x14ac:dyDescent="0.3">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v>2313</v>
      </c>
      <c r="S800">
        <v>2993</v>
      </c>
      <c r="T800">
        <v>4</v>
      </c>
      <c r="U800" t="s">
        <v>35</v>
      </c>
      <c r="V800">
        <v>20</v>
      </c>
      <c r="W800">
        <v>4</v>
      </c>
      <c r="X800">
        <v>2</v>
      </c>
      <c r="Y800">
        <v>0</v>
      </c>
      <c r="Z800">
        <v>5</v>
      </c>
      <c r="AA800">
        <v>0</v>
      </c>
      <c r="AB800">
        <v>3</v>
      </c>
      <c r="AC800">
        <v>2</v>
      </c>
      <c r="AD800">
        <v>2</v>
      </c>
      <c r="AE800">
        <v>2</v>
      </c>
      <c r="AF800">
        <v>2</v>
      </c>
      <c r="AG800" t="s">
        <v>67</v>
      </c>
      <c r="AH800">
        <v>1</v>
      </c>
      <c r="AI800" t="s">
        <v>72</v>
      </c>
      <c r="AJ800" s="3" t="s">
        <v>83</v>
      </c>
      <c r="AK800" s="3">
        <v>3</v>
      </c>
      <c r="AL800" s="3" t="s">
        <v>82</v>
      </c>
    </row>
    <row r="801" spans="1:38" x14ac:dyDescent="0.3">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v>17665</v>
      </c>
      <c r="S801">
        <v>14399</v>
      </c>
      <c r="T801">
        <v>0</v>
      </c>
      <c r="U801" t="s">
        <v>43</v>
      </c>
      <c r="V801">
        <v>17</v>
      </c>
      <c r="W801">
        <v>3</v>
      </c>
      <c r="X801">
        <v>4</v>
      </c>
      <c r="Y801">
        <v>1</v>
      </c>
      <c r="Z801">
        <v>23</v>
      </c>
      <c r="AA801">
        <v>3</v>
      </c>
      <c r="AB801">
        <v>3</v>
      </c>
      <c r="AC801">
        <v>22</v>
      </c>
      <c r="AD801">
        <v>6</v>
      </c>
      <c r="AE801">
        <v>13</v>
      </c>
      <c r="AF801">
        <v>7</v>
      </c>
      <c r="AG801" t="s">
        <v>65</v>
      </c>
      <c r="AH801">
        <v>0</v>
      </c>
      <c r="AI801" t="s">
        <v>71</v>
      </c>
      <c r="AJ801" s="3" t="s">
        <v>83</v>
      </c>
      <c r="AK801" s="3">
        <v>1</v>
      </c>
      <c r="AL801" s="3" t="s">
        <v>83</v>
      </c>
    </row>
    <row r="802" spans="1:38" x14ac:dyDescent="0.3">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v>2596</v>
      </c>
      <c r="S802">
        <v>7160</v>
      </c>
      <c r="T802">
        <v>1</v>
      </c>
      <c r="U802" t="s">
        <v>43</v>
      </c>
      <c r="V802">
        <v>15</v>
      </c>
      <c r="W802">
        <v>3</v>
      </c>
      <c r="X802">
        <v>1</v>
      </c>
      <c r="Y802">
        <v>2</v>
      </c>
      <c r="Z802">
        <v>1</v>
      </c>
      <c r="AA802">
        <v>2</v>
      </c>
      <c r="AB802">
        <v>3</v>
      </c>
      <c r="AC802">
        <v>1</v>
      </c>
      <c r="AD802">
        <v>0</v>
      </c>
      <c r="AE802">
        <v>0</v>
      </c>
      <c r="AF802">
        <v>0</v>
      </c>
      <c r="AG802" t="s">
        <v>67</v>
      </c>
      <c r="AH802">
        <v>1</v>
      </c>
      <c r="AI802" t="s">
        <v>70</v>
      </c>
      <c r="AJ802" s="3" t="s">
        <v>83</v>
      </c>
      <c r="AK802" s="3">
        <v>2</v>
      </c>
      <c r="AL802" s="3" t="s">
        <v>84</v>
      </c>
    </row>
    <row r="803" spans="1:38" x14ac:dyDescent="0.3">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v>4728</v>
      </c>
      <c r="S803">
        <v>17251</v>
      </c>
      <c r="T803">
        <v>3</v>
      </c>
      <c r="U803" t="s">
        <v>35</v>
      </c>
      <c r="V803">
        <v>14</v>
      </c>
      <c r="W803">
        <v>3</v>
      </c>
      <c r="X803">
        <v>4</v>
      </c>
      <c r="Y803">
        <v>0</v>
      </c>
      <c r="Z803">
        <v>5</v>
      </c>
      <c r="AA803">
        <v>4</v>
      </c>
      <c r="AB803">
        <v>3</v>
      </c>
      <c r="AC803">
        <v>0</v>
      </c>
      <c r="AD803">
        <v>0</v>
      </c>
      <c r="AE803">
        <v>0</v>
      </c>
      <c r="AF803">
        <v>0</v>
      </c>
      <c r="AG803" t="s">
        <v>66</v>
      </c>
      <c r="AH803">
        <v>1</v>
      </c>
      <c r="AI803" t="s">
        <v>72</v>
      </c>
      <c r="AJ803" s="3" t="s">
        <v>84</v>
      </c>
      <c r="AK803" s="3">
        <v>2</v>
      </c>
      <c r="AL803" s="3" t="s">
        <v>84</v>
      </c>
    </row>
    <row r="804" spans="1:38" x14ac:dyDescent="0.3">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v>4302</v>
      </c>
      <c r="S804">
        <v>13401</v>
      </c>
      <c r="T804">
        <v>0</v>
      </c>
      <c r="U804" t="s">
        <v>43</v>
      </c>
      <c r="V804">
        <v>17</v>
      </c>
      <c r="W804">
        <v>3</v>
      </c>
      <c r="X804">
        <v>3</v>
      </c>
      <c r="Y804">
        <v>1</v>
      </c>
      <c r="Z804">
        <v>4</v>
      </c>
      <c r="AA804">
        <v>3</v>
      </c>
      <c r="AB804">
        <v>3</v>
      </c>
      <c r="AC804">
        <v>3</v>
      </c>
      <c r="AD804">
        <v>2</v>
      </c>
      <c r="AE804">
        <v>0</v>
      </c>
      <c r="AF804">
        <v>2</v>
      </c>
      <c r="AG804" t="s">
        <v>67</v>
      </c>
      <c r="AH804">
        <v>0</v>
      </c>
      <c r="AI804" t="s">
        <v>69</v>
      </c>
      <c r="AJ804" s="3" t="s">
        <v>83</v>
      </c>
      <c r="AK804" s="3">
        <v>2</v>
      </c>
      <c r="AL804" s="3" t="s">
        <v>84</v>
      </c>
    </row>
    <row r="805" spans="1:38" x14ac:dyDescent="0.3">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v>2979</v>
      </c>
      <c r="S805">
        <v>22478</v>
      </c>
      <c r="T805">
        <v>3</v>
      </c>
      <c r="U805" t="s">
        <v>43</v>
      </c>
      <c r="V805">
        <v>17</v>
      </c>
      <c r="W805">
        <v>3</v>
      </c>
      <c r="X805">
        <v>4</v>
      </c>
      <c r="Y805">
        <v>3</v>
      </c>
      <c r="Z805">
        <v>6</v>
      </c>
      <c r="AA805">
        <v>2</v>
      </c>
      <c r="AB805">
        <v>3</v>
      </c>
      <c r="AC805">
        <v>0</v>
      </c>
      <c r="AD805">
        <v>0</v>
      </c>
      <c r="AE805">
        <v>0</v>
      </c>
      <c r="AF805">
        <v>0</v>
      </c>
      <c r="AG805" t="s">
        <v>66</v>
      </c>
      <c r="AH805">
        <v>0</v>
      </c>
      <c r="AI805" t="s">
        <v>71</v>
      </c>
      <c r="AJ805" s="3" t="s">
        <v>82</v>
      </c>
      <c r="AK805" s="3">
        <v>1</v>
      </c>
      <c r="AL805" s="3" t="s">
        <v>83</v>
      </c>
    </row>
    <row r="806" spans="1:38" x14ac:dyDescent="0.3">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v>16885</v>
      </c>
      <c r="S806">
        <v>16154</v>
      </c>
      <c r="T806">
        <v>2</v>
      </c>
      <c r="U806" t="s">
        <v>43</v>
      </c>
      <c r="V806">
        <v>22</v>
      </c>
      <c r="W806">
        <v>4</v>
      </c>
      <c r="X806">
        <v>3</v>
      </c>
      <c r="Y806">
        <v>0</v>
      </c>
      <c r="Z806">
        <v>27</v>
      </c>
      <c r="AA806">
        <v>3</v>
      </c>
      <c r="AB806">
        <v>2</v>
      </c>
      <c r="AC806">
        <v>5</v>
      </c>
      <c r="AD806">
        <v>4</v>
      </c>
      <c r="AE806">
        <v>2</v>
      </c>
      <c r="AF806">
        <v>1</v>
      </c>
      <c r="AG806" t="s">
        <v>68</v>
      </c>
      <c r="AH806">
        <v>0</v>
      </c>
      <c r="AI806" t="s">
        <v>71</v>
      </c>
      <c r="AJ806" s="3" t="s">
        <v>82</v>
      </c>
      <c r="AK806" s="3">
        <v>0</v>
      </c>
      <c r="AL806" s="3" t="s">
        <v>83</v>
      </c>
    </row>
    <row r="807" spans="1:38" x14ac:dyDescent="0.3">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v>5593</v>
      </c>
      <c r="S807">
        <v>17970</v>
      </c>
      <c r="T807">
        <v>1</v>
      </c>
      <c r="U807" t="s">
        <v>43</v>
      </c>
      <c r="V807">
        <v>13</v>
      </c>
      <c r="W807">
        <v>3</v>
      </c>
      <c r="X807">
        <v>4</v>
      </c>
      <c r="Y807">
        <v>1</v>
      </c>
      <c r="Z807">
        <v>15</v>
      </c>
      <c r="AA807">
        <v>2</v>
      </c>
      <c r="AB807">
        <v>3</v>
      </c>
      <c r="AC807">
        <v>15</v>
      </c>
      <c r="AD807">
        <v>10</v>
      </c>
      <c r="AE807">
        <v>4</v>
      </c>
      <c r="AF807">
        <v>12</v>
      </c>
      <c r="AG807" t="s">
        <v>65</v>
      </c>
      <c r="AH807">
        <v>0</v>
      </c>
      <c r="AI807" t="s">
        <v>70</v>
      </c>
      <c r="AJ807" s="3" t="s">
        <v>84</v>
      </c>
      <c r="AK807" s="3">
        <v>0</v>
      </c>
      <c r="AL807" s="3" t="s">
        <v>83</v>
      </c>
    </row>
    <row r="808" spans="1:38" x14ac:dyDescent="0.3">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v>10445</v>
      </c>
      <c r="S808">
        <v>15322</v>
      </c>
      <c r="T808">
        <v>7</v>
      </c>
      <c r="U808" t="s">
        <v>43</v>
      </c>
      <c r="V808">
        <v>19</v>
      </c>
      <c r="W808">
        <v>3</v>
      </c>
      <c r="X808">
        <v>4</v>
      </c>
      <c r="Y808">
        <v>0</v>
      </c>
      <c r="Z808">
        <v>18</v>
      </c>
      <c r="AA808">
        <v>4</v>
      </c>
      <c r="AB808">
        <v>3</v>
      </c>
      <c r="AC808">
        <v>8</v>
      </c>
      <c r="AD808">
        <v>6</v>
      </c>
      <c r="AE808">
        <v>4</v>
      </c>
      <c r="AF808">
        <v>0</v>
      </c>
      <c r="AG808" t="s">
        <v>65</v>
      </c>
      <c r="AH808">
        <v>0</v>
      </c>
      <c r="AI808" t="s">
        <v>70</v>
      </c>
      <c r="AJ808" s="3" t="s">
        <v>83</v>
      </c>
      <c r="AK808" s="3">
        <v>1</v>
      </c>
      <c r="AL808" s="3" t="s">
        <v>83</v>
      </c>
    </row>
    <row r="809" spans="1:38" x14ac:dyDescent="0.3">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v>8740</v>
      </c>
      <c r="S809">
        <v>5569</v>
      </c>
      <c r="T809">
        <v>0</v>
      </c>
      <c r="U809" t="s">
        <v>35</v>
      </c>
      <c r="V809">
        <v>14</v>
      </c>
      <c r="W809">
        <v>3</v>
      </c>
      <c r="X809">
        <v>2</v>
      </c>
      <c r="Y809">
        <v>2</v>
      </c>
      <c r="Z809">
        <v>9</v>
      </c>
      <c r="AA809">
        <v>2</v>
      </c>
      <c r="AB809">
        <v>3</v>
      </c>
      <c r="AC809">
        <v>8</v>
      </c>
      <c r="AD809">
        <v>7</v>
      </c>
      <c r="AE809">
        <v>2</v>
      </c>
      <c r="AF809">
        <v>7</v>
      </c>
      <c r="AG809" t="s">
        <v>65</v>
      </c>
      <c r="AH809">
        <v>0</v>
      </c>
      <c r="AI809" t="s">
        <v>69</v>
      </c>
      <c r="AJ809" s="3" t="s">
        <v>84</v>
      </c>
      <c r="AK809" s="3">
        <v>1</v>
      </c>
      <c r="AL809" s="3" t="s">
        <v>83</v>
      </c>
    </row>
    <row r="810" spans="1:38" x14ac:dyDescent="0.3">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v>2514</v>
      </c>
      <c r="S810">
        <v>26968</v>
      </c>
      <c r="T810">
        <v>4</v>
      </c>
      <c r="U810" t="s">
        <v>43</v>
      </c>
      <c r="V810">
        <v>22</v>
      </c>
      <c r="W810">
        <v>4</v>
      </c>
      <c r="X810">
        <v>1</v>
      </c>
      <c r="Y810">
        <v>1</v>
      </c>
      <c r="Z810">
        <v>11</v>
      </c>
      <c r="AA810">
        <v>1</v>
      </c>
      <c r="AB810">
        <v>3</v>
      </c>
      <c r="AC810">
        <v>7</v>
      </c>
      <c r="AD810">
        <v>5</v>
      </c>
      <c r="AE810">
        <v>1</v>
      </c>
      <c r="AF810">
        <v>7</v>
      </c>
      <c r="AG810" t="s">
        <v>65</v>
      </c>
      <c r="AH810">
        <v>0</v>
      </c>
      <c r="AI810" t="s">
        <v>71</v>
      </c>
      <c r="AJ810" s="3" t="s">
        <v>82</v>
      </c>
      <c r="AK810" s="3">
        <v>0</v>
      </c>
      <c r="AL810" s="3" t="s">
        <v>83</v>
      </c>
    </row>
    <row r="811" spans="1:38" x14ac:dyDescent="0.3">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v>7655</v>
      </c>
      <c r="S811">
        <v>8039</v>
      </c>
      <c r="T811">
        <v>0</v>
      </c>
      <c r="U811" t="s">
        <v>43</v>
      </c>
      <c r="V811">
        <v>17</v>
      </c>
      <c r="W811">
        <v>3</v>
      </c>
      <c r="X811">
        <v>2</v>
      </c>
      <c r="Y811">
        <v>3</v>
      </c>
      <c r="Z811">
        <v>10</v>
      </c>
      <c r="AA811">
        <v>3</v>
      </c>
      <c r="AB811">
        <v>2</v>
      </c>
      <c r="AC811">
        <v>9</v>
      </c>
      <c r="AD811">
        <v>7</v>
      </c>
      <c r="AE811">
        <v>1</v>
      </c>
      <c r="AF811">
        <v>7</v>
      </c>
      <c r="AG811" t="s">
        <v>65</v>
      </c>
      <c r="AH811">
        <v>0</v>
      </c>
      <c r="AI811" t="s">
        <v>72</v>
      </c>
      <c r="AJ811" s="3" t="s">
        <v>83</v>
      </c>
      <c r="AK811" s="3">
        <v>1</v>
      </c>
      <c r="AL811" s="3" t="s">
        <v>83</v>
      </c>
    </row>
    <row r="812" spans="1:38" x14ac:dyDescent="0.3">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v>17465</v>
      </c>
      <c r="S812">
        <v>15596</v>
      </c>
      <c r="T812">
        <v>3</v>
      </c>
      <c r="U812" t="s">
        <v>43</v>
      </c>
      <c r="V812">
        <v>12</v>
      </c>
      <c r="W812">
        <v>3</v>
      </c>
      <c r="X812">
        <v>4</v>
      </c>
      <c r="Y812">
        <v>1</v>
      </c>
      <c r="Z812">
        <v>23</v>
      </c>
      <c r="AA812">
        <v>3</v>
      </c>
      <c r="AB812">
        <v>3</v>
      </c>
      <c r="AC812">
        <v>12</v>
      </c>
      <c r="AD812">
        <v>9</v>
      </c>
      <c r="AE812">
        <v>4</v>
      </c>
      <c r="AF812">
        <v>9</v>
      </c>
      <c r="AG812" t="s">
        <v>65</v>
      </c>
      <c r="AH812">
        <v>0</v>
      </c>
      <c r="AI812" t="s">
        <v>72</v>
      </c>
      <c r="AJ812" s="3" t="s">
        <v>84</v>
      </c>
      <c r="AK812" s="3">
        <v>0</v>
      </c>
      <c r="AL812" s="3" t="s">
        <v>83</v>
      </c>
    </row>
    <row r="813" spans="1:38" x14ac:dyDescent="0.3">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v>7351</v>
      </c>
      <c r="S813">
        <v>20619</v>
      </c>
      <c r="T813">
        <v>7</v>
      </c>
      <c r="U813" t="s">
        <v>43</v>
      </c>
      <c r="V813">
        <v>16</v>
      </c>
      <c r="W813">
        <v>3</v>
      </c>
      <c r="X813">
        <v>3</v>
      </c>
      <c r="Y813">
        <v>0</v>
      </c>
      <c r="Z813">
        <v>10</v>
      </c>
      <c r="AA813">
        <v>2</v>
      </c>
      <c r="AB813">
        <v>3</v>
      </c>
      <c r="AC813">
        <v>1</v>
      </c>
      <c r="AD813">
        <v>0</v>
      </c>
      <c r="AE813">
        <v>0</v>
      </c>
      <c r="AF813">
        <v>0</v>
      </c>
      <c r="AG813" t="s">
        <v>67</v>
      </c>
      <c r="AH813">
        <v>0</v>
      </c>
      <c r="AI813" t="s">
        <v>70</v>
      </c>
      <c r="AJ813" s="3" t="s">
        <v>83</v>
      </c>
      <c r="AK813" s="3">
        <v>2</v>
      </c>
      <c r="AL813" s="3" t="s">
        <v>84</v>
      </c>
    </row>
    <row r="814" spans="1:38" x14ac:dyDescent="0.3">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v>10820</v>
      </c>
      <c r="S814">
        <v>11535</v>
      </c>
      <c r="T814">
        <v>8</v>
      </c>
      <c r="U814" t="s">
        <v>43</v>
      </c>
      <c r="V814">
        <v>11</v>
      </c>
      <c r="W814">
        <v>3</v>
      </c>
      <c r="X814">
        <v>3</v>
      </c>
      <c r="Y814">
        <v>1</v>
      </c>
      <c r="Z814">
        <v>18</v>
      </c>
      <c r="AA814">
        <v>1</v>
      </c>
      <c r="AB814">
        <v>3</v>
      </c>
      <c r="AC814">
        <v>8</v>
      </c>
      <c r="AD814">
        <v>7</v>
      </c>
      <c r="AE814">
        <v>0</v>
      </c>
      <c r="AF814">
        <v>1</v>
      </c>
      <c r="AG814" t="s">
        <v>65</v>
      </c>
      <c r="AH814">
        <v>0</v>
      </c>
      <c r="AI814" t="s">
        <v>71</v>
      </c>
      <c r="AJ814" s="3" t="s">
        <v>83</v>
      </c>
      <c r="AK814" s="3">
        <v>1</v>
      </c>
      <c r="AL814" s="3" t="s">
        <v>83</v>
      </c>
    </row>
    <row r="815" spans="1:38" x14ac:dyDescent="0.3">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v>12169</v>
      </c>
      <c r="S815">
        <v>13547</v>
      </c>
      <c r="T815">
        <v>7</v>
      </c>
      <c r="U815" t="s">
        <v>43</v>
      </c>
      <c r="V815">
        <v>11</v>
      </c>
      <c r="W815">
        <v>3</v>
      </c>
      <c r="X815">
        <v>4</v>
      </c>
      <c r="Y815">
        <v>3</v>
      </c>
      <c r="Z815">
        <v>21</v>
      </c>
      <c r="AA815">
        <v>4</v>
      </c>
      <c r="AB815">
        <v>3</v>
      </c>
      <c r="AC815">
        <v>18</v>
      </c>
      <c r="AD815">
        <v>7</v>
      </c>
      <c r="AE815">
        <v>11</v>
      </c>
      <c r="AF815">
        <v>5</v>
      </c>
      <c r="AG815" t="s">
        <v>65</v>
      </c>
      <c r="AH815">
        <v>1</v>
      </c>
      <c r="AI815" t="s">
        <v>70</v>
      </c>
      <c r="AJ815" s="3" t="s">
        <v>82</v>
      </c>
      <c r="AK815" s="3">
        <v>0</v>
      </c>
      <c r="AL815" s="3" t="s">
        <v>83</v>
      </c>
    </row>
    <row r="816" spans="1:38" x14ac:dyDescent="0.3">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v>19626</v>
      </c>
      <c r="S816">
        <v>17544</v>
      </c>
      <c r="T816">
        <v>1</v>
      </c>
      <c r="U816" t="s">
        <v>43</v>
      </c>
      <c r="V816">
        <v>14</v>
      </c>
      <c r="W816">
        <v>3</v>
      </c>
      <c r="X816">
        <v>1</v>
      </c>
      <c r="Y816">
        <v>0</v>
      </c>
      <c r="Z816">
        <v>21</v>
      </c>
      <c r="AA816">
        <v>2</v>
      </c>
      <c r="AB816">
        <v>4</v>
      </c>
      <c r="AC816">
        <v>20</v>
      </c>
      <c r="AD816">
        <v>7</v>
      </c>
      <c r="AE816">
        <v>4</v>
      </c>
      <c r="AF816">
        <v>9</v>
      </c>
      <c r="AG816" t="s">
        <v>65</v>
      </c>
      <c r="AH816">
        <v>0</v>
      </c>
      <c r="AI816" t="s">
        <v>71</v>
      </c>
      <c r="AJ816" s="3" t="s">
        <v>84</v>
      </c>
      <c r="AK816" s="3">
        <v>0</v>
      </c>
      <c r="AL816" s="3" t="s">
        <v>83</v>
      </c>
    </row>
    <row r="817" spans="1:38" x14ac:dyDescent="0.3">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v>2070</v>
      </c>
      <c r="S817">
        <v>25326</v>
      </c>
      <c r="T817">
        <v>1</v>
      </c>
      <c r="U817" t="s">
        <v>35</v>
      </c>
      <c r="V817">
        <v>11</v>
      </c>
      <c r="W817">
        <v>3</v>
      </c>
      <c r="X817">
        <v>3</v>
      </c>
      <c r="Y817">
        <v>0</v>
      </c>
      <c r="Z817">
        <v>2</v>
      </c>
      <c r="AA817">
        <v>6</v>
      </c>
      <c r="AB817">
        <v>4</v>
      </c>
      <c r="AC817">
        <v>2</v>
      </c>
      <c r="AD817">
        <v>2</v>
      </c>
      <c r="AE817">
        <v>2</v>
      </c>
      <c r="AF817">
        <v>2</v>
      </c>
      <c r="AG817" t="s">
        <v>67</v>
      </c>
      <c r="AH817">
        <v>0</v>
      </c>
      <c r="AI817" t="s">
        <v>70</v>
      </c>
      <c r="AJ817" s="3" t="s">
        <v>83</v>
      </c>
      <c r="AK817" s="3">
        <v>3</v>
      </c>
      <c r="AL817" s="3" t="s">
        <v>82</v>
      </c>
    </row>
    <row r="818" spans="1:38" x14ac:dyDescent="0.3">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v>6782</v>
      </c>
      <c r="S818">
        <v>8770</v>
      </c>
      <c r="T818">
        <v>9</v>
      </c>
      <c r="U818" t="s">
        <v>43</v>
      </c>
      <c r="V818">
        <v>15</v>
      </c>
      <c r="W818">
        <v>3</v>
      </c>
      <c r="X818">
        <v>3</v>
      </c>
      <c r="Y818">
        <v>0</v>
      </c>
      <c r="Z818">
        <v>9</v>
      </c>
      <c r="AA818">
        <v>2</v>
      </c>
      <c r="AB818">
        <v>2</v>
      </c>
      <c r="AC818">
        <v>5</v>
      </c>
      <c r="AD818">
        <v>4</v>
      </c>
      <c r="AE818">
        <v>0</v>
      </c>
      <c r="AF818">
        <v>3</v>
      </c>
      <c r="AG818" t="s">
        <v>68</v>
      </c>
      <c r="AH818">
        <v>0</v>
      </c>
      <c r="AI818" t="s">
        <v>72</v>
      </c>
      <c r="AJ818" s="3" t="s">
        <v>83</v>
      </c>
      <c r="AK818" s="3">
        <v>1</v>
      </c>
      <c r="AL818" s="3" t="s">
        <v>83</v>
      </c>
    </row>
    <row r="819" spans="1:38" x14ac:dyDescent="0.3">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v>7779</v>
      </c>
      <c r="S819">
        <v>23238</v>
      </c>
      <c r="T819">
        <v>2</v>
      </c>
      <c r="U819" t="s">
        <v>43</v>
      </c>
      <c r="V819">
        <v>20</v>
      </c>
      <c r="W819">
        <v>4</v>
      </c>
      <c r="X819">
        <v>1</v>
      </c>
      <c r="Y819">
        <v>0</v>
      </c>
      <c r="Z819">
        <v>18</v>
      </c>
      <c r="AA819">
        <v>0</v>
      </c>
      <c r="AB819">
        <v>3</v>
      </c>
      <c r="AC819">
        <v>11</v>
      </c>
      <c r="AD819">
        <v>9</v>
      </c>
      <c r="AE819">
        <v>0</v>
      </c>
      <c r="AF819">
        <v>9</v>
      </c>
      <c r="AG819" t="s">
        <v>65</v>
      </c>
      <c r="AH819">
        <v>0</v>
      </c>
      <c r="AI819" t="s">
        <v>71</v>
      </c>
      <c r="AJ819" s="3" t="s">
        <v>82</v>
      </c>
      <c r="AK819" s="3">
        <v>0</v>
      </c>
      <c r="AL819" s="3" t="s">
        <v>83</v>
      </c>
    </row>
    <row r="820" spans="1:38" x14ac:dyDescent="0.3">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v>2791</v>
      </c>
      <c r="S820">
        <v>21981</v>
      </c>
      <c r="T820">
        <v>0</v>
      </c>
      <c r="U820" t="s">
        <v>43</v>
      </c>
      <c r="V820">
        <v>12</v>
      </c>
      <c r="W820">
        <v>3</v>
      </c>
      <c r="X820">
        <v>1</v>
      </c>
      <c r="Y820">
        <v>1</v>
      </c>
      <c r="Z820">
        <v>3</v>
      </c>
      <c r="AA820">
        <v>4</v>
      </c>
      <c r="AB820">
        <v>3</v>
      </c>
      <c r="AC820">
        <v>2</v>
      </c>
      <c r="AD820">
        <v>2</v>
      </c>
      <c r="AE820">
        <v>2</v>
      </c>
      <c r="AF820">
        <v>2</v>
      </c>
      <c r="AG820" t="s">
        <v>67</v>
      </c>
      <c r="AH820">
        <v>0</v>
      </c>
      <c r="AI820" t="s">
        <v>71</v>
      </c>
      <c r="AJ820" s="3" t="s">
        <v>82</v>
      </c>
      <c r="AK820" s="3">
        <v>1</v>
      </c>
      <c r="AL820" s="3" t="s">
        <v>83</v>
      </c>
    </row>
    <row r="821" spans="1:38" x14ac:dyDescent="0.3">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v>3201</v>
      </c>
      <c r="S821">
        <v>19911</v>
      </c>
      <c r="T821">
        <v>0</v>
      </c>
      <c r="U821" t="s">
        <v>43</v>
      </c>
      <c r="V821">
        <v>17</v>
      </c>
      <c r="W821">
        <v>3</v>
      </c>
      <c r="X821">
        <v>1</v>
      </c>
      <c r="Y821">
        <v>0</v>
      </c>
      <c r="Z821">
        <v>6</v>
      </c>
      <c r="AA821">
        <v>2</v>
      </c>
      <c r="AB821">
        <v>1</v>
      </c>
      <c r="AC821">
        <v>5</v>
      </c>
      <c r="AD821">
        <v>3</v>
      </c>
      <c r="AE821">
        <v>0</v>
      </c>
      <c r="AF821">
        <v>4</v>
      </c>
      <c r="AG821" t="s">
        <v>68</v>
      </c>
      <c r="AH821">
        <v>0</v>
      </c>
      <c r="AI821" t="s">
        <v>71</v>
      </c>
      <c r="AJ821" s="3" t="s">
        <v>83</v>
      </c>
      <c r="AK821" s="3">
        <v>1</v>
      </c>
      <c r="AL821" s="3" t="s">
        <v>83</v>
      </c>
    </row>
    <row r="822" spans="1:38" x14ac:dyDescent="0.3">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v>4968</v>
      </c>
      <c r="S822">
        <v>18500</v>
      </c>
      <c r="T822">
        <v>1</v>
      </c>
      <c r="U822" t="s">
        <v>43</v>
      </c>
      <c r="V822">
        <v>11</v>
      </c>
      <c r="W822">
        <v>3</v>
      </c>
      <c r="X822">
        <v>4</v>
      </c>
      <c r="Y822">
        <v>1</v>
      </c>
      <c r="Z822">
        <v>5</v>
      </c>
      <c r="AA822">
        <v>3</v>
      </c>
      <c r="AB822">
        <v>3</v>
      </c>
      <c r="AC822">
        <v>5</v>
      </c>
      <c r="AD822">
        <v>2</v>
      </c>
      <c r="AE822">
        <v>0</v>
      </c>
      <c r="AF822">
        <v>2</v>
      </c>
      <c r="AG822" t="s">
        <v>68</v>
      </c>
      <c r="AH822">
        <v>0</v>
      </c>
      <c r="AI822" t="s">
        <v>72</v>
      </c>
      <c r="AJ822" s="3" t="s">
        <v>82</v>
      </c>
      <c r="AK822" s="3">
        <v>0</v>
      </c>
      <c r="AL822" s="3" t="s">
        <v>83</v>
      </c>
    </row>
    <row r="823" spans="1:38" x14ac:dyDescent="0.3">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v>13120</v>
      </c>
      <c r="S823">
        <v>11879</v>
      </c>
      <c r="T823">
        <v>6</v>
      </c>
      <c r="U823" t="s">
        <v>43</v>
      </c>
      <c r="V823">
        <v>17</v>
      </c>
      <c r="W823">
        <v>3</v>
      </c>
      <c r="X823">
        <v>2</v>
      </c>
      <c r="Y823">
        <v>1</v>
      </c>
      <c r="Z823">
        <v>22</v>
      </c>
      <c r="AA823">
        <v>3</v>
      </c>
      <c r="AB823">
        <v>3</v>
      </c>
      <c r="AC823">
        <v>9</v>
      </c>
      <c r="AD823">
        <v>8</v>
      </c>
      <c r="AE823">
        <v>2</v>
      </c>
      <c r="AF823">
        <v>3</v>
      </c>
      <c r="AG823" t="s">
        <v>65</v>
      </c>
      <c r="AH823">
        <v>0</v>
      </c>
      <c r="AI823" t="s">
        <v>71</v>
      </c>
      <c r="AJ823" s="3" t="s">
        <v>83</v>
      </c>
      <c r="AK823" s="3">
        <v>1</v>
      </c>
      <c r="AL823" s="3" t="s">
        <v>83</v>
      </c>
    </row>
    <row r="824" spans="1:38" x14ac:dyDescent="0.3">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v>4033</v>
      </c>
      <c r="S824">
        <v>15834</v>
      </c>
      <c r="T824">
        <v>2</v>
      </c>
      <c r="U824" t="s">
        <v>43</v>
      </c>
      <c r="V824">
        <v>11</v>
      </c>
      <c r="W824">
        <v>3</v>
      </c>
      <c r="X824">
        <v>4</v>
      </c>
      <c r="Y824">
        <v>0</v>
      </c>
      <c r="Z824">
        <v>5</v>
      </c>
      <c r="AA824">
        <v>3</v>
      </c>
      <c r="AB824">
        <v>2</v>
      </c>
      <c r="AC824">
        <v>3</v>
      </c>
      <c r="AD824">
        <v>2</v>
      </c>
      <c r="AE824">
        <v>0</v>
      </c>
      <c r="AF824">
        <v>2</v>
      </c>
      <c r="AG824" t="s">
        <v>67</v>
      </c>
      <c r="AH824">
        <v>0</v>
      </c>
      <c r="AI824" t="s">
        <v>70</v>
      </c>
      <c r="AJ824" s="3" t="s">
        <v>84</v>
      </c>
      <c r="AK824" s="3">
        <v>1</v>
      </c>
      <c r="AL824" s="3" t="s">
        <v>83</v>
      </c>
    </row>
    <row r="825" spans="1:38" x14ac:dyDescent="0.3">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v>3291</v>
      </c>
      <c r="S825">
        <v>17940</v>
      </c>
      <c r="T825">
        <v>0</v>
      </c>
      <c r="U825" t="s">
        <v>43</v>
      </c>
      <c r="V825">
        <v>14</v>
      </c>
      <c r="W825">
        <v>3</v>
      </c>
      <c r="X825">
        <v>4</v>
      </c>
      <c r="Y825">
        <v>2</v>
      </c>
      <c r="Z825">
        <v>8</v>
      </c>
      <c r="AA825">
        <v>2</v>
      </c>
      <c r="AB825">
        <v>2</v>
      </c>
      <c r="AC825">
        <v>7</v>
      </c>
      <c r="AD825">
        <v>5</v>
      </c>
      <c r="AE825">
        <v>1</v>
      </c>
      <c r="AF825">
        <v>1</v>
      </c>
      <c r="AG825" t="s">
        <v>65</v>
      </c>
      <c r="AH825">
        <v>0</v>
      </c>
      <c r="AI825" t="s">
        <v>71</v>
      </c>
      <c r="AJ825" s="3" t="s">
        <v>83</v>
      </c>
      <c r="AK825" s="3">
        <v>1</v>
      </c>
      <c r="AL825" s="3" t="s">
        <v>83</v>
      </c>
    </row>
    <row r="826" spans="1:38" x14ac:dyDescent="0.3">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v>4272</v>
      </c>
      <c r="S826">
        <v>9558</v>
      </c>
      <c r="T826">
        <v>4</v>
      </c>
      <c r="U826" t="s">
        <v>43</v>
      </c>
      <c r="V826">
        <v>19</v>
      </c>
      <c r="W826">
        <v>3</v>
      </c>
      <c r="X826">
        <v>1</v>
      </c>
      <c r="Y826">
        <v>0</v>
      </c>
      <c r="Z826">
        <v>16</v>
      </c>
      <c r="AA826">
        <v>3</v>
      </c>
      <c r="AB826">
        <v>3</v>
      </c>
      <c r="AC826">
        <v>1</v>
      </c>
      <c r="AD826">
        <v>0</v>
      </c>
      <c r="AE826">
        <v>0</v>
      </c>
      <c r="AF826">
        <v>0</v>
      </c>
      <c r="AG826" t="s">
        <v>67</v>
      </c>
      <c r="AH826">
        <v>0</v>
      </c>
      <c r="AI826" t="s">
        <v>72</v>
      </c>
      <c r="AJ826" s="3" t="s">
        <v>82</v>
      </c>
      <c r="AK826" s="3">
        <v>1</v>
      </c>
      <c r="AL826" s="3" t="s">
        <v>83</v>
      </c>
    </row>
    <row r="827" spans="1:38" x14ac:dyDescent="0.3">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v>5056</v>
      </c>
      <c r="S827">
        <v>17689</v>
      </c>
      <c r="T827">
        <v>1</v>
      </c>
      <c r="U827" t="s">
        <v>35</v>
      </c>
      <c r="V827">
        <v>15</v>
      </c>
      <c r="W827">
        <v>3</v>
      </c>
      <c r="X827">
        <v>3</v>
      </c>
      <c r="Y827">
        <v>1</v>
      </c>
      <c r="Z827">
        <v>10</v>
      </c>
      <c r="AA827">
        <v>2</v>
      </c>
      <c r="AB827">
        <v>2</v>
      </c>
      <c r="AC827">
        <v>10</v>
      </c>
      <c r="AD827">
        <v>7</v>
      </c>
      <c r="AE827">
        <v>1</v>
      </c>
      <c r="AF827">
        <v>2</v>
      </c>
      <c r="AG827" t="s">
        <v>65</v>
      </c>
      <c r="AH827">
        <v>0</v>
      </c>
      <c r="AI827" t="s">
        <v>70</v>
      </c>
      <c r="AJ827" s="3" t="s">
        <v>82</v>
      </c>
      <c r="AK827" s="3">
        <v>1</v>
      </c>
      <c r="AL827" s="3" t="s">
        <v>83</v>
      </c>
    </row>
    <row r="828" spans="1:38" x14ac:dyDescent="0.3">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v>2844</v>
      </c>
      <c r="S828">
        <v>6004</v>
      </c>
      <c r="T828">
        <v>1</v>
      </c>
      <c r="U828" t="s">
        <v>43</v>
      </c>
      <c r="V828">
        <v>13</v>
      </c>
      <c r="W828">
        <v>3</v>
      </c>
      <c r="X828">
        <v>4</v>
      </c>
      <c r="Y828">
        <v>1</v>
      </c>
      <c r="Z828">
        <v>7</v>
      </c>
      <c r="AA828">
        <v>2</v>
      </c>
      <c r="AB828">
        <v>4</v>
      </c>
      <c r="AC828">
        <v>7</v>
      </c>
      <c r="AD828">
        <v>6</v>
      </c>
      <c r="AE828">
        <v>5</v>
      </c>
      <c r="AF828">
        <v>0</v>
      </c>
      <c r="AG828" t="s">
        <v>65</v>
      </c>
      <c r="AH828">
        <v>0</v>
      </c>
      <c r="AI828" t="s">
        <v>72</v>
      </c>
      <c r="AJ828" s="3" t="s">
        <v>84</v>
      </c>
      <c r="AK828" s="3">
        <v>0</v>
      </c>
      <c r="AL828" s="3" t="s">
        <v>83</v>
      </c>
    </row>
    <row r="829" spans="1:38" x14ac:dyDescent="0.3">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v>2703</v>
      </c>
      <c r="S829">
        <v>22088</v>
      </c>
      <c r="T829">
        <v>1</v>
      </c>
      <c r="U829" t="s">
        <v>35</v>
      </c>
      <c r="V829">
        <v>14</v>
      </c>
      <c r="W829">
        <v>3</v>
      </c>
      <c r="X829">
        <v>4</v>
      </c>
      <c r="Y829">
        <v>1</v>
      </c>
      <c r="Z829">
        <v>3</v>
      </c>
      <c r="AA829">
        <v>2</v>
      </c>
      <c r="AB829">
        <v>3</v>
      </c>
      <c r="AC829">
        <v>3</v>
      </c>
      <c r="AD829">
        <v>1</v>
      </c>
      <c r="AE829">
        <v>0</v>
      </c>
      <c r="AF829">
        <v>2</v>
      </c>
      <c r="AG829" t="s">
        <v>67</v>
      </c>
      <c r="AH829">
        <v>0</v>
      </c>
      <c r="AI829" t="s">
        <v>71</v>
      </c>
      <c r="AJ829" s="3" t="s">
        <v>84</v>
      </c>
      <c r="AK829" s="3">
        <v>2</v>
      </c>
      <c r="AL829" s="3" t="s">
        <v>84</v>
      </c>
    </row>
    <row r="830" spans="1:38" x14ac:dyDescent="0.3">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v>1904</v>
      </c>
      <c r="S830">
        <v>13556</v>
      </c>
      <c r="T830">
        <v>1</v>
      </c>
      <c r="U830" t="s">
        <v>43</v>
      </c>
      <c r="V830">
        <v>12</v>
      </c>
      <c r="W830">
        <v>3</v>
      </c>
      <c r="X830">
        <v>4</v>
      </c>
      <c r="Y830">
        <v>0</v>
      </c>
      <c r="Z830">
        <v>0</v>
      </c>
      <c r="AA830">
        <v>0</v>
      </c>
      <c r="AB830">
        <v>3</v>
      </c>
      <c r="AC830">
        <v>0</v>
      </c>
      <c r="AD830">
        <v>0</v>
      </c>
      <c r="AE830">
        <v>0</v>
      </c>
      <c r="AF830">
        <v>0</v>
      </c>
      <c r="AG830" t="s">
        <v>66</v>
      </c>
      <c r="AH830">
        <v>1</v>
      </c>
      <c r="AI830" t="s">
        <v>72</v>
      </c>
      <c r="AJ830" s="3" t="s">
        <v>84</v>
      </c>
      <c r="AK830" s="3">
        <v>1</v>
      </c>
      <c r="AL830" s="3" t="s">
        <v>83</v>
      </c>
    </row>
    <row r="831" spans="1:38" x14ac:dyDescent="0.3">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v>8224</v>
      </c>
      <c r="S831">
        <v>18385</v>
      </c>
      <c r="T831">
        <v>0</v>
      </c>
      <c r="U831" t="s">
        <v>35</v>
      </c>
      <c r="V831">
        <v>17</v>
      </c>
      <c r="W831">
        <v>3</v>
      </c>
      <c r="X831">
        <v>1</v>
      </c>
      <c r="Y831">
        <v>0</v>
      </c>
      <c r="Z831">
        <v>6</v>
      </c>
      <c r="AA831">
        <v>3</v>
      </c>
      <c r="AB831">
        <v>3</v>
      </c>
      <c r="AC831">
        <v>5</v>
      </c>
      <c r="AD831">
        <v>2</v>
      </c>
      <c r="AE831">
        <v>0</v>
      </c>
      <c r="AF831">
        <v>3</v>
      </c>
      <c r="AG831" t="s">
        <v>68</v>
      </c>
      <c r="AH831">
        <v>1</v>
      </c>
      <c r="AI831" t="s">
        <v>72</v>
      </c>
      <c r="AJ831" s="3" t="s">
        <v>83</v>
      </c>
      <c r="AK831" s="3">
        <v>2</v>
      </c>
      <c r="AL831" s="3" t="s">
        <v>84</v>
      </c>
    </row>
    <row r="832" spans="1:38" x14ac:dyDescent="0.3">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v>4766</v>
      </c>
      <c r="S832">
        <v>9051</v>
      </c>
      <c r="T832">
        <v>3</v>
      </c>
      <c r="U832" t="s">
        <v>35</v>
      </c>
      <c r="V832">
        <v>11</v>
      </c>
      <c r="W832">
        <v>3</v>
      </c>
      <c r="X832">
        <v>1</v>
      </c>
      <c r="Y832">
        <v>1</v>
      </c>
      <c r="Z832">
        <v>6</v>
      </c>
      <c r="AA832">
        <v>4</v>
      </c>
      <c r="AB832">
        <v>3</v>
      </c>
      <c r="AC832">
        <v>1</v>
      </c>
      <c r="AD832">
        <v>0</v>
      </c>
      <c r="AE832">
        <v>0</v>
      </c>
      <c r="AF832">
        <v>0</v>
      </c>
      <c r="AG832" t="s">
        <v>67</v>
      </c>
      <c r="AH832">
        <v>0</v>
      </c>
      <c r="AI832" t="s">
        <v>71</v>
      </c>
      <c r="AJ832" s="3" t="s">
        <v>82</v>
      </c>
      <c r="AK832" s="3">
        <v>2</v>
      </c>
      <c r="AL832" s="3" t="s">
        <v>84</v>
      </c>
    </row>
    <row r="833" spans="1:38" x14ac:dyDescent="0.3">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v>2610</v>
      </c>
      <c r="S833">
        <v>6233</v>
      </c>
      <c r="T833">
        <v>1</v>
      </c>
      <c r="U833" t="s">
        <v>43</v>
      </c>
      <c r="V833">
        <v>12</v>
      </c>
      <c r="W833">
        <v>3</v>
      </c>
      <c r="X833">
        <v>3</v>
      </c>
      <c r="Y833">
        <v>1</v>
      </c>
      <c r="Z833">
        <v>2</v>
      </c>
      <c r="AA833">
        <v>5</v>
      </c>
      <c r="AB833">
        <v>2</v>
      </c>
      <c r="AC833">
        <v>2</v>
      </c>
      <c r="AD833">
        <v>2</v>
      </c>
      <c r="AE833">
        <v>2</v>
      </c>
      <c r="AF833">
        <v>2</v>
      </c>
      <c r="AG833" t="s">
        <v>67</v>
      </c>
      <c r="AH833">
        <v>1</v>
      </c>
      <c r="AI833" t="s">
        <v>70</v>
      </c>
      <c r="AJ833" s="3" t="s">
        <v>84</v>
      </c>
      <c r="AK833" s="3">
        <v>1</v>
      </c>
      <c r="AL833" s="3" t="s">
        <v>83</v>
      </c>
    </row>
    <row r="834" spans="1:38" x14ac:dyDescent="0.3">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v>5731</v>
      </c>
      <c r="S834">
        <v>17171</v>
      </c>
      <c r="T834">
        <v>7</v>
      </c>
      <c r="U834" t="s">
        <v>43</v>
      </c>
      <c r="V834">
        <v>13</v>
      </c>
      <c r="W834">
        <v>3</v>
      </c>
      <c r="X834">
        <v>3</v>
      </c>
      <c r="Y834">
        <v>2</v>
      </c>
      <c r="Z834">
        <v>9</v>
      </c>
      <c r="AA834">
        <v>2</v>
      </c>
      <c r="AB834">
        <v>3</v>
      </c>
      <c r="AC834">
        <v>6</v>
      </c>
      <c r="AD834">
        <v>2</v>
      </c>
      <c r="AE834">
        <v>1</v>
      </c>
      <c r="AF834">
        <v>3</v>
      </c>
      <c r="AG834" t="s">
        <v>65</v>
      </c>
      <c r="AH834">
        <v>0</v>
      </c>
      <c r="AI834" t="s">
        <v>71</v>
      </c>
      <c r="AJ834" s="3" t="s">
        <v>82</v>
      </c>
      <c r="AK834" s="3">
        <v>0</v>
      </c>
      <c r="AL834" s="3" t="s">
        <v>83</v>
      </c>
    </row>
    <row r="835" spans="1:38" x14ac:dyDescent="0.3">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v>2539</v>
      </c>
      <c r="S835">
        <v>7950</v>
      </c>
      <c r="T835">
        <v>1</v>
      </c>
      <c r="U835" t="s">
        <v>43</v>
      </c>
      <c r="V835">
        <v>13</v>
      </c>
      <c r="W835">
        <v>3</v>
      </c>
      <c r="X835">
        <v>3</v>
      </c>
      <c r="Y835">
        <v>1</v>
      </c>
      <c r="Z835">
        <v>4</v>
      </c>
      <c r="AA835">
        <v>0</v>
      </c>
      <c r="AB835">
        <v>3</v>
      </c>
      <c r="AC835">
        <v>4</v>
      </c>
      <c r="AD835">
        <v>2</v>
      </c>
      <c r="AE835">
        <v>2</v>
      </c>
      <c r="AF835">
        <v>2</v>
      </c>
      <c r="AG835" t="s">
        <v>68</v>
      </c>
      <c r="AH835">
        <v>0</v>
      </c>
      <c r="AI835" t="s">
        <v>71</v>
      </c>
      <c r="AJ835" s="3" t="s">
        <v>84</v>
      </c>
      <c r="AK835" s="3">
        <v>0</v>
      </c>
      <c r="AL835" s="3" t="s">
        <v>83</v>
      </c>
    </row>
    <row r="836" spans="1:38" x14ac:dyDescent="0.3">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v>5714</v>
      </c>
      <c r="S836">
        <v>5829</v>
      </c>
      <c r="T836">
        <v>1</v>
      </c>
      <c r="U836" t="s">
        <v>43</v>
      </c>
      <c r="V836">
        <v>20</v>
      </c>
      <c r="W836">
        <v>4</v>
      </c>
      <c r="X836">
        <v>1</v>
      </c>
      <c r="Y836">
        <v>0</v>
      </c>
      <c r="Z836">
        <v>6</v>
      </c>
      <c r="AA836">
        <v>3</v>
      </c>
      <c r="AB836">
        <v>2</v>
      </c>
      <c r="AC836">
        <v>6</v>
      </c>
      <c r="AD836">
        <v>5</v>
      </c>
      <c r="AE836">
        <v>1</v>
      </c>
      <c r="AF836">
        <v>3</v>
      </c>
      <c r="AG836" t="s">
        <v>65</v>
      </c>
      <c r="AH836">
        <v>0</v>
      </c>
      <c r="AI836" t="s">
        <v>72</v>
      </c>
      <c r="AJ836" s="3" t="s">
        <v>84</v>
      </c>
      <c r="AK836" s="3">
        <v>0</v>
      </c>
      <c r="AL836" s="3" t="s">
        <v>83</v>
      </c>
    </row>
    <row r="837" spans="1:38" x14ac:dyDescent="0.3">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v>4323</v>
      </c>
      <c r="S837">
        <v>7108</v>
      </c>
      <c r="T837">
        <v>1</v>
      </c>
      <c r="U837" t="s">
        <v>43</v>
      </c>
      <c r="V837">
        <v>17</v>
      </c>
      <c r="W837">
        <v>3</v>
      </c>
      <c r="X837">
        <v>2</v>
      </c>
      <c r="Y837">
        <v>0</v>
      </c>
      <c r="Z837">
        <v>6</v>
      </c>
      <c r="AA837">
        <v>2</v>
      </c>
      <c r="AB837">
        <v>1</v>
      </c>
      <c r="AC837">
        <v>5</v>
      </c>
      <c r="AD837">
        <v>4</v>
      </c>
      <c r="AE837">
        <v>1</v>
      </c>
      <c r="AF837">
        <v>4</v>
      </c>
      <c r="AG837" t="s">
        <v>68</v>
      </c>
      <c r="AH837">
        <v>0</v>
      </c>
      <c r="AI837" t="s">
        <v>71</v>
      </c>
      <c r="AJ837" s="3" t="s">
        <v>84</v>
      </c>
      <c r="AK837" s="3">
        <v>0</v>
      </c>
      <c r="AL837" s="3" t="s">
        <v>83</v>
      </c>
    </row>
    <row r="838" spans="1:38" x14ac:dyDescent="0.3">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v>7336</v>
      </c>
      <c r="S838">
        <v>11162</v>
      </c>
      <c r="T838">
        <v>1</v>
      </c>
      <c r="U838" t="s">
        <v>43</v>
      </c>
      <c r="V838">
        <v>13</v>
      </c>
      <c r="W838">
        <v>3</v>
      </c>
      <c r="X838">
        <v>1</v>
      </c>
      <c r="Y838">
        <v>1</v>
      </c>
      <c r="Z838">
        <v>11</v>
      </c>
      <c r="AA838">
        <v>3</v>
      </c>
      <c r="AB838">
        <v>1</v>
      </c>
      <c r="AC838">
        <v>11</v>
      </c>
      <c r="AD838">
        <v>8</v>
      </c>
      <c r="AE838">
        <v>3</v>
      </c>
      <c r="AF838">
        <v>10</v>
      </c>
      <c r="AG838" t="s">
        <v>65</v>
      </c>
      <c r="AH838">
        <v>1</v>
      </c>
      <c r="AI838" t="s">
        <v>71</v>
      </c>
      <c r="AJ838" s="3" t="s">
        <v>83</v>
      </c>
      <c r="AK838" s="3">
        <v>1</v>
      </c>
      <c r="AL838" s="3" t="s">
        <v>83</v>
      </c>
    </row>
    <row r="839" spans="1:38" x14ac:dyDescent="0.3">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v>13499</v>
      </c>
      <c r="S839">
        <v>13782</v>
      </c>
      <c r="T839">
        <v>9</v>
      </c>
      <c r="U839" t="s">
        <v>43</v>
      </c>
      <c r="V839">
        <v>17</v>
      </c>
      <c r="W839">
        <v>3</v>
      </c>
      <c r="X839">
        <v>3</v>
      </c>
      <c r="Y839">
        <v>0</v>
      </c>
      <c r="Z839">
        <v>20</v>
      </c>
      <c r="AA839">
        <v>3</v>
      </c>
      <c r="AB839">
        <v>2</v>
      </c>
      <c r="AC839">
        <v>18</v>
      </c>
      <c r="AD839">
        <v>7</v>
      </c>
      <c r="AE839">
        <v>2</v>
      </c>
      <c r="AF839">
        <v>13</v>
      </c>
      <c r="AG839" t="s">
        <v>65</v>
      </c>
      <c r="AH839">
        <v>0</v>
      </c>
      <c r="AI839" t="s">
        <v>72</v>
      </c>
      <c r="AJ839" s="3" t="s">
        <v>84</v>
      </c>
      <c r="AK839" s="3">
        <v>0</v>
      </c>
      <c r="AL839" s="3" t="s">
        <v>83</v>
      </c>
    </row>
    <row r="840" spans="1:38" x14ac:dyDescent="0.3">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v>13758</v>
      </c>
      <c r="S840">
        <v>2447</v>
      </c>
      <c r="T840">
        <v>0</v>
      </c>
      <c r="U840" t="s">
        <v>35</v>
      </c>
      <c r="V840">
        <v>12</v>
      </c>
      <c r="W840">
        <v>3</v>
      </c>
      <c r="X840">
        <v>2</v>
      </c>
      <c r="Y840">
        <v>0</v>
      </c>
      <c r="Z840">
        <v>22</v>
      </c>
      <c r="AA840">
        <v>2</v>
      </c>
      <c r="AB840">
        <v>2</v>
      </c>
      <c r="AC840">
        <v>21</v>
      </c>
      <c r="AD840">
        <v>9</v>
      </c>
      <c r="AE840">
        <v>13</v>
      </c>
      <c r="AF840">
        <v>14</v>
      </c>
      <c r="AG840" t="s">
        <v>65</v>
      </c>
      <c r="AH840">
        <v>1</v>
      </c>
      <c r="AI840" t="s">
        <v>70</v>
      </c>
      <c r="AJ840" s="3" t="s">
        <v>83</v>
      </c>
      <c r="AK840" s="3">
        <v>2</v>
      </c>
      <c r="AL840" s="3" t="s">
        <v>84</v>
      </c>
    </row>
    <row r="841" spans="1:38" x14ac:dyDescent="0.3">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v>5155</v>
      </c>
      <c r="S841">
        <v>2253</v>
      </c>
      <c r="T841">
        <v>7</v>
      </c>
      <c r="U841" t="s">
        <v>43</v>
      </c>
      <c r="V841">
        <v>13</v>
      </c>
      <c r="W841">
        <v>3</v>
      </c>
      <c r="X841">
        <v>4</v>
      </c>
      <c r="Y841">
        <v>0</v>
      </c>
      <c r="Z841">
        <v>9</v>
      </c>
      <c r="AA841">
        <v>3</v>
      </c>
      <c r="AB841">
        <v>4</v>
      </c>
      <c r="AC841">
        <v>6</v>
      </c>
      <c r="AD841">
        <v>4</v>
      </c>
      <c r="AE841">
        <v>1</v>
      </c>
      <c r="AF841">
        <v>5</v>
      </c>
      <c r="AG841" t="s">
        <v>65</v>
      </c>
      <c r="AH841">
        <v>0</v>
      </c>
      <c r="AI841" t="s">
        <v>70</v>
      </c>
      <c r="AJ841" s="3" t="s">
        <v>83</v>
      </c>
      <c r="AK841" s="3">
        <v>1</v>
      </c>
      <c r="AL841" s="3" t="s">
        <v>83</v>
      </c>
    </row>
    <row r="842" spans="1:38" x14ac:dyDescent="0.3">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v>2258</v>
      </c>
      <c r="S842">
        <v>16340</v>
      </c>
      <c r="T842">
        <v>6</v>
      </c>
      <c r="U842" t="s">
        <v>43</v>
      </c>
      <c r="V842">
        <v>12</v>
      </c>
      <c r="W842">
        <v>3</v>
      </c>
      <c r="X842">
        <v>2</v>
      </c>
      <c r="Y842">
        <v>1</v>
      </c>
      <c r="Z842">
        <v>10</v>
      </c>
      <c r="AA842">
        <v>2</v>
      </c>
      <c r="AB842">
        <v>3</v>
      </c>
      <c r="AC842">
        <v>8</v>
      </c>
      <c r="AD842">
        <v>0</v>
      </c>
      <c r="AE842">
        <v>1</v>
      </c>
      <c r="AF842">
        <v>7</v>
      </c>
      <c r="AG842" t="s">
        <v>65</v>
      </c>
      <c r="AH842">
        <v>0</v>
      </c>
      <c r="AI842" t="s">
        <v>70</v>
      </c>
      <c r="AJ842" s="3" t="s">
        <v>84</v>
      </c>
      <c r="AK842" s="3">
        <v>0</v>
      </c>
      <c r="AL842" s="3" t="s">
        <v>83</v>
      </c>
    </row>
    <row r="843" spans="1:38" x14ac:dyDescent="0.3">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v>3597</v>
      </c>
      <c r="S843">
        <v>6409</v>
      </c>
      <c r="T843">
        <v>8</v>
      </c>
      <c r="U843" t="s">
        <v>43</v>
      </c>
      <c r="V843">
        <v>22</v>
      </c>
      <c r="W843">
        <v>4</v>
      </c>
      <c r="X843">
        <v>4</v>
      </c>
      <c r="Y843">
        <v>0</v>
      </c>
      <c r="Z843">
        <v>6</v>
      </c>
      <c r="AA843">
        <v>2</v>
      </c>
      <c r="AB843">
        <v>3</v>
      </c>
      <c r="AC843">
        <v>4</v>
      </c>
      <c r="AD843">
        <v>3</v>
      </c>
      <c r="AE843">
        <v>1</v>
      </c>
      <c r="AF843">
        <v>2</v>
      </c>
      <c r="AG843" t="s">
        <v>68</v>
      </c>
      <c r="AH843">
        <v>0</v>
      </c>
      <c r="AI843" t="s">
        <v>71</v>
      </c>
      <c r="AJ843" s="3" t="s">
        <v>83</v>
      </c>
      <c r="AK843" s="3">
        <v>1</v>
      </c>
      <c r="AL843" s="3" t="s">
        <v>83</v>
      </c>
    </row>
    <row r="844" spans="1:38" x14ac:dyDescent="0.3">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v>2515</v>
      </c>
      <c r="S844">
        <v>22955</v>
      </c>
      <c r="T844">
        <v>1</v>
      </c>
      <c r="U844" t="s">
        <v>35</v>
      </c>
      <c r="V844">
        <v>11</v>
      </c>
      <c r="W844">
        <v>3</v>
      </c>
      <c r="X844">
        <v>4</v>
      </c>
      <c r="Y844">
        <v>0</v>
      </c>
      <c r="Z844">
        <v>1</v>
      </c>
      <c r="AA844">
        <v>4</v>
      </c>
      <c r="AB844">
        <v>2</v>
      </c>
      <c r="AC844">
        <v>1</v>
      </c>
      <c r="AD844">
        <v>1</v>
      </c>
      <c r="AE844">
        <v>0</v>
      </c>
      <c r="AF844">
        <v>0</v>
      </c>
      <c r="AG844" t="s">
        <v>67</v>
      </c>
      <c r="AH844">
        <v>1</v>
      </c>
      <c r="AI844" t="s">
        <v>72</v>
      </c>
      <c r="AJ844" s="3" t="s">
        <v>82</v>
      </c>
      <c r="AK844" s="3">
        <v>2</v>
      </c>
      <c r="AL844" s="3" t="s">
        <v>84</v>
      </c>
    </row>
    <row r="845" spans="1:38" x14ac:dyDescent="0.3">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v>4420</v>
      </c>
      <c r="S845">
        <v>13421</v>
      </c>
      <c r="T845">
        <v>1</v>
      </c>
      <c r="U845" t="s">
        <v>43</v>
      </c>
      <c r="V845">
        <v>22</v>
      </c>
      <c r="W845">
        <v>4</v>
      </c>
      <c r="X845">
        <v>2</v>
      </c>
      <c r="Y845">
        <v>1</v>
      </c>
      <c r="Z845">
        <v>8</v>
      </c>
      <c r="AA845">
        <v>2</v>
      </c>
      <c r="AB845">
        <v>3</v>
      </c>
      <c r="AC845">
        <v>8</v>
      </c>
      <c r="AD845">
        <v>7</v>
      </c>
      <c r="AE845">
        <v>0</v>
      </c>
      <c r="AF845">
        <v>7</v>
      </c>
      <c r="AG845" t="s">
        <v>65</v>
      </c>
      <c r="AH845">
        <v>0</v>
      </c>
      <c r="AI845" t="s">
        <v>72</v>
      </c>
      <c r="AJ845" s="3" t="s">
        <v>82</v>
      </c>
      <c r="AK845" s="3">
        <v>0</v>
      </c>
      <c r="AL845" s="3" t="s">
        <v>83</v>
      </c>
    </row>
    <row r="846" spans="1:38" x14ac:dyDescent="0.3">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v>6578</v>
      </c>
      <c r="S846">
        <v>2706</v>
      </c>
      <c r="T846">
        <v>1</v>
      </c>
      <c r="U846" t="s">
        <v>43</v>
      </c>
      <c r="V846">
        <v>18</v>
      </c>
      <c r="W846">
        <v>3</v>
      </c>
      <c r="X846">
        <v>1</v>
      </c>
      <c r="Y846">
        <v>1</v>
      </c>
      <c r="Z846">
        <v>10</v>
      </c>
      <c r="AA846">
        <v>3</v>
      </c>
      <c r="AB846">
        <v>3</v>
      </c>
      <c r="AC846">
        <v>10</v>
      </c>
      <c r="AD846">
        <v>3</v>
      </c>
      <c r="AE846">
        <v>1</v>
      </c>
      <c r="AF846">
        <v>4</v>
      </c>
      <c r="AG846" t="s">
        <v>65</v>
      </c>
      <c r="AH846">
        <v>0</v>
      </c>
      <c r="AI846" t="s">
        <v>72</v>
      </c>
      <c r="AJ846" s="3" t="s">
        <v>84</v>
      </c>
      <c r="AK846" s="3">
        <v>0</v>
      </c>
      <c r="AL846" s="3" t="s">
        <v>83</v>
      </c>
    </row>
    <row r="847" spans="1:38" x14ac:dyDescent="0.3">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v>4422</v>
      </c>
      <c r="S847">
        <v>21203</v>
      </c>
      <c r="T847">
        <v>3</v>
      </c>
      <c r="U847" t="s">
        <v>35</v>
      </c>
      <c r="V847">
        <v>13</v>
      </c>
      <c r="W847">
        <v>3</v>
      </c>
      <c r="X847">
        <v>4</v>
      </c>
      <c r="Y847">
        <v>1</v>
      </c>
      <c r="Z847">
        <v>16</v>
      </c>
      <c r="AA847">
        <v>3</v>
      </c>
      <c r="AB847">
        <v>1</v>
      </c>
      <c r="AC847">
        <v>1</v>
      </c>
      <c r="AD847">
        <v>1</v>
      </c>
      <c r="AE847">
        <v>0</v>
      </c>
      <c r="AF847">
        <v>0</v>
      </c>
      <c r="AG847" t="s">
        <v>67</v>
      </c>
      <c r="AH847">
        <v>0</v>
      </c>
      <c r="AI847" t="s">
        <v>71</v>
      </c>
      <c r="AJ847" s="3" t="s">
        <v>82</v>
      </c>
      <c r="AK847" s="3">
        <v>2</v>
      </c>
      <c r="AL847" s="3" t="s">
        <v>84</v>
      </c>
    </row>
    <row r="848" spans="1:38" x14ac:dyDescent="0.3">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v>10274</v>
      </c>
      <c r="S848">
        <v>19588</v>
      </c>
      <c r="T848">
        <v>2</v>
      </c>
      <c r="U848" t="s">
        <v>43</v>
      </c>
      <c r="V848">
        <v>18</v>
      </c>
      <c r="W848">
        <v>3</v>
      </c>
      <c r="X848">
        <v>2</v>
      </c>
      <c r="Y848">
        <v>1</v>
      </c>
      <c r="Z848">
        <v>15</v>
      </c>
      <c r="AA848">
        <v>2</v>
      </c>
      <c r="AB848">
        <v>4</v>
      </c>
      <c r="AC848">
        <v>7</v>
      </c>
      <c r="AD848">
        <v>7</v>
      </c>
      <c r="AE848">
        <v>6</v>
      </c>
      <c r="AF848">
        <v>4</v>
      </c>
      <c r="AG848" t="s">
        <v>65</v>
      </c>
      <c r="AH848">
        <v>0</v>
      </c>
      <c r="AI848" t="s">
        <v>70</v>
      </c>
      <c r="AJ848" s="3" t="s">
        <v>83</v>
      </c>
      <c r="AK848" s="3">
        <v>1</v>
      </c>
      <c r="AL848" s="3" t="s">
        <v>83</v>
      </c>
    </row>
    <row r="849" spans="1:38" x14ac:dyDescent="0.3">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v>5343</v>
      </c>
      <c r="S849">
        <v>25755</v>
      </c>
      <c r="T849">
        <v>0</v>
      </c>
      <c r="U849" t="s">
        <v>43</v>
      </c>
      <c r="V849">
        <v>20</v>
      </c>
      <c r="W849">
        <v>4</v>
      </c>
      <c r="X849">
        <v>3</v>
      </c>
      <c r="Y849">
        <v>0</v>
      </c>
      <c r="Z849">
        <v>14</v>
      </c>
      <c r="AA849">
        <v>3</v>
      </c>
      <c r="AB849">
        <v>3</v>
      </c>
      <c r="AC849">
        <v>13</v>
      </c>
      <c r="AD849">
        <v>9</v>
      </c>
      <c r="AE849">
        <v>4</v>
      </c>
      <c r="AF849">
        <v>9</v>
      </c>
      <c r="AG849" t="s">
        <v>65</v>
      </c>
      <c r="AH849">
        <v>0</v>
      </c>
      <c r="AI849" t="s">
        <v>71</v>
      </c>
      <c r="AJ849" s="3" t="s">
        <v>83</v>
      </c>
      <c r="AK849" s="3">
        <v>1</v>
      </c>
      <c r="AL849" s="3" t="s">
        <v>83</v>
      </c>
    </row>
    <row r="850" spans="1:38" x14ac:dyDescent="0.3">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v>2376</v>
      </c>
      <c r="S850">
        <v>26537</v>
      </c>
      <c r="T850">
        <v>1</v>
      </c>
      <c r="U850" t="s">
        <v>43</v>
      </c>
      <c r="V850">
        <v>13</v>
      </c>
      <c r="W850">
        <v>3</v>
      </c>
      <c r="X850">
        <v>2</v>
      </c>
      <c r="Y850">
        <v>1</v>
      </c>
      <c r="Z850">
        <v>2</v>
      </c>
      <c r="AA850">
        <v>2</v>
      </c>
      <c r="AB850">
        <v>4</v>
      </c>
      <c r="AC850">
        <v>2</v>
      </c>
      <c r="AD850">
        <v>2</v>
      </c>
      <c r="AE850">
        <v>2</v>
      </c>
      <c r="AF850">
        <v>2</v>
      </c>
      <c r="AG850" t="s">
        <v>67</v>
      </c>
      <c r="AH850">
        <v>0</v>
      </c>
      <c r="AI850" t="s">
        <v>71</v>
      </c>
      <c r="AJ850" s="3" t="s">
        <v>82</v>
      </c>
      <c r="AK850" s="3">
        <v>1</v>
      </c>
      <c r="AL850" s="3" t="s">
        <v>83</v>
      </c>
    </row>
    <row r="851" spans="1:38" x14ac:dyDescent="0.3">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v>5346</v>
      </c>
      <c r="S851">
        <v>9489</v>
      </c>
      <c r="T851">
        <v>8</v>
      </c>
      <c r="U851" t="s">
        <v>43</v>
      </c>
      <c r="V851">
        <v>13</v>
      </c>
      <c r="W851">
        <v>3</v>
      </c>
      <c r="X851">
        <v>2</v>
      </c>
      <c r="Y851">
        <v>0</v>
      </c>
      <c r="Z851">
        <v>7</v>
      </c>
      <c r="AA851">
        <v>2</v>
      </c>
      <c r="AB851">
        <v>2</v>
      </c>
      <c r="AC851">
        <v>4</v>
      </c>
      <c r="AD851">
        <v>3</v>
      </c>
      <c r="AE851">
        <v>1</v>
      </c>
      <c r="AF851">
        <v>3</v>
      </c>
      <c r="AG851" t="s">
        <v>68</v>
      </c>
      <c r="AH851">
        <v>1</v>
      </c>
      <c r="AI851" t="s">
        <v>71</v>
      </c>
      <c r="AJ851" s="3" t="s">
        <v>84</v>
      </c>
      <c r="AK851" s="3">
        <v>0</v>
      </c>
      <c r="AL851" s="3" t="s">
        <v>83</v>
      </c>
    </row>
    <row r="852" spans="1:38" x14ac:dyDescent="0.3">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v>2827</v>
      </c>
      <c r="S852">
        <v>14947</v>
      </c>
      <c r="T852">
        <v>1</v>
      </c>
      <c r="U852" t="s">
        <v>43</v>
      </c>
      <c r="V852">
        <v>12</v>
      </c>
      <c r="W852">
        <v>3</v>
      </c>
      <c r="X852">
        <v>3</v>
      </c>
      <c r="Y852">
        <v>3</v>
      </c>
      <c r="Z852">
        <v>1</v>
      </c>
      <c r="AA852">
        <v>3</v>
      </c>
      <c r="AB852">
        <v>3</v>
      </c>
      <c r="AC852">
        <v>1</v>
      </c>
      <c r="AD852">
        <v>0</v>
      </c>
      <c r="AE852">
        <v>0</v>
      </c>
      <c r="AF852">
        <v>0</v>
      </c>
      <c r="AG852" t="s">
        <v>67</v>
      </c>
      <c r="AH852">
        <v>0</v>
      </c>
      <c r="AI852" t="s">
        <v>70</v>
      </c>
      <c r="AJ852" s="3" t="s">
        <v>83</v>
      </c>
      <c r="AK852" s="3">
        <v>2</v>
      </c>
      <c r="AL852" s="3" t="s">
        <v>84</v>
      </c>
    </row>
    <row r="853" spans="1:38" x14ac:dyDescent="0.3">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v>19943</v>
      </c>
      <c r="S853">
        <v>18575</v>
      </c>
      <c r="T853">
        <v>4</v>
      </c>
      <c r="U853" t="s">
        <v>43</v>
      </c>
      <c r="V853">
        <v>13</v>
      </c>
      <c r="W853">
        <v>3</v>
      </c>
      <c r="X853">
        <v>4</v>
      </c>
      <c r="Y853">
        <v>1</v>
      </c>
      <c r="Z853">
        <v>28</v>
      </c>
      <c r="AA853">
        <v>2</v>
      </c>
      <c r="AB853">
        <v>3</v>
      </c>
      <c r="AC853">
        <v>5</v>
      </c>
      <c r="AD853">
        <v>2</v>
      </c>
      <c r="AE853">
        <v>4</v>
      </c>
      <c r="AF853">
        <v>2</v>
      </c>
      <c r="AG853" t="s">
        <v>68</v>
      </c>
      <c r="AH853">
        <v>0</v>
      </c>
      <c r="AI853" t="s">
        <v>71</v>
      </c>
      <c r="AJ853" s="3" t="s">
        <v>83</v>
      </c>
      <c r="AK853" s="3">
        <v>1</v>
      </c>
      <c r="AL853" s="3" t="s">
        <v>83</v>
      </c>
    </row>
    <row r="854" spans="1:38" x14ac:dyDescent="0.3">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v>3131</v>
      </c>
      <c r="S854">
        <v>26342</v>
      </c>
      <c r="T854">
        <v>1</v>
      </c>
      <c r="U854" t="s">
        <v>43</v>
      </c>
      <c r="V854">
        <v>13</v>
      </c>
      <c r="W854">
        <v>3</v>
      </c>
      <c r="X854">
        <v>1</v>
      </c>
      <c r="Y854">
        <v>1</v>
      </c>
      <c r="Z854">
        <v>10</v>
      </c>
      <c r="AA854">
        <v>5</v>
      </c>
      <c r="AB854">
        <v>3</v>
      </c>
      <c r="AC854">
        <v>10</v>
      </c>
      <c r="AD854">
        <v>8</v>
      </c>
      <c r="AE854">
        <v>0</v>
      </c>
      <c r="AF854">
        <v>8</v>
      </c>
      <c r="AG854" t="s">
        <v>65</v>
      </c>
      <c r="AH854">
        <v>0</v>
      </c>
      <c r="AI854" t="s">
        <v>69</v>
      </c>
      <c r="AJ854" s="3" t="s">
        <v>82</v>
      </c>
      <c r="AK854" s="3">
        <v>0</v>
      </c>
      <c r="AL854" s="3" t="s">
        <v>83</v>
      </c>
    </row>
    <row r="855" spans="1:38" x14ac:dyDescent="0.3">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v>2552</v>
      </c>
      <c r="S855">
        <v>7172</v>
      </c>
      <c r="T855">
        <v>1</v>
      </c>
      <c r="U855" t="s">
        <v>43</v>
      </c>
      <c r="V855">
        <v>25</v>
      </c>
      <c r="W855">
        <v>4</v>
      </c>
      <c r="X855">
        <v>3</v>
      </c>
      <c r="Y855">
        <v>0</v>
      </c>
      <c r="Z855">
        <v>1</v>
      </c>
      <c r="AA855">
        <v>4</v>
      </c>
      <c r="AB855">
        <v>3</v>
      </c>
      <c r="AC855">
        <v>1</v>
      </c>
      <c r="AD855">
        <v>1</v>
      </c>
      <c r="AE855">
        <v>0</v>
      </c>
      <c r="AF855">
        <v>0</v>
      </c>
      <c r="AG855" t="s">
        <v>67</v>
      </c>
      <c r="AH855">
        <v>0</v>
      </c>
      <c r="AI855" t="s">
        <v>72</v>
      </c>
      <c r="AJ855" s="3" t="s">
        <v>83</v>
      </c>
      <c r="AK855" s="3">
        <v>2</v>
      </c>
      <c r="AL855" s="3" t="s">
        <v>84</v>
      </c>
    </row>
    <row r="856" spans="1:38" x14ac:dyDescent="0.3">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v>4477</v>
      </c>
      <c r="S856">
        <v>20100</v>
      </c>
      <c r="T856">
        <v>4</v>
      </c>
      <c r="U856" t="s">
        <v>35</v>
      </c>
      <c r="V856">
        <v>19</v>
      </c>
      <c r="W856">
        <v>3</v>
      </c>
      <c r="X856">
        <v>3</v>
      </c>
      <c r="Y856">
        <v>1</v>
      </c>
      <c r="Z856">
        <v>7</v>
      </c>
      <c r="AA856">
        <v>2</v>
      </c>
      <c r="AB856">
        <v>2</v>
      </c>
      <c r="AC856">
        <v>3</v>
      </c>
      <c r="AD856">
        <v>2</v>
      </c>
      <c r="AE856">
        <v>0</v>
      </c>
      <c r="AF856">
        <v>2</v>
      </c>
      <c r="AG856" t="s">
        <v>67</v>
      </c>
      <c r="AH856">
        <v>0</v>
      </c>
      <c r="AI856" t="s">
        <v>72</v>
      </c>
      <c r="AJ856" s="3" t="s">
        <v>84</v>
      </c>
      <c r="AK856" s="3">
        <v>2</v>
      </c>
      <c r="AL856" s="3" t="s">
        <v>84</v>
      </c>
    </row>
    <row r="857" spans="1:38" x14ac:dyDescent="0.3">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v>6474</v>
      </c>
      <c r="S857">
        <v>9961</v>
      </c>
      <c r="T857">
        <v>1</v>
      </c>
      <c r="U857" t="s">
        <v>43</v>
      </c>
      <c r="V857">
        <v>13</v>
      </c>
      <c r="W857">
        <v>3</v>
      </c>
      <c r="X857">
        <v>2</v>
      </c>
      <c r="Y857">
        <v>1</v>
      </c>
      <c r="Z857">
        <v>14</v>
      </c>
      <c r="AA857">
        <v>2</v>
      </c>
      <c r="AB857">
        <v>2</v>
      </c>
      <c r="AC857">
        <v>14</v>
      </c>
      <c r="AD857">
        <v>8</v>
      </c>
      <c r="AE857">
        <v>3</v>
      </c>
      <c r="AF857">
        <v>11</v>
      </c>
      <c r="AG857" t="s">
        <v>65</v>
      </c>
      <c r="AH857">
        <v>0</v>
      </c>
      <c r="AI857" t="s">
        <v>70</v>
      </c>
      <c r="AJ857" s="3" t="s">
        <v>82</v>
      </c>
      <c r="AK857" s="3">
        <v>0</v>
      </c>
      <c r="AL857" s="3" t="s">
        <v>83</v>
      </c>
    </row>
    <row r="858" spans="1:38" x14ac:dyDescent="0.3">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v>3033</v>
      </c>
      <c r="S858">
        <v>12828</v>
      </c>
      <c r="T858">
        <v>1</v>
      </c>
      <c r="U858" t="s">
        <v>43</v>
      </c>
      <c r="V858">
        <v>12</v>
      </c>
      <c r="W858">
        <v>3</v>
      </c>
      <c r="X858">
        <v>1</v>
      </c>
      <c r="Y858">
        <v>0</v>
      </c>
      <c r="Z858">
        <v>2</v>
      </c>
      <c r="AA858">
        <v>2</v>
      </c>
      <c r="AB858">
        <v>2</v>
      </c>
      <c r="AC858">
        <v>2</v>
      </c>
      <c r="AD858">
        <v>2</v>
      </c>
      <c r="AE858">
        <v>1</v>
      </c>
      <c r="AF858">
        <v>2</v>
      </c>
      <c r="AG858" t="s">
        <v>67</v>
      </c>
      <c r="AH858">
        <v>0</v>
      </c>
      <c r="AI858" t="s">
        <v>71</v>
      </c>
      <c r="AJ858" s="3" t="s">
        <v>84</v>
      </c>
      <c r="AK858" s="3">
        <v>1</v>
      </c>
      <c r="AL858" s="3" t="s">
        <v>83</v>
      </c>
    </row>
    <row r="859" spans="1:38" x14ac:dyDescent="0.3">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v>2936</v>
      </c>
      <c r="S859">
        <v>10826</v>
      </c>
      <c r="T859">
        <v>1</v>
      </c>
      <c r="U859" t="s">
        <v>35</v>
      </c>
      <c r="V859">
        <v>11</v>
      </c>
      <c r="W859">
        <v>3</v>
      </c>
      <c r="X859">
        <v>3</v>
      </c>
      <c r="Y859">
        <v>0</v>
      </c>
      <c r="Z859">
        <v>6</v>
      </c>
      <c r="AA859">
        <v>4</v>
      </c>
      <c r="AB859">
        <v>3</v>
      </c>
      <c r="AC859">
        <v>6</v>
      </c>
      <c r="AD859">
        <v>4</v>
      </c>
      <c r="AE859">
        <v>0</v>
      </c>
      <c r="AF859">
        <v>2</v>
      </c>
      <c r="AG859" t="s">
        <v>65</v>
      </c>
      <c r="AH859">
        <v>1</v>
      </c>
      <c r="AI859" t="s">
        <v>72</v>
      </c>
      <c r="AJ859" s="3" t="s">
        <v>84</v>
      </c>
      <c r="AK859" s="3">
        <v>1</v>
      </c>
      <c r="AL859" s="3" t="s">
        <v>83</v>
      </c>
    </row>
    <row r="860" spans="1:38" x14ac:dyDescent="0.3">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v>18606</v>
      </c>
      <c r="S860">
        <v>18640</v>
      </c>
      <c r="T860">
        <v>3</v>
      </c>
      <c r="U860" t="s">
        <v>43</v>
      </c>
      <c r="V860">
        <v>18</v>
      </c>
      <c r="W860">
        <v>3</v>
      </c>
      <c r="X860">
        <v>2</v>
      </c>
      <c r="Y860">
        <v>1</v>
      </c>
      <c r="Z860">
        <v>26</v>
      </c>
      <c r="AA860">
        <v>6</v>
      </c>
      <c r="AB860">
        <v>3</v>
      </c>
      <c r="AC860">
        <v>7</v>
      </c>
      <c r="AD860">
        <v>7</v>
      </c>
      <c r="AE860">
        <v>4</v>
      </c>
      <c r="AF860">
        <v>7</v>
      </c>
      <c r="AG860" t="s">
        <v>65</v>
      </c>
      <c r="AH860">
        <v>0</v>
      </c>
      <c r="AI860" t="s">
        <v>70</v>
      </c>
      <c r="AJ860" s="3" t="s">
        <v>84</v>
      </c>
      <c r="AK860" s="3">
        <v>0</v>
      </c>
      <c r="AL860" s="3" t="s">
        <v>83</v>
      </c>
    </row>
    <row r="861" spans="1:38" x14ac:dyDescent="0.3">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v>2168</v>
      </c>
      <c r="S861">
        <v>26933</v>
      </c>
      <c r="T861">
        <v>0</v>
      </c>
      <c r="U861" t="s">
        <v>35</v>
      </c>
      <c r="V861">
        <v>18</v>
      </c>
      <c r="W861">
        <v>3</v>
      </c>
      <c r="X861">
        <v>1</v>
      </c>
      <c r="Y861">
        <v>1</v>
      </c>
      <c r="Z861">
        <v>6</v>
      </c>
      <c r="AA861">
        <v>2</v>
      </c>
      <c r="AB861">
        <v>2</v>
      </c>
      <c r="AC861">
        <v>5</v>
      </c>
      <c r="AD861">
        <v>4</v>
      </c>
      <c r="AE861">
        <v>1</v>
      </c>
      <c r="AF861">
        <v>3</v>
      </c>
      <c r="AG861" t="s">
        <v>68</v>
      </c>
      <c r="AH861">
        <v>0</v>
      </c>
      <c r="AI861" t="s">
        <v>69</v>
      </c>
      <c r="AJ861" s="3" t="s">
        <v>82</v>
      </c>
      <c r="AK861" s="3">
        <v>1</v>
      </c>
      <c r="AL861" s="3" t="s">
        <v>83</v>
      </c>
    </row>
    <row r="862" spans="1:38" x14ac:dyDescent="0.3">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v>2853</v>
      </c>
      <c r="S862">
        <v>4223</v>
      </c>
      <c r="T862">
        <v>0</v>
      </c>
      <c r="U862" t="s">
        <v>35</v>
      </c>
      <c r="V862">
        <v>11</v>
      </c>
      <c r="W862">
        <v>3</v>
      </c>
      <c r="X862">
        <v>2</v>
      </c>
      <c r="Y862">
        <v>1</v>
      </c>
      <c r="Z862">
        <v>1</v>
      </c>
      <c r="AA862">
        <v>5</v>
      </c>
      <c r="AB862">
        <v>3</v>
      </c>
      <c r="AC862">
        <v>0</v>
      </c>
      <c r="AD862">
        <v>0</v>
      </c>
      <c r="AE862">
        <v>0</v>
      </c>
      <c r="AF862">
        <v>0</v>
      </c>
      <c r="AG862" t="s">
        <v>66</v>
      </c>
      <c r="AH862">
        <v>1</v>
      </c>
      <c r="AI862" t="s">
        <v>72</v>
      </c>
      <c r="AJ862" s="3" t="s">
        <v>82</v>
      </c>
      <c r="AK862" s="3">
        <v>2</v>
      </c>
      <c r="AL862" s="3" t="s">
        <v>84</v>
      </c>
    </row>
    <row r="863" spans="1:38" x14ac:dyDescent="0.3">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v>17048</v>
      </c>
      <c r="S863">
        <v>24097</v>
      </c>
      <c r="T863">
        <v>8</v>
      </c>
      <c r="U863" t="s">
        <v>43</v>
      </c>
      <c r="V863">
        <v>23</v>
      </c>
      <c r="W863">
        <v>4</v>
      </c>
      <c r="X863">
        <v>1</v>
      </c>
      <c r="Y863">
        <v>0</v>
      </c>
      <c r="Z863">
        <v>28</v>
      </c>
      <c r="AA863">
        <v>2</v>
      </c>
      <c r="AB863">
        <v>3</v>
      </c>
      <c r="AC863">
        <v>26</v>
      </c>
      <c r="AD863">
        <v>15</v>
      </c>
      <c r="AE863">
        <v>15</v>
      </c>
      <c r="AF863">
        <v>9</v>
      </c>
      <c r="AG863" t="s">
        <v>65</v>
      </c>
      <c r="AH863">
        <v>0</v>
      </c>
      <c r="AI863" t="s">
        <v>72</v>
      </c>
      <c r="AJ863" s="3" t="s">
        <v>83</v>
      </c>
      <c r="AK863" s="3">
        <v>1</v>
      </c>
      <c r="AL863" s="3" t="s">
        <v>83</v>
      </c>
    </row>
    <row r="864" spans="1:38" x14ac:dyDescent="0.3">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v>2290</v>
      </c>
      <c r="S864">
        <v>4279</v>
      </c>
      <c r="T864">
        <v>2</v>
      </c>
      <c r="U864" t="s">
        <v>43</v>
      </c>
      <c r="V864">
        <v>13</v>
      </c>
      <c r="W864">
        <v>3</v>
      </c>
      <c r="X864">
        <v>4</v>
      </c>
      <c r="Y864">
        <v>0</v>
      </c>
      <c r="Z864">
        <v>6</v>
      </c>
      <c r="AA864">
        <v>3</v>
      </c>
      <c r="AB864">
        <v>3</v>
      </c>
      <c r="AC864">
        <v>0</v>
      </c>
      <c r="AD864">
        <v>0</v>
      </c>
      <c r="AE864">
        <v>0</v>
      </c>
      <c r="AF864">
        <v>0</v>
      </c>
      <c r="AG864" t="s">
        <v>66</v>
      </c>
      <c r="AH864">
        <v>0</v>
      </c>
      <c r="AI864" t="s">
        <v>70</v>
      </c>
      <c r="AJ864" s="3" t="s">
        <v>84</v>
      </c>
      <c r="AK864" s="3">
        <v>1</v>
      </c>
      <c r="AL864" s="3" t="s">
        <v>83</v>
      </c>
    </row>
    <row r="865" spans="1:38" x14ac:dyDescent="0.3">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v>3600</v>
      </c>
      <c r="S865">
        <v>8429</v>
      </c>
      <c r="T865">
        <v>1</v>
      </c>
      <c r="U865" t="s">
        <v>43</v>
      </c>
      <c r="V865">
        <v>13</v>
      </c>
      <c r="W865">
        <v>3</v>
      </c>
      <c r="X865">
        <v>4</v>
      </c>
      <c r="Y865">
        <v>1</v>
      </c>
      <c r="Z865">
        <v>5</v>
      </c>
      <c r="AA865">
        <v>2</v>
      </c>
      <c r="AB865">
        <v>3</v>
      </c>
      <c r="AC865">
        <v>5</v>
      </c>
      <c r="AD865">
        <v>4</v>
      </c>
      <c r="AE865">
        <v>1</v>
      </c>
      <c r="AF865">
        <v>4</v>
      </c>
      <c r="AG865" t="s">
        <v>68</v>
      </c>
      <c r="AH865">
        <v>0</v>
      </c>
      <c r="AI865" t="s">
        <v>70</v>
      </c>
      <c r="AJ865" s="3" t="s">
        <v>84</v>
      </c>
      <c r="AK865" s="3">
        <v>0</v>
      </c>
      <c r="AL865" s="3" t="s">
        <v>83</v>
      </c>
    </row>
    <row r="866" spans="1:38" x14ac:dyDescent="0.3">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v>2107</v>
      </c>
      <c r="S866">
        <v>20293</v>
      </c>
      <c r="T866">
        <v>6</v>
      </c>
      <c r="U866" t="s">
        <v>43</v>
      </c>
      <c r="V866">
        <v>17</v>
      </c>
      <c r="W866">
        <v>3</v>
      </c>
      <c r="X866">
        <v>1</v>
      </c>
      <c r="Y866">
        <v>1</v>
      </c>
      <c r="Z866">
        <v>5</v>
      </c>
      <c r="AA866">
        <v>2</v>
      </c>
      <c r="AB866">
        <v>1</v>
      </c>
      <c r="AC866">
        <v>1</v>
      </c>
      <c r="AD866">
        <v>0</v>
      </c>
      <c r="AE866">
        <v>0</v>
      </c>
      <c r="AF866">
        <v>0</v>
      </c>
      <c r="AG866" t="s">
        <v>67</v>
      </c>
      <c r="AH866">
        <v>1</v>
      </c>
      <c r="AI866" t="s">
        <v>71</v>
      </c>
      <c r="AJ866" s="3" t="s">
        <v>83</v>
      </c>
      <c r="AK866" s="3">
        <v>2</v>
      </c>
      <c r="AL866" s="3" t="s">
        <v>84</v>
      </c>
    </row>
    <row r="867" spans="1:38" x14ac:dyDescent="0.3">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v>4115</v>
      </c>
      <c r="S867">
        <v>13192</v>
      </c>
      <c r="T867">
        <v>8</v>
      </c>
      <c r="U867" t="s">
        <v>43</v>
      </c>
      <c r="V867">
        <v>19</v>
      </c>
      <c r="W867">
        <v>3</v>
      </c>
      <c r="X867">
        <v>3</v>
      </c>
      <c r="Y867">
        <v>3</v>
      </c>
      <c r="Z867">
        <v>8</v>
      </c>
      <c r="AA867">
        <v>3</v>
      </c>
      <c r="AB867">
        <v>3</v>
      </c>
      <c r="AC867">
        <v>4</v>
      </c>
      <c r="AD867">
        <v>3</v>
      </c>
      <c r="AE867">
        <v>0</v>
      </c>
      <c r="AF867">
        <v>3</v>
      </c>
      <c r="AG867" t="s">
        <v>68</v>
      </c>
      <c r="AH867">
        <v>0</v>
      </c>
      <c r="AI867" t="s">
        <v>70</v>
      </c>
      <c r="AJ867" s="3" t="s">
        <v>83</v>
      </c>
      <c r="AK867" s="3">
        <v>1</v>
      </c>
      <c r="AL867" s="3" t="s">
        <v>83</v>
      </c>
    </row>
    <row r="868" spans="1:38" x14ac:dyDescent="0.3">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v>4327</v>
      </c>
      <c r="S868">
        <v>25440</v>
      </c>
      <c r="T868">
        <v>5</v>
      </c>
      <c r="U868" t="s">
        <v>43</v>
      </c>
      <c r="V868">
        <v>12</v>
      </c>
      <c r="W868">
        <v>3</v>
      </c>
      <c r="X868">
        <v>4</v>
      </c>
      <c r="Y868">
        <v>3</v>
      </c>
      <c r="Z868">
        <v>5</v>
      </c>
      <c r="AA868">
        <v>2</v>
      </c>
      <c r="AB868">
        <v>3</v>
      </c>
      <c r="AC868">
        <v>0</v>
      </c>
      <c r="AD868">
        <v>0</v>
      </c>
      <c r="AE868">
        <v>0</v>
      </c>
      <c r="AF868">
        <v>0</v>
      </c>
      <c r="AG868" t="s">
        <v>66</v>
      </c>
      <c r="AH868">
        <v>0</v>
      </c>
      <c r="AI868" t="s">
        <v>71</v>
      </c>
      <c r="AJ868" s="3" t="s">
        <v>83</v>
      </c>
      <c r="AK868" s="3">
        <v>2</v>
      </c>
      <c r="AL868" s="3" t="s">
        <v>84</v>
      </c>
    </row>
    <row r="869" spans="1:38" x14ac:dyDescent="0.3">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v>17856</v>
      </c>
      <c r="S869">
        <v>9490</v>
      </c>
      <c r="T869">
        <v>2</v>
      </c>
      <c r="U869" t="s">
        <v>43</v>
      </c>
      <c r="V869">
        <v>22</v>
      </c>
      <c r="W869">
        <v>4</v>
      </c>
      <c r="X869">
        <v>3</v>
      </c>
      <c r="Y869">
        <v>1</v>
      </c>
      <c r="Z869">
        <v>32</v>
      </c>
      <c r="AA869">
        <v>3</v>
      </c>
      <c r="AB869">
        <v>3</v>
      </c>
      <c r="AC869">
        <v>2</v>
      </c>
      <c r="AD869">
        <v>2</v>
      </c>
      <c r="AE869">
        <v>2</v>
      </c>
      <c r="AF869">
        <v>2</v>
      </c>
      <c r="AG869" t="s">
        <v>67</v>
      </c>
      <c r="AH869">
        <v>0</v>
      </c>
      <c r="AI869" t="s">
        <v>70</v>
      </c>
      <c r="AJ869" s="3" t="s">
        <v>83</v>
      </c>
      <c r="AK869" s="3">
        <v>2</v>
      </c>
      <c r="AL869" s="3" t="s">
        <v>84</v>
      </c>
    </row>
    <row r="870" spans="1:38" x14ac:dyDescent="0.3">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v>3196</v>
      </c>
      <c r="S870">
        <v>12449</v>
      </c>
      <c r="T870">
        <v>1</v>
      </c>
      <c r="U870" t="s">
        <v>43</v>
      </c>
      <c r="V870">
        <v>12</v>
      </c>
      <c r="W870">
        <v>3</v>
      </c>
      <c r="X870">
        <v>3</v>
      </c>
      <c r="Y870">
        <v>3</v>
      </c>
      <c r="Z870">
        <v>6</v>
      </c>
      <c r="AA870">
        <v>2</v>
      </c>
      <c r="AB870">
        <v>3</v>
      </c>
      <c r="AC870">
        <v>6</v>
      </c>
      <c r="AD870">
        <v>5</v>
      </c>
      <c r="AE870">
        <v>3</v>
      </c>
      <c r="AF870">
        <v>3</v>
      </c>
      <c r="AG870" t="s">
        <v>65</v>
      </c>
      <c r="AH870">
        <v>0</v>
      </c>
      <c r="AI870" t="s">
        <v>69</v>
      </c>
      <c r="AJ870" s="3" t="s">
        <v>83</v>
      </c>
      <c r="AK870" s="3">
        <v>1</v>
      </c>
      <c r="AL870" s="3" t="s">
        <v>83</v>
      </c>
    </row>
    <row r="871" spans="1:38" x14ac:dyDescent="0.3">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v>19081</v>
      </c>
      <c r="S871">
        <v>10849</v>
      </c>
      <c r="T871">
        <v>5</v>
      </c>
      <c r="U871" t="s">
        <v>43</v>
      </c>
      <c r="V871">
        <v>11</v>
      </c>
      <c r="W871">
        <v>3</v>
      </c>
      <c r="X871">
        <v>1</v>
      </c>
      <c r="Y871">
        <v>1</v>
      </c>
      <c r="Z871">
        <v>25</v>
      </c>
      <c r="AA871">
        <v>2</v>
      </c>
      <c r="AB871">
        <v>3</v>
      </c>
      <c r="AC871">
        <v>4</v>
      </c>
      <c r="AD871">
        <v>2</v>
      </c>
      <c r="AE871">
        <v>0</v>
      </c>
      <c r="AF871">
        <v>3</v>
      </c>
      <c r="AG871" t="s">
        <v>68</v>
      </c>
      <c r="AH871">
        <v>0</v>
      </c>
      <c r="AI871" t="s">
        <v>72</v>
      </c>
      <c r="AJ871" s="3" t="s">
        <v>83</v>
      </c>
      <c r="AK871" s="3">
        <v>1</v>
      </c>
      <c r="AL871" s="3" t="s">
        <v>83</v>
      </c>
    </row>
    <row r="872" spans="1:38" x14ac:dyDescent="0.3">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v>8966</v>
      </c>
      <c r="S872">
        <v>21026</v>
      </c>
      <c r="T872">
        <v>3</v>
      </c>
      <c r="U872" t="s">
        <v>35</v>
      </c>
      <c r="V872">
        <v>15</v>
      </c>
      <c r="W872">
        <v>3</v>
      </c>
      <c r="X872">
        <v>4</v>
      </c>
      <c r="Y872">
        <v>3</v>
      </c>
      <c r="Z872">
        <v>15</v>
      </c>
      <c r="AA872">
        <v>2</v>
      </c>
      <c r="AB872">
        <v>3</v>
      </c>
      <c r="AC872">
        <v>7</v>
      </c>
      <c r="AD872">
        <v>7</v>
      </c>
      <c r="AE872">
        <v>1</v>
      </c>
      <c r="AF872">
        <v>7</v>
      </c>
      <c r="AG872" t="s">
        <v>65</v>
      </c>
      <c r="AH872">
        <v>0</v>
      </c>
      <c r="AI872" t="s">
        <v>70</v>
      </c>
      <c r="AJ872" s="3" t="s">
        <v>83</v>
      </c>
      <c r="AK872" s="3">
        <v>2</v>
      </c>
      <c r="AL872" s="3" t="s">
        <v>84</v>
      </c>
    </row>
    <row r="873" spans="1:38" x14ac:dyDescent="0.3">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v>2210</v>
      </c>
      <c r="S873">
        <v>3372</v>
      </c>
      <c r="T873">
        <v>1</v>
      </c>
      <c r="U873" t="s">
        <v>43</v>
      </c>
      <c r="V873">
        <v>13</v>
      </c>
      <c r="W873">
        <v>3</v>
      </c>
      <c r="X873">
        <v>1</v>
      </c>
      <c r="Y873">
        <v>1</v>
      </c>
      <c r="Z873">
        <v>1</v>
      </c>
      <c r="AA873">
        <v>3</v>
      </c>
      <c r="AB873">
        <v>1</v>
      </c>
      <c r="AC873">
        <v>1</v>
      </c>
      <c r="AD873">
        <v>0</v>
      </c>
      <c r="AE873">
        <v>0</v>
      </c>
      <c r="AF873">
        <v>0</v>
      </c>
      <c r="AG873" t="s">
        <v>67</v>
      </c>
      <c r="AH873">
        <v>1</v>
      </c>
      <c r="AI873" t="s">
        <v>71</v>
      </c>
      <c r="AJ873" s="3" t="s">
        <v>83</v>
      </c>
      <c r="AK873" s="3">
        <v>2</v>
      </c>
      <c r="AL873" s="3" t="s">
        <v>84</v>
      </c>
    </row>
    <row r="874" spans="1:38" x14ac:dyDescent="0.3">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v>4539</v>
      </c>
      <c r="S874">
        <v>4905</v>
      </c>
      <c r="T874">
        <v>1</v>
      </c>
      <c r="U874" t="s">
        <v>43</v>
      </c>
      <c r="V874">
        <v>12</v>
      </c>
      <c r="W874">
        <v>3</v>
      </c>
      <c r="X874">
        <v>1</v>
      </c>
      <c r="Y874">
        <v>1</v>
      </c>
      <c r="Z874">
        <v>10</v>
      </c>
      <c r="AA874">
        <v>3</v>
      </c>
      <c r="AB874">
        <v>2</v>
      </c>
      <c r="AC874">
        <v>10</v>
      </c>
      <c r="AD874">
        <v>7</v>
      </c>
      <c r="AE874">
        <v>0</v>
      </c>
      <c r="AF874">
        <v>1</v>
      </c>
      <c r="AG874" t="s">
        <v>65</v>
      </c>
      <c r="AH874">
        <v>0</v>
      </c>
      <c r="AI874" t="s">
        <v>72</v>
      </c>
      <c r="AJ874" s="3" t="s">
        <v>84</v>
      </c>
      <c r="AK874" s="3">
        <v>0</v>
      </c>
      <c r="AL874" s="3" t="s">
        <v>83</v>
      </c>
    </row>
    <row r="875" spans="1:38" x14ac:dyDescent="0.3">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v>2741</v>
      </c>
      <c r="S875">
        <v>6865</v>
      </c>
      <c r="T875">
        <v>1</v>
      </c>
      <c r="U875" t="s">
        <v>43</v>
      </c>
      <c r="V875">
        <v>14</v>
      </c>
      <c r="W875">
        <v>3</v>
      </c>
      <c r="X875">
        <v>3</v>
      </c>
      <c r="Y875">
        <v>1</v>
      </c>
      <c r="Z875">
        <v>7</v>
      </c>
      <c r="AA875">
        <v>4</v>
      </c>
      <c r="AB875">
        <v>3</v>
      </c>
      <c r="AC875">
        <v>7</v>
      </c>
      <c r="AD875">
        <v>7</v>
      </c>
      <c r="AE875">
        <v>1</v>
      </c>
      <c r="AF875">
        <v>7</v>
      </c>
      <c r="AG875" t="s">
        <v>65</v>
      </c>
      <c r="AH875">
        <v>0</v>
      </c>
      <c r="AI875" t="s">
        <v>71</v>
      </c>
      <c r="AJ875" s="3" t="s">
        <v>84</v>
      </c>
      <c r="AK875" s="3">
        <v>0</v>
      </c>
      <c r="AL875" s="3" t="s">
        <v>83</v>
      </c>
    </row>
    <row r="876" spans="1:38" x14ac:dyDescent="0.3">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v>3491</v>
      </c>
      <c r="S876">
        <v>11309</v>
      </c>
      <c r="T876">
        <v>1</v>
      </c>
      <c r="U876" t="s">
        <v>43</v>
      </c>
      <c r="V876">
        <v>13</v>
      </c>
      <c r="W876">
        <v>3</v>
      </c>
      <c r="X876">
        <v>1</v>
      </c>
      <c r="Y876">
        <v>3</v>
      </c>
      <c r="Z876">
        <v>10</v>
      </c>
      <c r="AA876">
        <v>4</v>
      </c>
      <c r="AB876">
        <v>2</v>
      </c>
      <c r="AC876">
        <v>10</v>
      </c>
      <c r="AD876">
        <v>7</v>
      </c>
      <c r="AE876">
        <v>8</v>
      </c>
      <c r="AF876">
        <v>9</v>
      </c>
      <c r="AG876" t="s">
        <v>65</v>
      </c>
      <c r="AH876">
        <v>0</v>
      </c>
      <c r="AI876" t="s">
        <v>71</v>
      </c>
      <c r="AJ876" s="3" t="s">
        <v>84</v>
      </c>
      <c r="AK876" s="3">
        <v>0</v>
      </c>
      <c r="AL876" s="3" t="s">
        <v>83</v>
      </c>
    </row>
    <row r="877" spans="1:38" x14ac:dyDescent="0.3">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v>4541</v>
      </c>
      <c r="S877">
        <v>7744</v>
      </c>
      <c r="T877">
        <v>1</v>
      </c>
      <c r="U877" t="s">
        <v>43</v>
      </c>
      <c r="V877">
        <v>25</v>
      </c>
      <c r="W877">
        <v>4</v>
      </c>
      <c r="X877">
        <v>2</v>
      </c>
      <c r="Y877">
        <v>0</v>
      </c>
      <c r="Z877">
        <v>20</v>
      </c>
      <c r="AA877">
        <v>3</v>
      </c>
      <c r="AB877">
        <v>3</v>
      </c>
      <c r="AC877">
        <v>20</v>
      </c>
      <c r="AD877">
        <v>11</v>
      </c>
      <c r="AE877">
        <v>13</v>
      </c>
      <c r="AF877">
        <v>17</v>
      </c>
      <c r="AG877" t="s">
        <v>65</v>
      </c>
      <c r="AH877">
        <v>0</v>
      </c>
      <c r="AI877" t="s">
        <v>71</v>
      </c>
      <c r="AJ877" s="3" t="s">
        <v>82</v>
      </c>
      <c r="AK877" s="3">
        <v>0</v>
      </c>
      <c r="AL877" s="3" t="s">
        <v>83</v>
      </c>
    </row>
    <row r="878" spans="1:38" x14ac:dyDescent="0.3">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v>2678</v>
      </c>
      <c r="S878">
        <v>5050</v>
      </c>
      <c r="T878">
        <v>1</v>
      </c>
      <c r="U878" t="s">
        <v>43</v>
      </c>
      <c r="V878">
        <v>17</v>
      </c>
      <c r="W878">
        <v>3</v>
      </c>
      <c r="X878">
        <v>4</v>
      </c>
      <c r="Y878">
        <v>0</v>
      </c>
      <c r="Z878">
        <v>2</v>
      </c>
      <c r="AA878">
        <v>2</v>
      </c>
      <c r="AB878">
        <v>3</v>
      </c>
      <c r="AC878">
        <v>2</v>
      </c>
      <c r="AD878">
        <v>1</v>
      </c>
      <c r="AE878">
        <v>2</v>
      </c>
      <c r="AF878">
        <v>2</v>
      </c>
      <c r="AG878" t="s">
        <v>67</v>
      </c>
      <c r="AH878">
        <v>0</v>
      </c>
      <c r="AI878" t="s">
        <v>70</v>
      </c>
      <c r="AJ878" s="3" t="s">
        <v>82</v>
      </c>
      <c r="AK878" s="3">
        <v>1</v>
      </c>
      <c r="AL878" s="3" t="s">
        <v>83</v>
      </c>
    </row>
    <row r="879" spans="1:38" x14ac:dyDescent="0.3">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v>7379</v>
      </c>
      <c r="S879">
        <v>17433</v>
      </c>
      <c r="T879">
        <v>2</v>
      </c>
      <c r="U879" t="s">
        <v>43</v>
      </c>
      <c r="V879">
        <v>11</v>
      </c>
      <c r="W879">
        <v>3</v>
      </c>
      <c r="X879">
        <v>3</v>
      </c>
      <c r="Y879">
        <v>1</v>
      </c>
      <c r="Z879">
        <v>12</v>
      </c>
      <c r="AA879">
        <v>3</v>
      </c>
      <c r="AB879">
        <v>2</v>
      </c>
      <c r="AC879">
        <v>6</v>
      </c>
      <c r="AD879">
        <v>3</v>
      </c>
      <c r="AE879">
        <v>1</v>
      </c>
      <c r="AF879">
        <v>4</v>
      </c>
      <c r="AG879" t="s">
        <v>65</v>
      </c>
      <c r="AH879">
        <v>0</v>
      </c>
      <c r="AI879" t="s">
        <v>72</v>
      </c>
      <c r="AJ879" s="3" t="s">
        <v>82</v>
      </c>
      <c r="AK879" s="3">
        <v>0</v>
      </c>
      <c r="AL879" s="3" t="s">
        <v>83</v>
      </c>
    </row>
    <row r="880" spans="1:38" x14ac:dyDescent="0.3">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v>6272</v>
      </c>
      <c r="S880">
        <v>12858</v>
      </c>
      <c r="T880">
        <v>7</v>
      </c>
      <c r="U880" t="s">
        <v>43</v>
      </c>
      <c r="V880">
        <v>16</v>
      </c>
      <c r="W880">
        <v>3</v>
      </c>
      <c r="X880">
        <v>1</v>
      </c>
      <c r="Y880">
        <v>1</v>
      </c>
      <c r="Z880">
        <v>10</v>
      </c>
      <c r="AA880">
        <v>3</v>
      </c>
      <c r="AB880">
        <v>4</v>
      </c>
      <c r="AC880">
        <v>4</v>
      </c>
      <c r="AD880">
        <v>3</v>
      </c>
      <c r="AE880">
        <v>0</v>
      </c>
      <c r="AF880">
        <v>3</v>
      </c>
      <c r="AG880" t="s">
        <v>68</v>
      </c>
      <c r="AH880">
        <v>0</v>
      </c>
      <c r="AI880" t="s">
        <v>70</v>
      </c>
      <c r="AJ880" s="3" t="s">
        <v>83</v>
      </c>
      <c r="AK880" s="3">
        <v>1</v>
      </c>
      <c r="AL880" s="3" t="s">
        <v>83</v>
      </c>
    </row>
    <row r="881" spans="1:38" x14ac:dyDescent="0.3">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v>5220</v>
      </c>
      <c r="S881">
        <v>10893</v>
      </c>
      <c r="T881">
        <v>0</v>
      </c>
      <c r="U881" t="s">
        <v>35</v>
      </c>
      <c r="V881">
        <v>18</v>
      </c>
      <c r="W881">
        <v>3</v>
      </c>
      <c r="X881">
        <v>2</v>
      </c>
      <c r="Y881">
        <v>1</v>
      </c>
      <c r="Z881">
        <v>12</v>
      </c>
      <c r="AA881">
        <v>3</v>
      </c>
      <c r="AB881">
        <v>3</v>
      </c>
      <c r="AC881">
        <v>11</v>
      </c>
      <c r="AD881">
        <v>7</v>
      </c>
      <c r="AE881">
        <v>1</v>
      </c>
      <c r="AF881">
        <v>9</v>
      </c>
      <c r="AG881" t="s">
        <v>65</v>
      </c>
      <c r="AH881">
        <v>0</v>
      </c>
      <c r="AI881" t="s">
        <v>70</v>
      </c>
      <c r="AJ881" s="3" t="s">
        <v>82</v>
      </c>
      <c r="AK881" s="3">
        <v>1</v>
      </c>
      <c r="AL881" s="3" t="s">
        <v>83</v>
      </c>
    </row>
    <row r="882" spans="1:38" x14ac:dyDescent="0.3">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v>2743</v>
      </c>
      <c r="S882">
        <v>7331</v>
      </c>
      <c r="T882">
        <v>1</v>
      </c>
      <c r="U882" t="s">
        <v>43</v>
      </c>
      <c r="V882">
        <v>20</v>
      </c>
      <c r="W882">
        <v>4</v>
      </c>
      <c r="X882">
        <v>3</v>
      </c>
      <c r="Y882">
        <v>1</v>
      </c>
      <c r="Z882">
        <v>2</v>
      </c>
      <c r="AA882">
        <v>2</v>
      </c>
      <c r="AB882">
        <v>3</v>
      </c>
      <c r="AC882">
        <v>2</v>
      </c>
      <c r="AD882">
        <v>2</v>
      </c>
      <c r="AE882">
        <v>2</v>
      </c>
      <c r="AF882">
        <v>2</v>
      </c>
      <c r="AG882" t="s">
        <v>67</v>
      </c>
      <c r="AH882">
        <v>0</v>
      </c>
      <c r="AI882" t="s">
        <v>69</v>
      </c>
      <c r="AJ882" s="3" t="s">
        <v>83</v>
      </c>
      <c r="AK882" s="3">
        <v>2</v>
      </c>
      <c r="AL882" s="3" t="s">
        <v>84</v>
      </c>
    </row>
    <row r="883" spans="1:38" x14ac:dyDescent="0.3">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v>4998</v>
      </c>
      <c r="S883">
        <v>2338</v>
      </c>
      <c r="T883">
        <v>4</v>
      </c>
      <c r="U883" t="s">
        <v>35</v>
      </c>
      <c r="V883">
        <v>14</v>
      </c>
      <c r="W883">
        <v>3</v>
      </c>
      <c r="X883">
        <v>4</v>
      </c>
      <c r="Y883">
        <v>0</v>
      </c>
      <c r="Z883">
        <v>10</v>
      </c>
      <c r="AA883">
        <v>2</v>
      </c>
      <c r="AB883">
        <v>3</v>
      </c>
      <c r="AC883">
        <v>8</v>
      </c>
      <c r="AD883">
        <v>7</v>
      </c>
      <c r="AE883">
        <v>0</v>
      </c>
      <c r="AF883">
        <v>7</v>
      </c>
      <c r="AG883" t="s">
        <v>65</v>
      </c>
      <c r="AH883">
        <v>0</v>
      </c>
      <c r="AI883" t="s">
        <v>71</v>
      </c>
      <c r="AJ883" s="3" t="s">
        <v>84</v>
      </c>
      <c r="AK883" s="3">
        <v>1</v>
      </c>
      <c r="AL883" s="3" t="s">
        <v>83</v>
      </c>
    </row>
    <row r="884" spans="1:38" x14ac:dyDescent="0.3">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v>10252</v>
      </c>
      <c r="S884">
        <v>4235</v>
      </c>
      <c r="T884">
        <v>2</v>
      </c>
      <c r="U884" t="s">
        <v>35</v>
      </c>
      <c r="V884">
        <v>21</v>
      </c>
      <c r="W884">
        <v>4</v>
      </c>
      <c r="X884">
        <v>3</v>
      </c>
      <c r="Y884">
        <v>1</v>
      </c>
      <c r="Z884">
        <v>17</v>
      </c>
      <c r="AA884">
        <v>2</v>
      </c>
      <c r="AB884">
        <v>3</v>
      </c>
      <c r="AC884">
        <v>7</v>
      </c>
      <c r="AD884">
        <v>7</v>
      </c>
      <c r="AE884">
        <v>7</v>
      </c>
      <c r="AF884">
        <v>7</v>
      </c>
      <c r="AG884" t="s">
        <v>65</v>
      </c>
      <c r="AH884">
        <v>0</v>
      </c>
      <c r="AI884" t="s">
        <v>71</v>
      </c>
      <c r="AJ884" s="3" t="s">
        <v>83</v>
      </c>
      <c r="AK884" s="3">
        <v>2</v>
      </c>
      <c r="AL884" s="3" t="s">
        <v>84</v>
      </c>
    </row>
    <row r="885" spans="1:38" x14ac:dyDescent="0.3">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v>2781</v>
      </c>
      <c r="S885">
        <v>6311</v>
      </c>
      <c r="T885">
        <v>0</v>
      </c>
      <c r="U885" t="s">
        <v>43</v>
      </c>
      <c r="V885">
        <v>13</v>
      </c>
      <c r="W885">
        <v>3</v>
      </c>
      <c r="X885">
        <v>2</v>
      </c>
      <c r="Y885">
        <v>1</v>
      </c>
      <c r="Z885">
        <v>15</v>
      </c>
      <c r="AA885">
        <v>5</v>
      </c>
      <c r="AB885">
        <v>3</v>
      </c>
      <c r="AC885">
        <v>14</v>
      </c>
      <c r="AD885">
        <v>10</v>
      </c>
      <c r="AE885">
        <v>4</v>
      </c>
      <c r="AF885">
        <v>10</v>
      </c>
      <c r="AG885" t="s">
        <v>65</v>
      </c>
      <c r="AH885">
        <v>0</v>
      </c>
      <c r="AI885" t="s">
        <v>71</v>
      </c>
      <c r="AJ885" s="3" t="s">
        <v>82</v>
      </c>
      <c r="AK885" s="3">
        <v>0</v>
      </c>
      <c r="AL885" s="3" t="s">
        <v>83</v>
      </c>
    </row>
    <row r="886" spans="1:38" x14ac:dyDescent="0.3">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v>6852</v>
      </c>
      <c r="S886">
        <v>11591</v>
      </c>
      <c r="T886">
        <v>7</v>
      </c>
      <c r="U886" t="s">
        <v>43</v>
      </c>
      <c r="V886">
        <v>12</v>
      </c>
      <c r="W886">
        <v>3</v>
      </c>
      <c r="X886">
        <v>2</v>
      </c>
      <c r="Y886">
        <v>1</v>
      </c>
      <c r="Z886">
        <v>7</v>
      </c>
      <c r="AA886">
        <v>2</v>
      </c>
      <c r="AB886">
        <v>4</v>
      </c>
      <c r="AC886">
        <v>5</v>
      </c>
      <c r="AD886">
        <v>1</v>
      </c>
      <c r="AE886">
        <v>1</v>
      </c>
      <c r="AF886">
        <v>3</v>
      </c>
      <c r="AG886" t="s">
        <v>68</v>
      </c>
      <c r="AH886">
        <v>0</v>
      </c>
      <c r="AI886" t="s">
        <v>71</v>
      </c>
      <c r="AJ886" s="3" t="s">
        <v>83</v>
      </c>
      <c r="AK886" s="3">
        <v>1</v>
      </c>
      <c r="AL886" s="3" t="s">
        <v>83</v>
      </c>
    </row>
    <row r="887" spans="1:38" x14ac:dyDescent="0.3">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v>4950</v>
      </c>
      <c r="S887">
        <v>20623</v>
      </c>
      <c r="T887">
        <v>0</v>
      </c>
      <c r="U887" t="s">
        <v>43</v>
      </c>
      <c r="V887">
        <v>14</v>
      </c>
      <c r="W887">
        <v>3</v>
      </c>
      <c r="X887">
        <v>2</v>
      </c>
      <c r="Y887">
        <v>0</v>
      </c>
      <c r="Z887">
        <v>5</v>
      </c>
      <c r="AA887">
        <v>4</v>
      </c>
      <c r="AB887">
        <v>3</v>
      </c>
      <c r="AC887">
        <v>4</v>
      </c>
      <c r="AD887">
        <v>3</v>
      </c>
      <c r="AE887">
        <v>1</v>
      </c>
      <c r="AF887">
        <v>1</v>
      </c>
      <c r="AG887" t="s">
        <v>68</v>
      </c>
      <c r="AH887">
        <v>0</v>
      </c>
      <c r="AI887" t="s">
        <v>70</v>
      </c>
      <c r="AJ887" s="3" t="s">
        <v>82</v>
      </c>
      <c r="AK887" s="3">
        <v>0</v>
      </c>
      <c r="AL887" s="3" t="s">
        <v>83</v>
      </c>
    </row>
    <row r="888" spans="1:38" x14ac:dyDescent="0.3">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v>3579</v>
      </c>
      <c r="S888">
        <v>9369</v>
      </c>
      <c r="T888">
        <v>0</v>
      </c>
      <c r="U888" t="s">
        <v>35</v>
      </c>
      <c r="V888">
        <v>21</v>
      </c>
      <c r="W888">
        <v>4</v>
      </c>
      <c r="X888">
        <v>1</v>
      </c>
      <c r="Y888">
        <v>1</v>
      </c>
      <c r="Z888">
        <v>12</v>
      </c>
      <c r="AA888">
        <v>2</v>
      </c>
      <c r="AB888">
        <v>3</v>
      </c>
      <c r="AC888">
        <v>11</v>
      </c>
      <c r="AD888">
        <v>9</v>
      </c>
      <c r="AE888">
        <v>5</v>
      </c>
      <c r="AF888">
        <v>7</v>
      </c>
      <c r="AG888" t="s">
        <v>65</v>
      </c>
      <c r="AH888">
        <v>0</v>
      </c>
      <c r="AI888" t="s">
        <v>72</v>
      </c>
      <c r="AJ888" s="3" t="s">
        <v>83</v>
      </c>
      <c r="AK888" s="3">
        <v>2</v>
      </c>
      <c r="AL888" s="3" t="s">
        <v>84</v>
      </c>
    </row>
    <row r="889" spans="1:38" x14ac:dyDescent="0.3">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v>13191</v>
      </c>
      <c r="S889">
        <v>23281</v>
      </c>
      <c r="T889">
        <v>3</v>
      </c>
      <c r="U889" t="s">
        <v>35</v>
      </c>
      <c r="V889">
        <v>17</v>
      </c>
      <c r="W889">
        <v>3</v>
      </c>
      <c r="X889">
        <v>3</v>
      </c>
      <c r="Y889">
        <v>0</v>
      </c>
      <c r="Z889">
        <v>20</v>
      </c>
      <c r="AA889">
        <v>6</v>
      </c>
      <c r="AB889">
        <v>3</v>
      </c>
      <c r="AC889">
        <v>1</v>
      </c>
      <c r="AD889">
        <v>0</v>
      </c>
      <c r="AE889">
        <v>0</v>
      </c>
      <c r="AF889">
        <v>0</v>
      </c>
      <c r="AG889" t="s">
        <v>67</v>
      </c>
      <c r="AH889">
        <v>0</v>
      </c>
      <c r="AI889" t="s">
        <v>71</v>
      </c>
      <c r="AJ889" s="3" t="s">
        <v>83</v>
      </c>
      <c r="AK889" s="3">
        <v>3</v>
      </c>
      <c r="AL889" s="3" t="s">
        <v>82</v>
      </c>
    </row>
    <row r="890" spans="1:38" x14ac:dyDescent="0.3">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v>10377</v>
      </c>
      <c r="S890">
        <v>13755</v>
      </c>
      <c r="T890">
        <v>4</v>
      </c>
      <c r="U890" t="s">
        <v>35</v>
      </c>
      <c r="V890">
        <v>11</v>
      </c>
      <c r="W890">
        <v>3</v>
      </c>
      <c r="X890">
        <v>2</v>
      </c>
      <c r="Y890">
        <v>1</v>
      </c>
      <c r="Z890">
        <v>16</v>
      </c>
      <c r="AA890">
        <v>6</v>
      </c>
      <c r="AB890">
        <v>2</v>
      </c>
      <c r="AC890">
        <v>13</v>
      </c>
      <c r="AD890">
        <v>2</v>
      </c>
      <c r="AE890">
        <v>4</v>
      </c>
      <c r="AF890">
        <v>12</v>
      </c>
      <c r="AG890" t="s">
        <v>65</v>
      </c>
      <c r="AH890">
        <v>0</v>
      </c>
      <c r="AI890" t="s">
        <v>70</v>
      </c>
      <c r="AJ890" s="3" t="s">
        <v>82</v>
      </c>
      <c r="AK890" s="3">
        <v>1</v>
      </c>
      <c r="AL890" s="3" t="s">
        <v>83</v>
      </c>
    </row>
    <row r="891" spans="1:38" x14ac:dyDescent="0.3">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v>2235</v>
      </c>
      <c r="S891">
        <v>14377</v>
      </c>
      <c r="T891">
        <v>1</v>
      </c>
      <c r="U891" t="s">
        <v>35</v>
      </c>
      <c r="V891">
        <v>14</v>
      </c>
      <c r="W891">
        <v>3</v>
      </c>
      <c r="X891">
        <v>4</v>
      </c>
      <c r="Y891">
        <v>2</v>
      </c>
      <c r="Z891">
        <v>9</v>
      </c>
      <c r="AA891">
        <v>3</v>
      </c>
      <c r="AB891">
        <v>2</v>
      </c>
      <c r="AC891">
        <v>9</v>
      </c>
      <c r="AD891">
        <v>7</v>
      </c>
      <c r="AE891">
        <v>6</v>
      </c>
      <c r="AF891">
        <v>8</v>
      </c>
      <c r="AG891" t="s">
        <v>65</v>
      </c>
      <c r="AH891">
        <v>0</v>
      </c>
      <c r="AI891" t="s">
        <v>71</v>
      </c>
      <c r="AJ891" s="3" t="s">
        <v>83</v>
      </c>
      <c r="AK891" s="3">
        <v>2</v>
      </c>
      <c r="AL891" s="3" t="s">
        <v>84</v>
      </c>
    </row>
    <row r="892" spans="1:38" x14ac:dyDescent="0.3">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v>10502</v>
      </c>
      <c r="S892">
        <v>9659</v>
      </c>
      <c r="T892">
        <v>7</v>
      </c>
      <c r="U892" t="s">
        <v>43</v>
      </c>
      <c r="V892">
        <v>17</v>
      </c>
      <c r="W892">
        <v>3</v>
      </c>
      <c r="X892">
        <v>1</v>
      </c>
      <c r="Y892">
        <v>1</v>
      </c>
      <c r="Z892">
        <v>33</v>
      </c>
      <c r="AA892">
        <v>2</v>
      </c>
      <c r="AB892">
        <v>1</v>
      </c>
      <c r="AC892">
        <v>5</v>
      </c>
      <c r="AD892">
        <v>4</v>
      </c>
      <c r="AE892">
        <v>1</v>
      </c>
      <c r="AF892">
        <v>4</v>
      </c>
      <c r="AG892" t="s">
        <v>68</v>
      </c>
      <c r="AH892">
        <v>0</v>
      </c>
      <c r="AI892" t="s">
        <v>72</v>
      </c>
      <c r="AJ892" s="3" t="s">
        <v>84</v>
      </c>
      <c r="AK892" s="3">
        <v>0</v>
      </c>
      <c r="AL892" s="3" t="s">
        <v>83</v>
      </c>
    </row>
    <row r="893" spans="1:38" x14ac:dyDescent="0.3">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v>2011</v>
      </c>
      <c r="S893">
        <v>19982</v>
      </c>
      <c r="T893">
        <v>1</v>
      </c>
      <c r="U893" t="s">
        <v>43</v>
      </c>
      <c r="V893">
        <v>13</v>
      </c>
      <c r="W893">
        <v>3</v>
      </c>
      <c r="X893">
        <v>4</v>
      </c>
      <c r="Y893">
        <v>1</v>
      </c>
      <c r="Z893">
        <v>10</v>
      </c>
      <c r="AA893">
        <v>5</v>
      </c>
      <c r="AB893">
        <v>3</v>
      </c>
      <c r="AC893">
        <v>10</v>
      </c>
      <c r="AD893">
        <v>5</v>
      </c>
      <c r="AE893">
        <v>7</v>
      </c>
      <c r="AF893">
        <v>7</v>
      </c>
      <c r="AG893" t="s">
        <v>65</v>
      </c>
      <c r="AH893">
        <v>0</v>
      </c>
      <c r="AI893" t="s">
        <v>69</v>
      </c>
      <c r="AJ893" s="3" t="s">
        <v>82</v>
      </c>
      <c r="AK893" s="3">
        <v>0</v>
      </c>
      <c r="AL893" s="3" t="s">
        <v>83</v>
      </c>
    </row>
    <row r="894" spans="1:38" x14ac:dyDescent="0.3">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v>1859</v>
      </c>
      <c r="S894">
        <v>6148</v>
      </c>
      <c r="T894">
        <v>1</v>
      </c>
      <c r="U894" t="s">
        <v>35</v>
      </c>
      <c r="V894">
        <v>25</v>
      </c>
      <c r="W894">
        <v>4</v>
      </c>
      <c r="X894">
        <v>2</v>
      </c>
      <c r="Y894">
        <v>0</v>
      </c>
      <c r="Z894">
        <v>1</v>
      </c>
      <c r="AA894">
        <v>2</v>
      </c>
      <c r="AB894">
        <v>4</v>
      </c>
      <c r="AC894">
        <v>1</v>
      </c>
      <c r="AD894">
        <v>1</v>
      </c>
      <c r="AE894">
        <v>0</v>
      </c>
      <c r="AF894">
        <v>0</v>
      </c>
      <c r="AG894" t="s">
        <v>67</v>
      </c>
      <c r="AH894">
        <v>1</v>
      </c>
      <c r="AI894" t="s">
        <v>70</v>
      </c>
      <c r="AJ894" s="3" t="s">
        <v>83</v>
      </c>
      <c r="AK894" s="3">
        <v>3</v>
      </c>
      <c r="AL894" s="3" t="s">
        <v>82</v>
      </c>
    </row>
    <row r="895" spans="1:38" x14ac:dyDescent="0.3">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v>3760</v>
      </c>
      <c r="S895">
        <v>5598</v>
      </c>
      <c r="T895">
        <v>1</v>
      </c>
      <c r="U895" t="s">
        <v>43</v>
      </c>
      <c r="V895">
        <v>15</v>
      </c>
      <c r="W895">
        <v>3</v>
      </c>
      <c r="X895">
        <v>1</v>
      </c>
      <c r="Y895">
        <v>3</v>
      </c>
      <c r="Z895">
        <v>3</v>
      </c>
      <c r="AA895">
        <v>5</v>
      </c>
      <c r="AB895">
        <v>3</v>
      </c>
      <c r="AC895">
        <v>3</v>
      </c>
      <c r="AD895">
        <v>2</v>
      </c>
      <c r="AE895">
        <v>1</v>
      </c>
      <c r="AF895">
        <v>2</v>
      </c>
      <c r="AG895" t="s">
        <v>67</v>
      </c>
      <c r="AH895">
        <v>0</v>
      </c>
      <c r="AI895" t="s">
        <v>72</v>
      </c>
      <c r="AJ895" s="3" t="s">
        <v>82</v>
      </c>
      <c r="AK895" s="3">
        <v>1</v>
      </c>
      <c r="AL895" s="3" t="s">
        <v>83</v>
      </c>
    </row>
    <row r="896" spans="1:38" x14ac:dyDescent="0.3">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v>17779</v>
      </c>
      <c r="S896">
        <v>23474</v>
      </c>
      <c r="T896">
        <v>3</v>
      </c>
      <c r="U896" t="s">
        <v>43</v>
      </c>
      <c r="V896">
        <v>14</v>
      </c>
      <c r="W896">
        <v>3</v>
      </c>
      <c r="X896">
        <v>1</v>
      </c>
      <c r="Y896">
        <v>0</v>
      </c>
      <c r="Z896">
        <v>36</v>
      </c>
      <c r="AA896">
        <v>2</v>
      </c>
      <c r="AB896">
        <v>3</v>
      </c>
      <c r="AC896">
        <v>10</v>
      </c>
      <c r="AD896">
        <v>9</v>
      </c>
      <c r="AE896">
        <v>0</v>
      </c>
      <c r="AF896">
        <v>9</v>
      </c>
      <c r="AG896" t="s">
        <v>65</v>
      </c>
      <c r="AH896">
        <v>0</v>
      </c>
      <c r="AI896" t="s">
        <v>72</v>
      </c>
      <c r="AJ896" s="3" t="s">
        <v>82</v>
      </c>
      <c r="AK896" s="3">
        <v>0</v>
      </c>
      <c r="AL896" s="3" t="s">
        <v>83</v>
      </c>
    </row>
    <row r="897" spans="1:38" x14ac:dyDescent="0.3">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v>6833</v>
      </c>
      <c r="S897">
        <v>17089</v>
      </c>
      <c r="T897">
        <v>1</v>
      </c>
      <c r="U897" t="s">
        <v>35</v>
      </c>
      <c r="V897">
        <v>12</v>
      </c>
      <c r="W897">
        <v>3</v>
      </c>
      <c r="X897">
        <v>4</v>
      </c>
      <c r="Y897">
        <v>0</v>
      </c>
      <c r="Z897">
        <v>6</v>
      </c>
      <c r="AA897">
        <v>2</v>
      </c>
      <c r="AB897">
        <v>2</v>
      </c>
      <c r="AC897">
        <v>6</v>
      </c>
      <c r="AD897">
        <v>5</v>
      </c>
      <c r="AE897">
        <v>0</v>
      </c>
      <c r="AF897">
        <v>1</v>
      </c>
      <c r="AG897" t="s">
        <v>65</v>
      </c>
      <c r="AH897">
        <v>0</v>
      </c>
      <c r="AI897" t="s">
        <v>69</v>
      </c>
      <c r="AJ897" s="3" t="s">
        <v>83</v>
      </c>
      <c r="AK897" s="3">
        <v>2</v>
      </c>
      <c r="AL897" s="3" t="s">
        <v>84</v>
      </c>
    </row>
    <row r="898" spans="1:38" x14ac:dyDescent="0.3">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v>6812</v>
      </c>
      <c r="S898">
        <v>17198</v>
      </c>
      <c r="T898">
        <v>1</v>
      </c>
      <c r="U898" t="s">
        <v>43</v>
      </c>
      <c r="V898">
        <v>19</v>
      </c>
      <c r="W898">
        <v>3</v>
      </c>
      <c r="X898">
        <v>2</v>
      </c>
      <c r="Y898">
        <v>0</v>
      </c>
      <c r="Z898">
        <v>10</v>
      </c>
      <c r="AA898">
        <v>2</v>
      </c>
      <c r="AB898">
        <v>3</v>
      </c>
      <c r="AC898">
        <v>10</v>
      </c>
      <c r="AD898">
        <v>9</v>
      </c>
      <c r="AE898">
        <v>1</v>
      </c>
      <c r="AF898">
        <v>8</v>
      </c>
      <c r="AG898" t="s">
        <v>65</v>
      </c>
      <c r="AH898">
        <v>0</v>
      </c>
      <c r="AI898" t="s">
        <v>71</v>
      </c>
      <c r="AJ898" s="3" t="s">
        <v>83</v>
      </c>
      <c r="AK898" s="3">
        <v>1</v>
      </c>
      <c r="AL898" s="3" t="s">
        <v>83</v>
      </c>
    </row>
    <row r="899" spans="1:38" x14ac:dyDescent="0.3">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v>5171</v>
      </c>
      <c r="S899">
        <v>16490</v>
      </c>
      <c r="T899">
        <v>5</v>
      </c>
      <c r="U899" t="s">
        <v>43</v>
      </c>
      <c r="V899">
        <v>17</v>
      </c>
      <c r="W899">
        <v>3</v>
      </c>
      <c r="X899">
        <v>4</v>
      </c>
      <c r="Y899">
        <v>0</v>
      </c>
      <c r="Z899">
        <v>13</v>
      </c>
      <c r="AA899">
        <v>2</v>
      </c>
      <c r="AB899">
        <v>3</v>
      </c>
      <c r="AC899">
        <v>6</v>
      </c>
      <c r="AD899">
        <v>1</v>
      </c>
      <c r="AE899">
        <v>0</v>
      </c>
      <c r="AF899">
        <v>5</v>
      </c>
      <c r="AG899" t="s">
        <v>65</v>
      </c>
      <c r="AH899">
        <v>0</v>
      </c>
      <c r="AI899" t="s">
        <v>71</v>
      </c>
      <c r="AJ899" s="3" t="s">
        <v>82</v>
      </c>
      <c r="AK899" s="3">
        <v>0</v>
      </c>
      <c r="AL899" s="3" t="s">
        <v>83</v>
      </c>
    </row>
    <row r="900" spans="1:38" x14ac:dyDescent="0.3">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v>19740</v>
      </c>
      <c r="S900">
        <v>18625</v>
      </c>
      <c r="T900">
        <v>3</v>
      </c>
      <c r="U900" t="s">
        <v>43</v>
      </c>
      <c r="V900">
        <v>14</v>
      </c>
      <c r="W900">
        <v>3</v>
      </c>
      <c r="X900">
        <v>2</v>
      </c>
      <c r="Y900">
        <v>1</v>
      </c>
      <c r="Z900">
        <v>25</v>
      </c>
      <c r="AA900">
        <v>2</v>
      </c>
      <c r="AB900">
        <v>3</v>
      </c>
      <c r="AC900">
        <v>8</v>
      </c>
      <c r="AD900">
        <v>7</v>
      </c>
      <c r="AE900">
        <v>0</v>
      </c>
      <c r="AF900">
        <v>7</v>
      </c>
      <c r="AG900" t="s">
        <v>65</v>
      </c>
      <c r="AH900">
        <v>0</v>
      </c>
      <c r="AI900" t="s">
        <v>69</v>
      </c>
      <c r="AJ900" s="3" t="s">
        <v>82</v>
      </c>
      <c r="AK900" s="3">
        <v>0</v>
      </c>
      <c r="AL900" s="3" t="s">
        <v>83</v>
      </c>
    </row>
    <row r="901" spans="1:38" x14ac:dyDescent="0.3">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v>18711</v>
      </c>
      <c r="S901">
        <v>12124</v>
      </c>
      <c r="T901">
        <v>2</v>
      </c>
      <c r="U901" t="s">
        <v>43</v>
      </c>
      <c r="V901">
        <v>13</v>
      </c>
      <c r="W901">
        <v>3</v>
      </c>
      <c r="X901">
        <v>3</v>
      </c>
      <c r="Y901">
        <v>1</v>
      </c>
      <c r="Z901">
        <v>23</v>
      </c>
      <c r="AA901">
        <v>2</v>
      </c>
      <c r="AB901">
        <v>4</v>
      </c>
      <c r="AC901">
        <v>1</v>
      </c>
      <c r="AD901">
        <v>0</v>
      </c>
      <c r="AE901">
        <v>0</v>
      </c>
      <c r="AF901">
        <v>0</v>
      </c>
      <c r="AG901" t="s">
        <v>67</v>
      </c>
      <c r="AH901">
        <v>0</v>
      </c>
      <c r="AI901" t="s">
        <v>70</v>
      </c>
      <c r="AJ901" s="3" t="s">
        <v>84</v>
      </c>
      <c r="AK901" s="3">
        <v>1</v>
      </c>
      <c r="AL901" s="3" t="s">
        <v>83</v>
      </c>
    </row>
    <row r="902" spans="1:38" x14ac:dyDescent="0.3">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v>3692</v>
      </c>
      <c r="S902">
        <v>9256</v>
      </c>
      <c r="T902">
        <v>1</v>
      </c>
      <c r="U902" t="s">
        <v>43</v>
      </c>
      <c r="V902">
        <v>12</v>
      </c>
      <c r="W902">
        <v>3</v>
      </c>
      <c r="X902">
        <v>3</v>
      </c>
      <c r="Y902">
        <v>0</v>
      </c>
      <c r="Z902">
        <v>12</v>
      </c>
      <c r="AA902">
        <v>2</v>
      </c>
      <c r="AB902">
        <v>2</v>
      </c>
      <c r="AC902">
        <v>11</v>
      </c>
      <c r="AD902">
        <v>10</v>
      </c>
      <c r="AE902">
        <v>0</v>
      </c>
      <c r="AF902">
        <v>7</v>
      </c>
      <c r="AG902" t="s">
        <v>65</v>
      </c>
      <c r="AH902">
        <v>0</v>
      </c>
      <c r="AI902" t="s">
        <v>70</v>
      </c>
      <c r="AJ902" s="3" t="s">
        <v>83</v>
      </c>
      <c r="AK902" s="3">
        <v>1</v>
      </c>
      <c r="AL902" s="3" t="s">
        <v>83</v>
      </c>
    </row>
    <row r="903" spans="1:38" x14ac:dyDescent="0.3">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v>2559</v>
      </c>
      <c r="S903">
        <v>16620</v>
      </c>
      <c r="T903">
        <v>5</v>
      </c>
      <c r="U903" t="s">
        <v>43</v>
      </c>
      <c r="V903">
        <v>11</v>
      </c>
      <c r="W903">
        <v>3</v>
      </c>
      <c r="X903">
        <v>3</v>
      </c>
      <c r="Y903">
        <v>0</v>
      </c>
      <c r="Z903">
        <v>7</v>
      </c>
      <c r="AA903">
        <v>4</v>
      </c>
      <c r="AB903">
        <v>2</v>
      </c>
      <c r="AC903">
        <v>1</v>
      </c>
      <c r="AD903">
        <v>0</v>
      </c>
      <c r="AE903">
        <v>0</v>
      </c>
      <c r="AF903">
        <v>0</v>
      </c>
      <c r="AG903" t="s">
        <v>67</v>
      </c>
      <c r="AH903">
        <v>0</v>
      </c>
      <c r="AI903" t="s">
        <v>71</v>
      </c>
      <c r="AJ903" s="3" t="s">
        <v>83</v>
      </c>
      <c r="AK903" s="3">
        <v>2</v>
      </c>
      <c r="AL903" s="3" t="s">
        <v>84</v>
      </c>
    </row>
    <row r="904" spans="1:38" x14ac:dyDescent="0.3">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v>2517</v>
      </c>
      <c r="S904">
        <v>3208</v>
      </c>
      <c r="T904">
        <v>1</v>
      </c>
      <c r="U904" t="s">
        <v>43</v>
      </c>
      <c r="V904">
        <v>11</v>
      </c>
      <c r="W904">
        <v>3</v>
      </c>
      <c r="X904">
        <v>2</v>
      </c>
      <c r="Y904">
        <v>3</v>
      </c>
      <c r="Z904">
        <v>5</v>
      </c>
      <c r="AA904">
        <v>2</v>
      </c>
      <c r="AB904">
        <v>3</v>
      </c>
      <c r="AC904">
        <v>5</v>
      </c>
      <c r="AD904">
        <v>3</v>
      </c>
      <c r="AE904">
        <v>0</v>
      </c>
      <c r="AF904">
        <v>3</v>
      </c>
      <c r="AG904" t="s">
        <v>68</v>
      </c>
      <c r="AH904">
        <v>0</v>
      </c>
      <c r="AI904" t="s">
        <v>70</v>
      </c>
      <c r="AJ904" s="3" t="s">
        <v>84</v>
      </c>
      <c r="AK904" s="3">
        <v>0</v>
      </c>
      <c r="AL904" s="3" t="s">
        <v>83</v>
      </c>
    </row>
    <row r="905" spans="1:38" x14ac:dyDescent="0.3">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v>6623</v>
      </c>
      <c r="S905">
        <v>4204</v>
      </c>
      <c r="T905">
        <v>1</v>
      </c>
      <c r="U905" t="s">
        <v>35</v>
      </c>
      <c r="V905">
        <v>11</v>
      </c>
      <c r="W905">
        <v>3</v>
      </c>
      <c r="X905">
        <v>2</v>
      </c>
      <c r="Y905">
        <v>2</v>
      </c>
      <c r="Z905">
        <v>6</v>
      </c>
      <c r="AA905">
        <v>2</v>
      </c>
      <c r="AB905">
        <v>3</v>
      </c>
      <c r="AC905">
        <v>6</v>
      </c>
      <c r="AD905">
        <v>0</v>
      </c>
      <c r="AE905">
        <v>1</v>
      </c>
      <c r="AF905">
        <v>0</v>
      </c>
      <c r="AG905" t="s">
        <v>65</v>
      </c>
      <c r="AH905">
        <v>0</v>
      </c>
      <c r="AI905" t="s">
        <v>72</v>
      </c>
      <c r="AJ905" s="3" t="s">
        <v>82</v>
      </c>
      <c r="AK905" s="3">
        <v>1</v>
      </c>
      <c r="AL905" s="3" t="s">
        <v>83</v>
      </c>
    </row>
    <row r="906" spans="1:38" x14ac:dyDescent="0.3">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v>18265</v>
      </c>
      <c r="S906">
        <v>8733</v>
      </c>
      <c r="T906">
        <v>6</v>
      </c>
      <c r="U906" t="s">
        <v>43</v>
      </c>
      <c r="V906">
        <v>12</v>
      </c>
      <c r="W906">
        <v>3</v>
      </c>
      <c r="X906">
        <v>3</v>
      </c>
      <c r="Y906">
        <v>0</v>
      </c>
      <c r="Z906">
        <v>25</v>
      </c>
      <c r="AA906">
        <v>3</v>
      </c>
      <c r="AB906">
        <v>4</v>
      </c>
      <c r="AC906">
        <v>1</v>
      </c>
      <c r="AD906">
        <v>0</v>
      </c>
      <c r="AE906">
        <v>0</v>
      </c>
      <c r="AF906">
        <v>0</v>
      </c>
      <c r="AG906" t="s">
        <v>67</v>
      </c>
      <c r="AH906">
        <v>0</v>
      </c>
      <c r="AI906" t="s">
        <v>72</v>
      </c>
      <c r="AJ906" s="3" t="s">
        <v>82</v>
      </c>
      <c r="AK906" s="3">
        <v>1</v>
      </c>
      <c r="AL906" s="3" t="s">
        <v>83</v>
      </c>
    </row>
    <row r="907" spans="1:38" x14ac:dyDescent="0.3">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v>16124</v>
      </c>
      <c r="S907">
        <v>3423</v>
      </c>
      <c r="T907">
        <v>3</v>
      </c>
      <c r="U907" t="s">
        <v>43</v>
      </c>
      <c r="V907">
        <v>14</v>
      </c>
      <c r="W907">
        <v>3</v>
      </c>
      <c r="X907">
        <v>2</v>
      </c>
      <c r="Y907">
        <v>2</v>
      </c>
      <c r="Z907">
        <v>9</v>
      </c>
      <c r="AA907">
        <v>2</v>
      </c>
      <c r="AB907">
        <v>2</v>
      </c>
      <c r="AC907">
        <v>7</v>
      </c>
      <c r="AD907">
        <v>7</v>
      </c>
      <c r="AE907">
        <v>1</v>
      </c>
      <c r="AF907">
        <v>7</v>
      </c>
      <c r="AG907" t="s">
        <v>65</v>
      </c>
      <c r="AH907">
        <v>0</v>
      </c>
      <c r="AI907" t="s">
        <v>70</v>
      </c>
      <c r="AJ907" s="3" t="s">
        <v>82</v>
      </c>
      <c r="AK907" s="3">
        <v>0</v>
      </c>
      <c r="AL907" s="3" t="s">
        <v>83</v>
      </c>
    </row>
    <row r="908" spans="1:38" x14ac:dyDescent="0.3">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v>2585</v>
      </c>
      <c r="S908">
        <v>21643</v>
      </c>
      <c r="T908">
        <v>0</v>
      </c>
      <c r="U908" t="s">
        <v>43</v>
      </c>
      <c r="V908">
        <v>17</v>
      </c>
      <c r="W908">
        <v>3</v>
      </c>
      <c r="X908">
        <v>4</v>
      </c>
      <c r="Y908">
        <v>0</v>
      </c>
      <c r="Z908">
        <v>2</v>
      </c>
      <c r="AA908">
        <v>5</v>
      </c>
      <c r="AB908">
        <v>2</v>
      </c>
      <c r="AC908">
        <v>1</v>
      </c>
      <c r="AD908">
        <v>0</v>
      </c>
      <c r="AE908">
        <v>0</v>
      </c>
      <c r="AF908">
        <v>0</v>
      </c>
      <c r="AG908" t="s">
        <v>67</v>
      </c>
      <c r="AH908">
        <v>0</v>
      </c>
      <c r="AI908" t="s">
        <v>72</v>
      </c>
      <c r="AJ908" s="3" t="s">
        <v>84</v>
      </c>
      <c r="AK908" s="3">
        <v>1</v>
      </c>
      <c r="AL908" s="3" t="s">
        <v>83</v>
      </c>
    </row>
    <row r="909" spans="1:38" x14ac:dyDescent="0.3">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v>18213</v>
      </c>
      <c r="S909">
        <v>8751</v>
      </c>
      <c r="T909">
        <v>7</v>
      </c>
      <c r="U909" t="s">
        <v>43</v>
      </c>
      <c r="V909">
        <v>11</v>
      </c>
      <c r="W909">
        <v>3</v>
      </c>
      <c r="X909">
        <v>3</v>
      </c>
      <c r="Y909">
        <v>1</v>
      </c>
      <c r="Z909">
        <v>26</v>
      </c>
      <c r="AA909">
        <v>5</v>
      </c>
      <c r="AB909">
        <v>3</v>
      </c>
      <c r="AC909">
        <v>22</v>
      </c>
      <c r="AD909">
        <v>9</v>
      </c>
      <c r="AE909">
        <v>3</v>
      </c>
      <c r="AF909">
        <v>10</v>
      </c>
      <c r="AG909" t="s">
        <v>65</v>
      </c>
      <c r="AH909">
        <v>0</v>
      </c>
      <c r="AI909" t="s">
        <v>71</v>
      </c>
      <c r="AJ909" s="3" t="s">
        <v>83</v>
      </c>
      <c r="AK909" s="3">
        <v>1</v>
      </c>
      <c r="AL909" s="3" t="s">
        <v>83</v>
      </c>
    </row>
    <row r="910" spans="1:38" x14ac:dyDescent="0.3">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v>8380</v>
      </c>
      <c r="S910">
        <v>21708</v>
      </c>
      <c r="T910">
        <v>0</v>
      </c>
      <c r="U910" t="s">
        <v>35</v>
      </c>
      <c r="V910">
        <v>14</v>
      </c>
      <c r="W910">
        <v>3</v>
      </c>
      <c r="X910">
        <v>4</v>
      </c>
      <c r="Y910">
        <v>2</v>
      </c>
      <c r="Z910">
        <v>10</v>
      </c>
      <c r="AA910">
        <v>3</v>
      </c>
      <c r="AB910">
        <v>3</v>
      </c>
      <c r="AC910">
        <v>9</v>
      </c>
      <c r="AD910">
        <v>8</v>
      </c>
      <c r="AE910">
        <v>0</v>
      </c>
      <c r="AF910">
        <v>8</v>
      </c>
      <c r="AG910" t="s">
        <v>65</v>
      </c>
      <c r="AH910">
        <v>0</v>
      </c>
      <c r="AI910" t="s">
        <v>70</v>
      </c>
      <c r="AJ910" s="3" t="s">
        <v>84</v>
      </c>
      <c r="AK910" s="3">
        <v>1</v>
      </c>
      <c r="AL910" s="3" t="s">
        <v>83</v>
      </c>
    </row>
    <row r="911" spans="1:38" x14ac:dyDescent="0.3">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v>2994</v>
      </c>
      <c r="S911">
        <v>21221</v>
      </c>
      <c r="T911">
        <v>1</v>
      </c>
      <c r="U911" t="s">
        <v>35</v>
      </c>
      <c r="V911">
        <v>12</v>
      </c>
      <c r="W911">
        <v>3</v>
      </c>
      <c r="X911">
        <v>4</v>
      </c>
      <c r="Y911">
        <v>0</v>
      </c>
      <c r="Z911">
        <v>1</v>
      </c>
      <c r="AA911">
        <v>2</v>
      </c>
      <c r="AB911">
        <v>3</v>
      </c>
      <c r="AC911">
        <v>1</v>
      </c>
      <c r="AD911">
        <v>0</v>
      </c>
      <c r="AE911">
        <v>0</v>
      </c>
      <c r="AF911">
        <v>1</v>
      </c>
      <c r="AG911" t="s">
        <v>67</v>
      </c>
      <c r="AH911">
        <v>0</v>
      </c>
      <c r="AI911" t="s">
        <v>71</v>
      </c>
      <c r="AJ911" s="3" t="s">
        <v>82</v>
      </c>
      <c r="AK911" s="3">
        <v>2</v>
      </c>
      <c r="AL911" s="3" t="s">
        <v>84</v>
      </c>
    </row>
    <row r="912" spans="1:38" x14ac:dyDescent="0.3">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v>1223</v>
      </c>
      <c r="S912">
        <v>16901</v>
      </c>
      <c r="T912">
        <v>1</v>
      </c>
      <c r="U912" t="s">
        <v>43</v>
      </c>
      <c r="V912">
        <v>22</v>
      </c>
      <c r="W912">
        <v>4</v>
      </c>
      <c r="X912">
        <v>4</v>
      </c>
      <c r="Y912">
        <v>1</v>
      </c>
      <c r="Z912">
        <v>1</v>
      </c>
      <c r="AA912">
        <v>2</v>
      </c>
      <c r="AB912">
        <v>3</v>
      </c>
      <c r="AC912">
        <v>1</v>
      </c>
      <c r="AD912">
        <v>0</v>
      </c>
      <c r="AE912">
        <v>0</v>
      </c>
      <c r="AF912">
        <v>1</v>
      </c>
      <c r="AG912" t="s">
        <v>67</v>
      </c>
      <c r="AH912">
        <v>0</v>
      </c>
      <c r="AI912" t="s">
        <v>72</v>
      </c>
      <c r="AJ912" s="3" t="s">
        <v>84</v>
      </c>
      <c r="AK912" s="3">
        <v>1</v>
      </c>
      <c r="AL912" s="3" t="s">
        <v>83</v>
      </c>
    </row>
    <row r="913" spans="1:38" x14ac:dyDescent="0.3">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v>1118</v>
      </c>
      <c r="S913">
        <v>8040</v>
      </c>
      <c r="T913">
        <v>1</v>
      </c>
      <c r="U913" t="s">
        <v>35</v>
      </c>
      <c r="V913">
        <v>14</v>
      </c>
      <c r="W913">
        <v>3</v>
      </c>
      <c r="X913">
        <v>4</v>
      </c>
      <c r="Y913">
        <v>0</v>
      </c>
      <c r="Z913">
        <v>1</v>
      </c>
      <c r="AA913">
        <v>4</v>
      </c>
      <c r="AB913">
        <v>3</v>
      </c>
      <c r="AC913">
        <v>1</v>
      </c>
      <c r="AD913">
        <v>0</v>
      </c>
      <c r="AE913">
        <v>1</v>
      </c>
      <c r="AF913">
        <v>0</v>
      </c>
      <c r="AG913" t="s">
        <v>67</v>
      </c>
      <c r="AH913">
        <v>1</v>
      </c>
      <c r="AI913" t="s">
        <v>72</v>
      </c>
      <c r="AJ913" s="3" t="s">
        <v>82</v>
      </c>
      <c r="AK913" s="3">
        <v>2</v>
      </c>
      <c r="AL913" s="3" t="s">
        <v>84</v>
      </c>
    </row>
    <row r="914" spans="1:38" x14ac:dyDescent="0.3">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v>2875</v>
      </c>
      <c r="S914">
        <v>9973</v>
      </c>
      <c r="T914">
        <v>1</v>
      </c>
      <c r="U914" t="s">
        <v>35</v>
      </c>
      <c r="V914">
        <v>20</v>
      </c>
      <c r="W914">
        <v>4</v>
      </c>
      <c r="X914">
        <v>2</v>
      </c>
      <c r="Y914">
        <v>0</v>
      </c>
      <c r="Z914">
        <v>8</v>
      </c>
      <c r="AA914">
        <v>2</v>
      </c>
      <c r="AB914">
        <v>2</v>
      </c>
      <c r="AC914">
        <v>8</v>
      </c>
      <c r="AD914">
        <v>5</v>
      </c>
      <c r="AE914">
        <v>2</v>
      </c>
      <c r="AF914">
        <v>2</v>
      </c>
      <c r="AG914" t="s">
        <v>65</v>
      </c>
      <c r="AH914">
        <v>0</v>
      </c>
      <c r="AI914" t="s">
        <v>72</v>
      </c>
      <c r="AJ914" s="3" t="s">
        <v>82</v>
      </c>
      <c r="AK914" s="3">
        <v>1</v>
      </c>
      <c r="AL914" s="3" t="s">
        <v>83</v>
      </c>
    </row>
    <row r="915" spans="1:38" x14ac:dyDescent="0.3">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v>18824</v>
      </c>
      <c r="S915">
        <v>2493</v>
      </c>
      <c r="T915">
        <v>2</v>
      </c>
      <c r="U915" t="s">
        <v>35</v>
      </c>
      <c r="V915">
        <v>16</v>
      </c>
      <c r="W915">
        <v>3</v>
      </c>
      <c r="X915">
        <v>1</v>
      </c>
      <c r="Y915">
        <v>0</v>
      </c>
      <c r="Z915">
        <v>26</v>
      </c>
      <c r="AA915">
        <v>2</v>
      </c>
      <c r="AB915">
        <v>3</v>
      </c>
      <c r="AC915">
        <v>24</v>
      </c>
      <c r="AD915">
        <v>10</v>
      </c>
      <c r="AE915">
        <v>1</v>
      </c>
      <c r="AF915">
        <v>11</v>
      </c>
      <c r="AG915" t="s">
        <v>65</v>
      </c>
      <c r="AH915">
        <v>1</v>
      </c>
      <c r="AI915" t="s">
        <v>72</v>
      </c>
      <c r="AJ915" s="3" t="s">
        <v>83</v>
      </c>
      <c r="AK915" s="3">
        <v>2</v>
      </c>
      <c r="AL915" s="3" t="s">
        <v>84</v>
      </c>
    </row>
    <row r="916" spans="1:38" x14ac:dyDescent="0.3">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v>13577</v>
      </c>
      <c r="S916">
        <v>25592</v>
      </c>
      <c r="T916">
        <v>1</v>
      </c>
      <c r="U916" t="s">
        <v>35</v>
      </c>
      <c r="V916">
        <v>15</v>
      </c>
      <c r="W916">
        <v>3</v>
      </c>
      <c r="X916">
        <v>4</v>
      </c>
      <c r="Y916">
        <v>1</v>
      </c>
      <c r="Z916">
        <v>34</v>
      </c>
      <c r="AA916">
        <v>3</v>
      </c>
      <c r="AB916">
        <v>3</v>
      </c>
      <c r="AC916">
        <v>33</v>
      </c>
      <c r="AD916">
        <v>9</v>
      </c>
      <c r="AE916">
        <v>15</v>
      </c>
      <c r="AF916">
        <v>0</v>
      </c>
      <c r="AG916" t="s">
        <v>65</v>
      </c>
      <c r="AH916">
        <v>0</v>
      </c>
      <c r="AI916" t="s">
        <v>70</v>
      </c>
      <c r="AJ916" s="3" t="s">
        <v>83</v>
      </c>
      <c r="AK916" s="3">
        <v>2</v>
      </c>
      <c r="AL916" s="3" t="s">
        <v>84</v>
      </c>
    </row>
    <row r="917" spans="1:38" x14ac:dyDescent="0.3">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v>2625</v>
      </c>
      <c r="S917">
        <v>25308</v>
      </c>
      <c r="T917">
        <v>1</v>
      </c>
      <c r="U917" t="s">
        <v>43</v>
      </c>
      <c r="V917">
        <v>20</v>
      </c>
      <c r="W917">
        <v>4</v>
      </c>
      <c r="X917">
        <v>3</v>
      </c>
      <c r="Y917">
        <v>0</v>
      </c>
      <c r="Z917">
        <v>2</v>
      </c>
      <c r="AA917">
        <v>2</v>
      </c>
      <c r="AB917">
        <v>1</v>
      </c>
      <c r="AC917">
        <v>2</v>
      </c>
      <c r="AD917">
        <v>2</v>
      </c>
      <c r="AE917">
        <v>2</v>
      </c>
      <c r="AF917">
        <v>2</v>
      </c>
      <c r="AG917" t="s">
        <v>67</v>
      </c>
      <c r="AH917">
        <v>1</v>
      </c>
      <c r="AI917" t="s">
        <v>69</v>
      </c>
      <c r="AJ917" s="3" t="s">
        <v>84</v>
      </c>
      <c r="AK917" s="3">
        <v>1</v>
      </c>
      <c r="AL917" s="3" t="s">
        <v>83</v>
      </c>
    </row>
    <row r="918" spans="1:38" x14ac:dyDescent="0.3">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v>18789</v>
      </c>
      <c r="S918">
        <v>9946</v>
      </c>
      <c r="T918">
        <v>2</v>
      </c>
      <c r="U918" t="s">
        <v>43</v>
      </c>
      <c r="V918">
        <v>14</v>
      </c>
      <c r="W918">
        <v>3</v>
      </c>
      <c r="X918">
        <v>3</v>
      </c>
      <c r="Y918">
        <v>1</v>
      </c>
      <c r="Z918">
        <v>26</v>
      </c>
      <c r="AA918">
        <v>2</v>
      </c>
      <c r="AB918">
        <v>3</v>
      </c>
      <c r="AC918">
        <v>11</v>
      </c>
      <c r="AD918">
        <v>4</v>
      </c>
      <c r="AE918">
        <v>0</v>
      </c>
      <c r="AF918">
        <v>8</v>
      </c>
      <c r="AG918" t="s">
        <v>65</v>
      </c>
      <c r="AH918">
        <v>0</v>
      </c>
      <c r="AI918" t="s">
        <v>72</v>
      </c>
      <c r="AJ918" s="3" t="s">
        <v>83</v>
      </c>
      <c r="AK918" s="3">
        <v>1</v>
      </c>
      <c r="AL918" s="3" t="s">
        <v>83</v>
      </c>
    </row>
    <row r="919" spans="1:38" x14ac:dyDescent="0.3">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v>4538</v>
      </c>
      <c r="S919">
        <v>6039</v>
      </c>
      <c r="T919">
        <v>0</v>
      </c>
      <c r="U919" t="s">
        <v>35</v>
      </c>
      <c r="V919">
        <v>12</v>
      </c>
      <c r="W919">
        <v>3</v>
      </c>
      <c r="X919">
        <v>4</v>
      </c>
      <c r="Y919">
        <v>0</v>
      </c>
      <c r="Z919">
        <v>4</v>
      </c>
      <c r="AA919">
        <v>3</v>
      </c>
      <c r="AB919">
        <v>3</v>
      </c>
      <c r="AC919">
        <v>3</v>
      </c>
      <c r="AD919">
        <v>2</v>
      </c>
      <c r="AE919">
        <v>0</v>
      </c>
      <c r="AF919">
        <v>2</v>
      </c>
      <c r="AG919" t="s">
        <v>67</v>
      </c>
      <c r="AH919">
        <v>0</v>
      </c>
      <c r="AI919" t="s">
        <v>70</v>
      </c>
      <c r="AJ919" s="3" t="s">
        <v>83</v>
      </c>
      <c r="AK919" s="3">
        <v>3</v>
      </c>
      <c r="AL919" s="3" t="s">
        <v>82</v>
      </c>
    </row>
    <row r="920" spans="1:38" x14ac:dyDescent="0.3">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v>19847</v>
      </c>
      <c r="S920">
        <v>19196</v>
      </c>
      <c r="T920">
        <v>4</v>
      </c>
      <c r="U920" t="s">
        <v>35</v>
      </c>
      <c r="V920">
        <v>24</v>
      </c>
      <c r="W920">
        <v>4</v>
      </c>
      <c r="X920">
        <v>1</v>
      </c>
      <c r="Y920">
        <v>1</v>
      </c>
      <c r="Z920">
        <v>31</v>
      </c>
      <c r="AA920">
        <v>5</v>
      </c>
      <c r="AB920">
        <v>2</v>
      </c>
      <c r="AC920">
        <v>29</v>
      </c>
      <c r="AD920">
        <v>10</v>
      </c>
      <c r="AE920">
        <v>11</v>
      </c>
      <c r="AF920">
        <v>10</v>
      </c>
      <c r="AG920" t="s">
        <v>65</v>
      </c>
      <c r="AH920">
        <v>0</v>
      </c>
      <c r="AI920" t="s">
        <v>71</v>
      </c>
      <c r="AJ920" s="3" t="s">
        <v>83</v>
      </c>
      <c r="AK920" s="3">
        <v>2</v>
      </c>
      <c r="AL920" s="3" t="s">
        <v>84</v>
      </c>
    </row>
    <row r="921" spans="1:38" x14ac:dyDescent="0.3">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v>10512</v>
      </c>
      <c r="S921">
        <v>20002</v>
      </c>
      <c r="T921">
        <v>6</v>
      </c>
      <c r="U921" t="s">
        <v>43</v>
      </c>
      <c r="V921">
        <v>12</v>
      </c>
      <c r="W921">
        <v>3</v>
      </c>
      <c r="X921">
        <v>4</v>
      </c>
      <c r="Y921">
        <v>0</v>
      </c>
      <c r="Z921">
        <v>25</v>
      </c>
      <c r="AA921">
        <v>6</v>
      </c>
      <c r="AB921">
        <v>2</v>
      </c>
      <c r="AC921">
        <v>9</v>
      </c>
      <c r="AD921">
        <v>7</v>
      </c>
      <c r="AE921">
        <v>5</v>
      </c>
      <c r="AF921">
        <v>4</v>
      </c>
      <c r="AG921" t="s">
        <v>65</v>
      </c>
      <c r="AH921">
        <v>0</v>
      </c>
      <c r="AI921" t="s">
        <v>69</v>
      </c>
      <c r="AJ921" s="3" t="s">
        <v>82</v>
      </c>
      <c r="AK921" s="3">
        <v>0</v>
      </c>
      <c r="AL921" s="3" t="s">
        <v>83</v>
      </c>
    </row>
    <row r="922" spans="1:38" x14ac:dyDescent="0.3">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v>4444</v>
      </c>
      <c r="S922">
        <v>22534</v>
      </c>
      <c r="T922">
        <v>4</v>
      </c>
      <c r="U922" t="s">
        <v>43</v>
      </c>
      <c r="V922">
        <v>13</v>
      </c>
      <c r="W922">
        <v>3</v>
      </c>
      <c r="X922">
        <v>3</v>
      </c>
      <c r="Y922">
        <v>2</v>
      </c>
      <c r="Z922">
        <v>15</v>
      </c>
      <c r="AA922">
        <v>2</v>
      </c>
      <c r="AB922">
        <v>4</v>
      </c>
      <c r="AC922">
        <v>11</v>
      </c>
      <c r="AD922">
        <v>8</v>
      </c>
      <c r="AE922">
        <v>5</v>
      </c>
      <c r="AF922">
        <v>10</v>
      </c>
      <c r="AG922" t="s">
        <v>65</v>
      </c>
      <c r="AH922">
        <v>0</v>
      </c>
      <c r="AI922" t="s">
        <v>69</v>
      </c>
      <c r="AJ922" s="3" t="s">
        <v>83</v>
      </c>
      <c r="AK922" s="3">
        <v>1</v>
      </c>
      <c r="AL922" s="3" t="s">
        <v>83</v>
      </c>
    </row>
    <row r="923" spans="1:38" x14ac:dyDescent="0.3">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v>2154</v>
      </c>
      <c r="S923">
        <v>6842</v>
      </c>
      <c r="T923">
        <v>0</v>
      </c>
      <c r="U923" t="s">
        <v>35</v>
      </c>
      <c r="V923">
        <v>11</v>
      </c>
      <c r="W923">
        <v>3</v>
      </c>
      <c r="X923">
        <v>3</v>
      </c>
      <c r="Y923">
        <v>0</v>
      </c>
      <c r="Z923">
        <v>5</v>
      </c>
      <c r="AA923">
        <v>2</v>
      </c>
      <c r="AB923">
        <v>2</v>
      </c>
      <c r="AC923">
        <v>4</v>
      </c>
      <c r="AD923">
        <v>2</v>
      </c>
      <c r="AE923">
        <v>0</v>
      </c>
      <c r="AF923">
        <v>2</v>
      </c>
      <c r="AG923" t="s">
        <v>68</v>
      </c>
      <c r="AH923">
        <v>0</v>
      </c>
      <c r="AI923" t="s">
        <v>71</v>
      </c>
      <c r="AJ923" s="3" t="s">
        <v>84</v>
      </c>
      <c r="AK923" s="3">
        <v>1</v>
      </c>
      <c r="AL923" s="3" t="s">
        <v>83</v>
      </c>
    </row>
    <row r="924" spans="1:38" x14ac:dyDescent="0.3">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v>19190</v>
      </c>
      <c r="S924">
        <v>17477</v>
      </c>
      <c r="T924">
        <v>1</v>
      </c>
      <c r="U924" t="s">
        <v>43</v>
      </c>
      <c r="V924">
        <v>14</v>
      </c>
      <c r="W924">
        <v>3</v>
      </c>
      <c r="X924">
        <v>4</v>
      </c>
      <c r="Y924">
        <v>2</v>
      </c>
      <c r="Z924">
        <v>26</v>
      </c>
      <c r="AA924">
        <v>4</v>
      </c>
      <c r="AB924">
        <v>2</v>
      </c>
      <c r="AC924">
        <v>25</v>
      </c>
      <c r="AD924">
        <v>9</v>
      </c>
      <c r="AE924">
        <v>14</v>
      </c>
      <c r="AF924">
        <v>13</v>
      </c>
      <c r="AG924" t="s">
        <v>65</v>
      </c>
      <c r="AH924">
        <v>0</v>
      </c>
      <c r="AI924" t="s">
        <v>72</v>
      </c>
      <c r="AJ924" s="3" t="s">
        <v>83</v>
      </c>
      <c r="AK924" s="3">
        <v>1</v>
      </c>
      <c r="AL924" s="3" t="s">
        <v>83</v>
      </c>
    </row>
    <row r="925" spans="1:38" x14ac:dyDescent="0.3">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v>4490</v>
      </c>
      <c r="S925">
        <v>21833</v>
      </c>
      <c r="T925">
        <v>4</v>
      </c>
      <c r="U925" t="s">
        <v>43</v>
      </c>
      <c r="V925">
        <v>11</v>
      </c>
      <c r="W925">
        <v>3</v>
      </c>
      <c r="X925">
        <v>4</v>
      </c>
      <c r="Y925">
        <v>2</v>
      </c>
      <c r="Z925">
        <v>14</v>
      </c>
      <c r="AA925">
        <v>5</v>
      </c>
      <c r="AB925">
        <v>4</v>
      </c>
      <c r="AC925">
        <v>10</v>
      </c>
      <c r="AD925">
        <v>9</v>
      </c>
      <c r="AE925">
        <v>1</v>
      </c>
      <c r="AF925">
        <v>8</v>
      </c>
      <c r="AG925" t="s">
        <v>65</v>
      </c>
      <c r="AH925">
        <v>0</v>
      </c>
      <c r="AI925" t="s">
        <v>70</v>
      </c>
      <c r="AJ925" s="3" t="s">
        <v>83</v>
      </c>
      <c r="AK925" s="3">
        <v>1</v>
      </c>
      <c r="AL925" s="3" t="s">
        <v>83</v>
      </c>
    </row>
    <row r="926" spans="1:38" x14ac:dyDescent="0.3">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v>3506</v>
      </c>
      <c r="S926">
        <v>6020</v>
      </c>
      <c r="T926">
        <v>0</v>
      </c>
      <c r="U926" t="s">
        <v>35</v>
      </c>
      <c r="V926">
        <v>14</v>
      </c>
      <c r="W926">
        <v>3</v>
      </c>
      <c r="X926">
        <v>4</v>
      </c>
      <c r="Y926">
        <v>0</v>
      </c>
      <c r="Z926">
        <v>4</v>
      </c>
      <c r="AA926">
        <v>3</v>
      </c>
      <c r="AB926">
        <v>3</v>
      </c>
      <c r="AC926">
        <v>3</v>
      </c>
      <c r="AD926">
        <v>2</v>
      </c>
      <c r="AE926">
        <v>2</v>
      </c>
      <c r="AF926">
        <v>2</v>
      </c>
      <c r="AG926" t="s">
        <v>67</v>
      </c>
      <c r="AH926">
        <v>0</v>
      </c>
      <c r="AI926" t="s">
        <v>71</v>
      </c>
      <c r="AJ926" s="3" t="s">
        <v>84</v>
      </c>
      <c r="AK926" s="3">
        <v>2</v>
      </c>
      <c r="AL926" s="3" t="s">
        <v>84</v>
      </c>
    </row>
    <row r="927" spans="1:38" x14ac:dyDescent="0.3">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v>2372</v>
      </c>
      <c r="S927">
        <v>5628</v>
      </c>
      <c r="T927">
        <v>6</v>
      </c>
      <c r="U927" t="s">
        <v>35</v>
      </c>
      <c r="V927">
        <v>16</v>
      </c>
      <c r="W927">
        <v>3</v>
      </c>
      <c r="X927">
        <v>4</v>
      </c>
      <c r="Y927">
        <v>0</v>
      </c>
      <c r="Z927">
        <v>18</v>
      </c>
      <c r="AA927">
        <v>2</v>
      </c>
      <c r="AB927">
        <v>3</v>
      </c>
      <c r="AC927">
        <v>1</v>
      </c>
      <c r="AD927">
        <v>0</v>
      </c>
      <c r="AE927">
        <v>0</v>
      </c>
      <c r="AF927">
        <v>0</v>
      </c>
      <c r="AG927" t="s">
        <v>67</v>
      </c>
      <c r="AH927">
        <v>0</v>
      </c>
      <c r="AI927" t="s">
        <v>71</v>
      </c>
      <c r="AJ927" s="3" t="s">
        <v>83</v>
      </c>
      <c r="AK927" s="3">
        <v>3</v>
      </c>
      <c r="AL927" s="3" t="s">
        <v>82</v>
      </c>
    </row>
    <row r="928" spans="1:38" x14ac:dyDescent="0.3">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v>10231</v>
      </c>
      <c r="S928">
        <v>20364</v>
      </c>
      <c r="T928">
        <v>3</v>
      </c>
      <c r="U928" t="s">
        <v>43</v>
      </c>
      <c r="V928">
        <v>14</v>
      </c>
      <c r="W928">
        <v>3</v>
      </c>
      <c r="X928">
        <v>4</v>
      </c>
      <c r="Y928">
        <v>0</v>
      </c>
      <c r="Z928">
        <v>23</v>
      </c>
      <c r="AA928">
        <v>3</v>
      </c>
      <c r="AB928">
        <v>4</v>
      </c>
      <c r="AC928">
        <v>21</v>
      </c>
      <c r="AD928">
        <v>7</v>
      </c>
      <c r="AE928">
        <v>15</v>
      </c>
      <c r="AF928">
        <v>17</v>
      </c>
      <c r="AG928" t="s">
        <v>65</v>
      </c>
      <c r="AH928">
        <v>0</v>
      </c>
      <c r="AI928" t="s">
        <v>70</v>
      </c>
      <c r="AJ928" s="3" t="s">
        <v>82</v>
      </c>
      <c r="AK928" s="3">
        <v>0</v>
      </c>
      <c r="AL928" s="3" t="s">
        <v>83</v>
      </c>
    </row>
    <row r="929" spans="1:38" x14ac:dyDescent="0.3">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v>5410</v>
      </c>
      <c r="S929">
        <v>2323</v>
      </c>
      <c r="T929">
        <v>9</v>
      </c>
      <c r="U929" t="s">
        <v>35</v>
      </c>
      <c r="V929">
        <v>11</v>
      </c>
      <c r="W929">
        <v>3</v>
      </c>
      <c r="X929">
        <v>4</v>
      </c>
      <c r="Y929">
        <v>0</v>
      </c>
      <c r="Z929">
        <v>18</v>
      </c>
      <c r="AA929">
        <v>2</v>
      </c>
      <c r="AB929">
        <v>3</v>
      </c>
      <c r="AC929">
        <v>16</v>
      </c>
      <c r="AD929">
        <v>14</v>
      </c>
      <c r="AE929">
        <v>5</v>
      </c>
      <c r="AF929">
        <v>12</v>
      </c>
      <c r="AG929" t="s">
        <v>65</v>
      </c>
      <c r="AH929">
        <v>0</v>
      </c>
      <c r="AI929" t="s">
        <v>70</v>
      </c>
      <c r="AJ929" s="3" t="s">
        <v>83</v>
      </c>
      <c r="AK929" s="3">
        <v>2</v>
      </c>
      <c r="AL929" s="3" t="s">
        <v>84</v>
      </c>
    </row>
    <row r="930" spans="1:38" x14ac:dyDescent="0.3">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v>7978</v>
      </c>
      <c r="S930">
        <v>14075</v>
      </c>
      <c r="T930">
        <v>1</v>
      </c>
      <c r="U930" t="s">
        <v>43</v>
      </c>
      <c r="V930">
        <v>11</v>
      </c>
      <c r="W930">
        <v>3</v>
      </c>
      <c r="X930">
        <v>4</v>
      </c>
      <c r="Y930">
        <v>1</v>
      </c>
      <c r="Z930">
        <v>10</v>
      </c>
      <c r="AA930">
        <v>2</v>
      </c>
      <c r="AB930">
        <v>3</v>
      </c>
      <c r="AC930">
        <v>10</v>
      </c>
      <c r="AD930">
        <v>7</v>
      </c>
      <c r="AE930">
        <v>0</v>
      </c>
      <c r="AF930">
        <v>5</v>
      </c>
      <c r="AG930" t="s">
        <v>65</v>
      </c>
      <c r="AH930">
        <v>1</v>
      </c>
      <c r="AI930" t="s">
        <v>71</v>
      </c>
      <c r="AJ930" s="3" t="s">
        <v>82</v>
      </c>
      <c r="AK930" s="3">
        <v>0</v>
      </c>
      <c r="AL930" s="3" t="s">
        <v>83</v>
      </c>
    </row>
    <row r="931" spans="1:38" x14ac:dyDescent="0.3">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v>3867</v>
      </c>
      <c r="S931">
        <v>14222</v>
      </c>
      <c r="T931">
        <v>1</v>
      </c>
      <c r="U931" t="s">
        <v>35</v>
      </c>
      <c r="V931">
        <v>12</v>
      </c>
      <c r="W931">
        <v>3</v>
      </c>
      <c r="X931">
        <v>2</v>
      </c>
      <c r="Y931">
        <v>1</v>
      </c>
      <c r="Z931">
        <v>2</v>
      </c>
      <c r="AA931">
        <v>2</v>
      </c>
      <c r="AB931">
        <v>3</v>
      </c>
      <c r="AC931">
        <v>2</v>
      </c>
      <c r="AD931">
        <v>2</v>
      </c>
      <c r="AE931">
        <v>2</v>
      </c>
      <c r="AF931">
        <v>2</v>
      </c>
      <c r="AG931" t="s">
        <v>67</v>
      </c>
      <c r="AH931">
        <v>0</v>
      </c>
      <c r="AI931" t="s">
        <v>70</v>
      </c>
      <c r="AJ931" s="3" t="s">
        <v>82</v>
      </c>
      <c r="AK931" s="3">
        <v>2</v>
      </c>
      <c r="AL931" s="3" t="s">
        <v>84</v>
      </c>
    </row>
    <row r="932" spans="1:38" x14ac:dyDescent="0.3">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v>2838</v>
      </c>
      <c r="S932">
        <v>4257</v>
      </c>
      <c r="T932">
        <v>0</v>
      </c>
      <c r="U932" t="s">
        <v>43</v>
      </c>
      <c r="V932">
        <v>14</v>
      </c>
      <c r="W932">
        <v>3</v>
      </c>
      <c r="X932">
        <v>2</v>
      </c>
      <c r="Y932">
        <v>0</v>
      </c>
      <c r="Z932">
        <v>8</v>
      </c>
      <c r="AA932">
        <v>6</v>
      </c>
      <c r="AB932">
        <v>2</v>
      </c>
      <c r="AC932">
        <v>7</v>
      </c>
      <c r="AD932">
        <v>0</v>
      </c>
      <c r="AE932">
        <v>7</v>
      </c>
      <c r="AF932">
        <v>7</v>
      </c>
      <c r="AG932" t="s">
        <v>65</v>
      </c>
      <c r="AH932">
        <v>0</v>
      </c>
      <c r="AI932" t="s">
        <v>72</v>
      </c>
      <c r="AJ932" s="3" t="s">
        <v>84</v>
      </c>
      <c r="AK932" s="3">
        <v>0</v>
      </c>
      <c r="AL932" s="3" t="s">
        <v>83</v>
      </c>
    </row>
    <row r="933" spans="1:38" x14ac:dyDescent="0.3">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v>4695</v>
      </c>
      <c r="S933">
        <v>12858</v>
      </c>
      <c r="T933">
        <v>7</v>
      </c>
      <c r="U933" t="s">
        <v>35</v>
      </c>
      <c r="V933">
        <v>18</v>
      </c>
      <c r="W933">
        <v>3</v>
      </c>
      <c r="X933">
        <v>3</v>
      </c>
      <c r="Y933">
        <v>0</v>
      </c>
      <c r="Z933">
        <v>10</v>
      </c>
      <c r="AA933">
        <v>3</v>
      </c>
      <c r="AB933">
        <v>3</v>
      </c>
      <c r="AC933">
        <v>8</v>
      </c>
      <c r="AD933">
        <v>4</v>
      </c>
      <c r="AE933">
        <v>1</v>
      </c>
      <c r="AF933">
        <v>7</v>
      </c>
      <c r="AG933" t="s">
        <v>65</v>
      </c>
      <c r="AH933">
        <v>0</v>
      </c>
      <c r="AI933" t="s">
        <v>69</v>
      </c>
      <c r="AJ933" s="3" t="s">
        <v>84</v>
      </c>
      <c r="AK933" s="3">
        <v>1</v>
      </c>
      <c r="AL933" s="3" t="s">
        <v>83</v>
      </c>
    </row>
    <row r="934" spans="1:38" x14ac:dyDescent="0.3">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v>3339</v>
      </c>
      <c r="S934">
        <v>17285</v>
      </c>
      <c r="T934">
        <v>3</v>
      </c>
      <c r="U934" t="s">
        <v>35</v>
      </c>
      <c r="V934">
        <v>13</v>
      </c>
      <c r="W934">
        <v>3</v>
      </c>
      <c r="X934">
        <v>1</v>
      </c>
      <c r="Y934">
        <v>2</v>
      </c>
      <c r="Z934">
        <v>10</v>
      </c>
      <c r="AA934">
        <v>2</v>
      </c>
      <c r="AB934">
        <v>3</v>
      </c>
      <c r="AC934">
        <v>7</v>
      </c>
      <c r="AD934">
        <v>7</v>
      </c>
      <c r="AE934">
        <v>7</v>
      </c>
      <c r="AF934">
        <v>7</v>
      </c>
      <c r="AG934" t="s">
        <v>65</v>
      </c>
      <c r="AH934">
        <v>1</v>
      </c>
      <c r="AI934" t="s">
        <v>71</v>
      </c>
      <c r="AJ934" s="3" t="s">
        <v>84</v>
      </c>
      <c r="AK934" s="3">
        <v>1</v>
      </c>
      <c r="AL934" s="3" t="s">
        <v>83</v>
      </c>
    </row>
    <row r="935" spans="1:38" x14ac:dyDescent="0.3">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v>2080</v>
      </c>
      <c r="S935">
        <v>4732</v>
      </c>
      <c r="T935">
        <v>2</v>
      </c>
      <c r="U935" t="s">
        <v>43</v>
      </c>
      <c r="V935">
        <v>11</v>
      </c>
      <c r="W935">
        <v>3</v>
      </c>
      <c r="X935">
        <v>2</v>
      </c>
      <c r="Y935">
        <v>0</v>
      </c>
      <c r="Z935">
        <v>5</v>
      </c>
      <c r="AA935">
        <v>2</v>
      </c>
      <c r="AB935">
        <v>2</v>
      </c>
      <c r="AC935">
        <v>3</v>
      </c>
      <c r="AD935">
        <v>2</v>
      </c>
      <c r="AE935">
        <v>1</v>
      </c>
      <c r="AF935">
        <v>2</v>
      </c>
      <c r="AG935" t="s">
        <v>67</v>
      </c>
      <c r="AH935">
        <v>0</v>
      </c>
      <c r="AI935" t="s">
        <v>72</v>
      </c>
      <c r="AJ935" s="3" t="s">
        <v>83</v>
      </c>
      <c r="AK935" s="3">
        <v>2</v>
      </c>
      <c r="AL935" s="3" t="s">
        <v>84</v>
      </c>
    </row>
    <row r="936" spans="1:38" x14ac:dyDescent="0.3">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v>2096</v>
      </c>
      <c r="S936">
        <v>18830</v>
      </c>
      <c r="T936">
        <v>1</v>
      </c>
      <c r="U936" t="s">
        <v>43</v>
      </c>
      <c r="V936">
        <v>18</v>
      </c>
      <c r="W936">
        <v>3</v>
      </c>
      <c r="X936">
        <v>4</v>
      </c>
      <c r="Y936">
        <v>0</v>
      </c>
      <c r="Z936">
        <v>2</v>
      </c>
      <c r="AA936">
        <v>3</v>
      </c>
      <c r="AB936">
        <v>2</v>
      </c>
      <c r="AC936">
        <v>2</v>
      </c>
      <c r="AD936">
        <v>2</v>
      </c>
      <c r="AE936">
        <v>2</v>
      </c>
      <c r="AF936">
        <v>1</v>
      </c>
      <c r="AG936" t="s">
        <v>67</v>
      </c>
      <c r="AH936">
        <v>0</v>
      </c>
      <c r="AI936" t="s">
        <v>72</v>
      </c>
      <c r="AJ936" s="3" t="s">
        <v>83</v>
      </c>
      <c r="AK936" s="3">
        <v>2</v>
      </c>
      <c r="AL936" s="3" t="s">
        <v>84</v>
      </c>
    </row>
    <row r="937" spans="1:38" x14ac:dyDescent="0.3">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v>6209</v>
      </c>
      <c r="S937">
        <v>11693</v>
      </c>
      <c r="T937">
        <v>1</v>
      </c>
      <c r="U937" t="s">
        <v>43</v>
      </c>
      <c r="V937">
        <v>15</v>
      </c>
      <c r="W937">
        <v>3</v>
      </c>
      <c r="X937">
        <v>3</v>
      </c>
      <c r="Y937">
        <v>2</v>
      </c>
      <c r="Z937">
        <v>10</v>
      </c>
      <c r="AA937">
        <v>4</v>
      </c>
      <c r="AB937">
        <v>4</v>
      </c>
      <c r="AC937">
        <v>10</v>
      </c>
      <c r="AD937">
        <v>7</v>
      </c>
      <c r="AE937">
        <v>0</v>
      </c>
      <c r="AF937">
        <v>8</v>
      </c>
      <c r="AG937" t="s">
        <v>65</v>
      </c>
      <c r="AH937">
        <v>0</v>
      </c>
      <c r="AI937" t="s">
        <v>72</v>
      </c>
      <c r="AJ937" s="3" t="s">
        <v>82</v>
      </c>
      <c r="AK937" s="3">
        <v>0</v>
      </c>
      <c r="AL937" s="3" t="s">
        <v>83</v>
      </c>
    </row>
    <row r="938" spans="1:38" x14ac:dyDescent="0.3">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v>18061</v>
      </c>
      <c r="S938">
        <v>13035</v>
      </c>
      <c r="T938">
        <v>3</v>
      </c>
      <c r="U938" t="s">
        <v>43</v>
      </c>
      <c r="V938">
        <v>22</v>
      </c>
      <c r="W938">
        <v>4</v>
      </c>
      <c r="X938">
        <v>3</v>
      </c>
      <c r="Y938">
        <v>0</v>
      </c>
      <c r="Z938">
        <v>22</v>
      </c>
      <c r="AA938">
        <v>4</v>
      </c>
      <c r="AB938">
        <v>3</v>
      </c>
      <c r="AC938">
        <v>0</v>
      </c>
      <c r="AD938">
        <v>0</v>
      </c>
      <c r="AE938">
        <v>0</v>
      </c>
      <c r="AF938">
        <v>0</v>
      </c>
      <c r="AG938" t="s">
        <v>66</v>
      </c>
      <c r="AH938">
        <v>0</v>
      </c>
      <c r="AI938" t="s">
        <v>71</v>
      </c>
      <c r="AJ938" s="3" t="s">
        <v>83</v>
      </c>
      <c r="AK938" s="3">
        <v>2</v>
      </c>
      <c r="AL938" s="3" t="s">
        <v>84</v>
      </c>
    </row>
    <row r="939" spans="1:38" x14ac:dyDescent="0.3">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v>17123</v>
      </c>
      <c r="S939">
        <v>17334</v>
      </c>
      <c r="T939">
        <v>6</v>
      </c>
      <c r="U939" t="s">
        <v>35</v>
      </c>
      <c r="V939">
        <v>13</v>
      </c>
      <c r="W939">
        <v>3</v>
      </c>
      <c r="X939">
        <v>4</v>
      </c>
      <c r="Y939">
        <v>2</v>
      </c>
      <c r="Z939">
        <v>21</v>
      </c>
      <c r="AA939">
        <v>4</v>
      </c>
      <c r="AB939">
        <v>3</v>
      </c>
      <c r="AC939">
        <v>19</v>
      </c>
      <c r="AD939">
        <v>9</v>
      </c>
      <c r="AE939">
        <v>15</v>
      </c>
      <c r="AF939">
        <v>2</v>
      </c>
      <c r="AG939" t="s">
        <v>65</v>
      </c>
      <c r="AH939">
        <v>0</v>
      </c>
      <c r="AI939" t="s">
        <v>70</v>
      </c>
      <c r="AJ939" s="3" t="s">
        <v>83</v>
      </c>
      <c r="AK939" s="3">
        <v>2</v>
      </c>
      <c r="AL939" s="3" t="s">
        <v>84</v>
      </c>
    </row>
    <row r="940" spans="1:38" x14ac:dyDescent="0.3">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v>2372</v>
      </c>
      <c r="S940">
        <v>26076</v>
      </c>
      <c r="T940">
        <v>1</v>
      </c>
      <c r="U940" t="s">
        <v>43</v>
      </c>
      <c r="V940">
        <v>12</v>
      </c>
      <c r="W940">
        <v>3</v>
      </c>
      <c r="X940">
        <v>4</v>
      </c>
      <c r="Y940">
        <v>2</v>
      </c>
      <c r="Z940">
        <v>2</v>
      </c>
      <c r="AA940">
        <v>3</v>
      </c>
      <c r="AB940">
        <v>3</v>
      </c>
      <c r="AC940">
        <v>2</v>
      </c>
      <c r="AD940">
        <v>2</v>
      </c>
      <c r="AE940">
        <v>2</v>
      </c>
      <c r="AF940">
        <v>2</v>
      </c>
      <c r="AG940" t="s">
        <v>67</v>
      </c>
      <c r="AH940">
        <v>0</v>
      </c>
      <c r="AI940" t="s">
        <v>71</v>
      </c>
      <c r="AJ940" s="3" t="s">
        <v>84</v>
      </c>
      <c r="AK940" s="3">
        <v>1</v>
      </c>
      <c r="AL940" s="3" t="s">
        <v>83</v>
      </c>
    </row>
    <row r="941" spans="1:38" x14ac:dyDescent="0.3">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v>4883</v>
      </c>
      <c r="S941">
        <v>22845</v>
      </c>
      <c r="T941">
        <v>1</v>
      </c>
      <c r="U941" t="s">
        <v>43</v>
      </c>
      <c r="V941">
        <v>18</v>
      </c>
      <c r="W941">
        <v>3</v>
      </c>
      <c r="X941">
        <v>1</v>
      </c>
      <c r="Y941">
        <v>1</v>
      </c>
      <c r="Z941">
        <v>10</v>
      </c>
      <c r="AA941">
        <v>3</v>
      </c>
      <c r="AB941">
        <v>3</v>
      </c>
      <c r="AC941">
        <v>10</v>
      </c>
      <c r="AD941">
        <v>4</v>
      </c>
      <c r="AE941">
        <v>1</v>
      </c>
      <c r="AF941">
        <v>1</v>
      </c>
      <c r="AG941" t="s">
        <v>65</v>
      </c>
      <c r="AH941">
        <v>1</v>
      </c>
      <c r="AI941" t="s">
        <v>69</v>
      </c>
      <c r="AJ941" s="3" t="s">
        <v>84</v>
      </c>
      <c r="AK941" s="3">
        <v>0</v>
      </c>
      <c r="AL941" s="3" t="s">
        <v>83</v>
      </c>
    </row>
    <row r="942" spans="1:38" x14ac:dyDescent="0.3">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v>3904</v>
      </c>
      <c r="S942">
        <v>22154</v>
      </c>
      <c r="T942">
        <v>0</v>
      </c>
      <c r="U942" t="s">
        <v>43</v>
      </c>
      <c r="V942">
        <v>13</v>
      </c>
      <c r="W942">
        <v>3</v>
      </c>
      <c r="X942">
        <v>1</v>
      </c>
      <c r="Y942">
        <v>0</v>
      </c>
      <c r="Z942">
        <v>6</v>
      </c>
      <c r="AA942">
        <v>2</v>
      </c>
      <c r="AB942">
        <v>3</v>
      </c>
      <c r="AC942">
        <v>5</v>
      </c>
      <c r="AD942">
        <v>2</v>
      </c>
      <c r="AE942">
        <v>0</v>
      </c>
      <c r="AF942">
        <v>3</v>
      </c>
      <c r="AG942" t="s">
        <v>68</v>
      </c>
      <c r="AH942">
        <v>1</v>
      </c>
      <c r="AI942" t="s">
        <v>71</v>
      </c>
      <c r="AJ942" s="3" t="s">
        <v>83</v>
      </c>
      <c r="AK942" s="3">
        <v>1</v>
      </c>
      <c r="AL942" s="3" t="s">
        <v>83</v>
      </c>
    </row>
    <row r="943" spans="1:38" x14ac:dyDescent="0.3">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v>4627</v>
      </c>
      <c r="S943">
        <v>23631</v>
      </c>
      <c r="T943">
        <v>0</v>
      </c>
      <c r="U943" t="s">
        <v>43</v>
      </c>
      <c r="V943">
        <v>12</v>
      </c>
      <c r="W943">
        <v>3</v>
      </c>
      <c r="X943">
        <v>1</v>
      </c>
      <c r="Y943">
        <v>1</v>
      </c>
      <c r="Z943">
        <v>10</v>
      </c>
      <c r="AA943">
        <v>6</v>
      </c>
      <c r="AB943">
        <v>3</v>
      </c>
      <c r="AC943">
        <v>9</v>
      </c>
      <c r="AD943">
        <v>2</v>
      </c>
      <c r="AE943">
        <v>6</v>
      </c>
      <c r="AF943">
        <v>7</v>
      </c>
      <c r="AG943" t="s">
        <v>65</v>
      </c>
      <c r="AH943">
        <v>0</v>
      </c>
      <c r="AI943" t="s">
        <v>71</v>
      </c>
      <c r="AJ943" s="3" t="s">
        <v>82</v>
      </c>
      <c r="AK943" s="3">
        <v>0</v>
      </c>
      <c r="AL943" s="3" t="s">
        <v>83</v>
      </c>
    </row>
    <row r="944" spans="1:38" x14ac:dyDescent="0.3">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v>7094</v>
      </c>
      <c r="S944">
        <v>5747</v>
      </c>
      <c r="T944">
        <v>3</v>
      </c>
      <c r="U944" t="s">
        <v>43</v>
      </c>
      <c r="V944">
        <v>12</v>
      </c>
      <c r="W944">
        <v>3</v>
      </c>
      <c r="X944">
        <v>1</v>
      </c>
      <c r="Y944">
        <v>0</v>
      </c>
      <c r="Z944">
        <v>10</v>
      </c>
      <c r="AA944">
        <v>0</v>
      </c>
      <c r="AB944">
        <v>3</v>
      </c>
      <c r="AC944">
        <v>7</v>
      </c>
      <c r="AD944">
        <v>7</v>
      </c>
      <c r="AE944">
        <v>1</v>
      </c>
      <c r="AF944">
        <v>7</v>
      </c>
      <c r="AG944" t="s">
        <v>65</v>
      </c>
      <c r="AH944">
        <v>0</v>
      </c>
      <c r="AI944" t="s">
        <v>71</v>
      </c>
      <c r="AJ944" s="3" t="s">
        <v>84</v>
      </c>
      <c r="AK944" s="3">
        <v>0</v>
      </c>
      <c r="AL944" s="3" t="s">
        <v>83</v>
      </c>
    </row>
    <row r="945" spans="1:38" x14ac:dyDescent="0.3">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v>3423</v>
      </c>
      <c r="S945">
        <v>22957</v>
      </c>
      <c r="T945">
        <v>6</v>
      </c>
      <c r="U945" t="s">
        <v>43</v>
      </c>
      <c r="V945">
        <v>12</v>
      </c>
      <c r="W945">
        <v>3</v>
      </c>
      <c r="X945">
        <v>3</v>
      </c>
      <c r="Y945">
        <v>0</v>
      </c>
      <c r="Z945">
        <v>10</v>
      </c>
      <c r="AA945">
        <v>3</v>
      </c>
      <c r="AB945">
        <v>4</v>
      </c>
      <c r="AC945">
        <v>7</v>
      </c>
      <c r="AD945">
        <v>6</v>
      </c>
      <c r="AE945">
        <v>5</v>
      </c>
      <c r="AF945">
        <v>7</v>
      </c>
      <c r="AG945" t="s">
        <v>65</v>
      </c>
      <c r="AH945">
        <v>0</v>
      </c>
      <c r="AI945" t="s">
        <v>71</v>
      </c>
      <c r="AJ945" s="3" t="s">
        <v>83</v>
      </c>
      <c r="AK945" s="3">
        <v>1</v>
      </c>
      <c r="AL945" s="3" t="s">
        <v>83</v>
      </c>
    </row>
    <row r="946" spans="1:38" x14ac:dyDescent="0.3">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v>6674</v>
      </c>
      <c r="S946">
        <v>16392</v>
      </c>
      <c r="T946">
        <v>0</v>
      </c>
      <c r="U946" t="s">
        <v>43</v>
      </c>
      <c r="V946">
        <v>11</v>
      </c>
      <c r="W946">
        <v>3</v>
      </c>
      <c r="X946">
        <v>1</v>
      </c>
      <c r="Y946">
        <v>3</v>
      </c>
      <c r="Z946">
        <v>10</v>
      </c>
      <c r="AA946">
        <v>6</v>
      </c>
      <c r="AB946">
        <v>3</v>
      </c>
      <c r="AC946">
        <v>9</v>
      </c>
      <c r="AD946">
        <v>8</v>
      </c>
      <c r="AE946">
        <v>7</v>
      </c>
      <c r="AF946">
        <v>5</v>
      </c>
      <c r="AG946" t="s">
        <v>65</v>
      </c>
      <c r="AH946">
        <v>0</v>
      </c>
      <c r="AI946" t="s">
        <v>70</v>
      </c>
      <c r="AJ946" s="3" t="s">
        <v>82</v>
      </c>
      <c r="AK946" s="3">
        <v>0</v>
      </c>
      <c r="AL946" s="3" t="s">
        <v>83</v>
      </c>
    </row>
    <row r="947" spans="1:38" x14ac:dyDescent="0.3">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v>16880</v>
      </c>
      <c r="S947">
        <v>22422</v>
      </c>
      <c r="T947">
        <v>4</v>
      </c>
      <c r="U947" t="s">
        <v>35</v>
      </c>
      <c r="V947">
        <v>11</v>
      </c>
      <c r="W947">
        <v>3</v>
      </c>
      <c r="X947">
        <v>2</v>
      </c>
      <c r="Y947">
        <v>0</v>
      </c>
      <c r="Z947">
        <v>25</v>
      </c>
      <c r="AA947">
        <v>2</v>
      </c>
      <c r="AB947">
        <v>3</v>
      </c>
      <c r="AC947">
        <v>3</v>
      </c>
      <c r="AD947">
        <v>2</v>
      </c>
      <c r="AE947">
        <v>1</v>
      </c>
      <c r="AF947">
        <v>2</v>
      </c>
      <c r="AG947" t="s">
        <v>67</v>
      </c>
      <c r="AH947">
        <v>0</v>
      </c>
      <c r="AI947" t="s">
        <v>72</v>
      </c>
      <c r="AJ947" s="3" t="s">
        <v>83</v>
      </c>
      <c r="AK947" s="3">
        <v>3</v>
      </c>
      <c r="AL947" s="3" t="s">
        <v>82</v>
      </c>
    </row>
    <row r="948" spans="1:38" x14ac:dyDescent="0.3">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v>9094</v>
      </c>
      <c r="S948">
        <v>17235</v>
      </c>
      <c r="T948">
        <v>2</v>
      </c>
      <c r="U948" t="s">
        <v>35</v>
      </c>
      <c r="V948">
        <v>12</v>
      </c>
      <c r="W948">
        <v>3</v>
      </c>
      <c r="X948">
        <v>3</v>
      </c>
      <c r="Y948">
        <v>0</v>
      </c>
      <c r="Z948">
        <v>9</v>
      </c>
      <c r="AA948">
        <v>2</v>
      </c>
      <c r="AB948">
        <v>3</v>
      </c>
      <c r="AC948">
        <v>5</v>
      </c>
      <c r="AD948">
        <v>4</v>
      </c>
      <c r="AE948">
        <v>1</v>
      </c>
      <c r="AF948">
        <v>0</v>
      </c>
      <c r="AG948" t="s">
        <v>68</v>
      </c>
      <c r="AH948">
        <v>1</v>
      </c>
      <c r="AI948" t="s">
        <v>69</v>
      </c>
      <c r="AJ948" s="3" t="s">
        <v>83</v>
      </c>
      <c r="AK948" s="3">
        <v>2</v>
      </c>
      <c r="AL948" s="3" t="s">
        <v>84</v>
      </c>
    </row>
    <row r="949" spans="1:38" x14ac:dyDescent="0.3">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v>8446</v>
      </c>
      <c r="S949">
        <v>21534</v>
      </c>
      <c r="T949">
        <v>9</v>
      </c>
      <c r="U949" t="s">
        <v>35</v>
      </c>
      <c r="V949">
        <v>19</v>
      </c>
      <c r="W949">
        <v>3</v>
      </c>
      <c r="X949">
        <v>3</v>
      </c>
      <c r="Y949">
        <v>0</v>
      </c>
      <c r="Z949">
        <v>10</v>
      </c>
      <c r="AA949">
        <v>2</v>
      </c>
      <c r="AB949">
        <v>2</v>
      </c>
      <c r="AC949">
        <v>8</v>
      </c>
      <c r="AD949">
        <v>7</v>
      </c>
      <c r="AE949">
        <v>7</v>
      </c>
      <c r="AF949">
        <v>7</v>
      </c>
      <c r="AG949" t="s">
        <v>65</v>
      </c>
      <c r="AH949">
        <v>1</v>
      </c>
      <c r="AI949" t="s">
        <v>70</v>
      </c>
      <c r="AJ949" s="3" t="s">
        <v>83</v>
      </c>
      <c r="AK949" s="3">
        <v>2</v>
      </c>
      <c r="AL949" s="3" t="s">
        <v>84</v>
      </c>
    </row>
    <row r="950" spans="1:38" x14ac:dyDescent="0.3">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v>11916</v>
      </c>
      <c r="S950">
        <v>25927</v>
      </c>
      <c r="T950">
        <v>1</v>
      </c>
      <c r="U950" t="s">
        <v>35</v>
      </c>
      <c r="V950">
        <v>23</v>
      </c>
      <c r="W950">
        <v>4</v>
      </c>
      <c r="X950">
        <v>4</v>
      </c>
      <c r="Y950">
        <v>2</v>
      </c>
      <c r="Z950">
        <v>9</v>
      </c>
      <c r="AA950">
        <v>2</v>
      </c>
      <c r="AB950">
        <v>3</v>
      </c>
      <c r="AC950">
        <v>9</v>
      </c>
      <c r="AD950">
        <v>1</v>
      </c>
      <c r="AE950">
        <v>0</v>
      </c>
      <c r="AF950">
        <v>8</v>
      </c>
      <c r="AG950" t="s">
        <v>65</v>
      </c>
      <c r="AH950">
        <v>0</v>
      </c>
      <c r="AI950" t="s">
        <v>69</v>
      </c>
      <c r="AJ950" s="3" t="s">
        <v>83</v>
      </c>
      <c r="AK950" s="3">
        <v>2</v>
      </c>
      <c r="AL950" s="3" t="s">
        <v>84</v>
      </c>
    </row>
    <row r="951" spans="1:38" x14ac:dyDescent="0.3">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v>4534</v>
      </c>
      <c r="S951">
        <v>13352</v>
      </c>
      <c r="T951">
        <v>0</v>
      </c>
      <c r="U951" t="s">
        <v>43</v>
      </c>
      <c r="V951">
        <v>11</v>
      </c>
      <c r="W951">
        <v>3</v>
      </c>
      <c r="X951">
        <v>1</v>
      </c>
      <c r="Y951">
        <v>0</v>
      </c>
      <c r="Z951">
        <v>9</v>
      </c>
      <c r="AA951">
        <v>6</v>
      </c>
      <c r="AB951">
        <v>3</v>
      </c>
      <c r="AC951">
        <v>8</v>
      </c>
      <c r="AD951">
        <v>7</v>
      </c>
      <c r="AE951">
        <v>1</v>
      </c>
      <c r="AF951">
        <v>7</v>
      </c>
      <c r="AG951" t="s">
        <v>65</v>
      </c>
      <c r="AH951">
        <v>0</v>
      </c>
      <c r="AI951" t="s">
        <v>71</v>
      </c>
      <c r="AJ951" s="3" t="s">
        <v>84</v>
      </c>
      <c r="AK951" s="3">
        <v>0</v>
      </c>
      <c r="AL951" s="3" t="s">
        <v>83</v>
      </c>
    </row>
    <row r="952" spans="1:38" x14ac:dyDescent="0.3">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v>9852</v>
      </c>
      <c r="S952">
        <v>8935</v>
      </c>
      <c r="T952">
        <v>1</v>
      </c>
      <c r="U952" t="s">
        <v>35</v>
      </c>
      <c r="V952">
        <v>19</v>
      </c>
      <c r="W952">
        <v>3</v>
      </c>
      <c r="X952">
        <v>1</v>
      </c>
      <c r="Y952">
        <v>1</v>
      </c>
      <c r="Z952">
        <v>10</v>
      </c>
      <c r="AA952">
        <v>5</v>
      </c>
      <c r="AB952">
        <v>2</v>
      </c>
      <c r="AC952">
        <v>10</v>
      </c>
      <c r="AD952">
        <v>8</v>
      </c>
      <c r="AE952">
        <v>9</v>
      </c>
      <c r="AF952">
        <v>6</v>
      </c>
      <c r="AG952" t="s">
        <v>65</v>
      </c>
      <c r="AH952">
        <v>0</v>
      </c>
      <c r="AI952" t="s">
        <v>71</v>
      </c>
      <c r="AJ952" s="3" t="s">
        <v>84</v>
      </c>
      <c r="AK952" s="3">
        <v>1</v>
      </c>
      <c r="AL952" s="3" t="s">
        <v>83</v>
      </c>
    </row>
    <row r="953" spans="1:38" x14ac:dyDescent="0.3">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v>6151</v>
      </c>
      <c r="S953">
        <v>22074</v>
      </c>
      <c r="T953">
        <v>1</v>
      </c>
      <c r="U953" t="s">
        <v>43</v>
      </c>
      <c r="V953">
        <v>13</v>
      </c>
      <c r="W953">
        <v>3</v>
      </c>
      <c r="X953">
        <v>1</v>
      </c>
      <c r="Y953">
        <v>0</v>
      </c>
      <c r="Z953">
        <v>19</v>
      </c>
      <c r="AA953">
        <v>4</v>
      </c>
      <c r="AB953">
        <v>3</v>
      </c>
      <c r="AC953">
        <v>19</v>
      </c>
      <c r="AD953">
        <v>2</v>
      </c>
      <c r="AE953">
        <v>11</v>
      </c>
      <c r="AF953">
        <v>9</v>
      </c>
      <c r="AG953" t="s">
        <v>65</v>
      </c>
      <c r="AH953">
        <v>0</v>
      </c>
      <c r="AI953" t="s">
        <v>71</v>
      </c>
      <c r="AJ953" s="3" t="s">
        <v>83</v>
      </c>
      <c r="AK953" s="3">
        <v>1</v>
      </c>
      <c r="AL953" s="3" t="s">
        <v>83</v>
      </c>
    </row>
    <row r="954" spans="1:38" x14ac:dyDescent="0.3">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v>2302</v>
      </c>
      <c r="S954">
        <v>8319</v>
      </c>
      <c r="T954">
        <v>1</v>
      </c>
      <c r="U954" t="s">
        <v>35</v>
      </c>
      <c r="V954">
        <v>11</v>
      </c>
      <c r="W954">
        <v>3</v>
      </c>
      <c r="X954">
        <v>1</v>
      </c>
      <c r="Y954">
        <v>0</v>
      </c>
      <c r="Z954">
        <v>3</v>
      </c>
      <c r="AA954">
        <v>2</v>
      </c>
      <c r="AB954">
        <v>4</v>
      </c>
      <c r="AC954">
        <v>3</v>
      </c>
      <c r="AD954">
        <v>2</v>
      </c>
      <c r="AE954">
        <v>2</v>
      </c>
      <c r="AF954">
        <v>2</v>
      </c>
      <c r="AG954" t="s">
        <v>67</v>
      </c>
      <c r="AH954">
        <v>1</v>
      </c>
      <c r="AI954" t="s">
        <v>70</v>
      </c>
      <c r="AJ954" s="3" t="s">
        <v>83</v>
      </c>
      <c r="AK954" s="3">
        <v>3</v>
      </c>
      <c r="AL954" s="3" t="s">
        <v>82</v>
      </c>
    </row>
    <row r="955" spans="1:38" x14ac:dyDescent="0.3">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v>2362</v>
      </c>
      <c r="S955">
        <v>14669</v>
      </c>
      <c r="T955">
        <v>4</v>
      </c>
      <c r="U955" t="s">
        <v>43</v>
      </c>
      <c r="V955">
        <v>12</v>
      </c>
      <c r="W955">
        <v>3</v>
      </c>
      <c r="X955">
        <v>3</v>
      </c>
      <c r="Y955">
        <v>0</v>
      </c>
      <c r="Z955">
        <v>10</v>
      </c>
      <c r="AA955">
        <v>4</v>
      </c>
      <c r="AB955">
        <v>4</v>
      </c>
      <c r="AC955">
        <v>3</v>
      </c>
      <c r="AD955">
        <v>2</v>
      </c>
      <c r="AE955">
        <v>1</v>
      </c>
      <c r="AF955">
        <v>2</v>
      </c>
      <c r="AG955" t="s">
        <v>67</v>
      </c>
      <c r="AH955">
        <v>1</v>
      </c>
      <c r="AI955" t="s">
        <v>71</v>
      </c>
      <c r="AJ955" s="3" t="s">
        <v>83</v>
      </c>
      <c r="AK955" s="3">
        <v>2</v>
      </c>
      <c r="AL955" s="3" t="s">
        <v>84</v>
      </c>
    </row>
    <row r="956" spans="1:38" x14ac:dyDescent="0.3">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v>17861</v>
      </c>
      <c r="S956">
        <v>26582</v>
      </c>
      <c r="T956">
        <v>0</v>
      </c>
      <c r="U956" t="s">
        <v>35</v>
      </c>
      <c r="V956">
        <v>13</v>
      </c>
      <c r="W956">
        <v>3</v>
      </c>
      <c r="X956">
        <v>4</v>
      </c>
      <c r="Y956">
        <v>0</v>
      </c>
      <c r="Z956">
        <v>21</v>
      </c>
      <c r="AA956">
        <v>3</v>
      </c>
      <c r="AB956">
        <v>2</v>
      </c>
      <c r="AC956">
        <v>20</v>
      </c>
      <c r="AD956">
        <v>8</v>
      </c>
      <c r="AE956">
        <v>2</v>
      </c>
      <c r="AF956">
        <v>10</v>
      </c>
      <c r="AG956" t="s">
        <v>65</v>
      </c>
      <c r="AH956">
        <v>0</v>
      </c>
      <c r="AI956" t="s">
        <v>70</v>
      </c>
      <c r="AJ956" s="3" t="s">
        <v>84</v>
      </c>
      <c r="AK956" s="3">
        <v>1</v>
      </c>
      <c r="AL956" s="3" t="s">
        <v>83</v>
      </c>
    </row>
    <row r="957" spans="1:38" x14ac:dyDescent="0.3">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v>19187</v>
      </c>
      <c r="S957">
        <v>6992</v>
      </c>
      <c r="T957">
        <v>4</v>
      </c>
      <c r="U957" t="s">
        <v>43</v>
      </c>
      <c r="V957">
        <v>14</v>
      </c>
      <c r="W957">
        <v>3</v>
      </c>
      <c r="X957">
        <v>4</v>
      </c>
      <c r="Y957">
        <v>1</v>
      </c>
      <c r="Z957">
        <v>23</v>
      </c>
      <c r="AA957">
        <v>5</v>
      </c>
      <c r="AB957">
        <v>3</v>
      </c>
      <c r="AC957">
        <v>19</v>
      </c>
      <c r="AD957">
        <v>9</v>
      </c>
      <c r="AE957">
        <v>9</v>
      </c>
      <c r="AF957">
        <v>11</v>
      </c>
      <c r="AG957" t="s">
        <v>65</v>
      </c>
      <c r="AH957">
        <v>0</v>
      </c>
      <c r="AI957" t="s">
        <v>70</v>
      </c>
      <c r="AJ957" s="3" t="s">
        <v>84</v>
      </c>
      <c r="AK957" s="3">
        <v>0</v>
      </c>
      <c r="AL957" s="3" t="s">
        <v>83</v>
      </c>
    </row>
    <row r="958" spans="1:38" x14ac:dyDescent="0.3">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v>19717</v>
      </c>
      <c r="S958">
        <v>4022</v>
      </c>
      <c r="T958">
        <v>6</v>
      </c>
      <c r="U958" t="s">
        <v>43</v>
      </c>
      <c r="V958">
        <v>14</v>
      </c>
      <c r="W958">
        <v>3</v>
      </c>
      <c r="X958">
        <v>1</v>
      </c>
      <c r="Y958">
        <v>0</v>
      </c>
      <c r="Z958">
        <v>36</v>
      </c>
      <c r="AA958">
        <v>4</v>
      </c>
      <c r="AB958">
        <v>3</v>
      </c>
      <c r="AC958">
        <v>7</v>
      </c>
      <c r="AD958">
        <v>3</v>
      </c>
      <c r="AE958">
        <v>7</v>
      </c>
      <c r="AF958">
        <v>7</v>
      </c>
      <c r="AG958" t="s">
        <v>65</v>
      </c>
      <c r="AH958">
        <v>0</v>
      </c>
      <c r="AI958" t="s">
        <v>69</v>
      </c>
      <c r="AJ958" s="3" t="s">
        <v>83</v>
      </c>
      <c r="AK958" s="3">
        <v>1</v>
      </c>
      <c r="AL958" s="3" t="s">
        <v>83</v>
      </c>
    </row>
    <row r="959" spans="1:38" x14ac:dyDescent="0.3">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v>3544</v>
      </c>
      <c r="S959">
        <v>8532</v>
      </c>
      <c r="T959">
        <v>9</v>
      </c>
      <c r="U959" t="s">
        <v>43</v>
      </c>
      <c r="V959">
        <v>16</v>
      </c>
      <c r="W959">
        <v>3</v>
      </c>
      <c r="X959">
        <v>2</v>
      </c>
      <c r="Y959">
        <v>1</v>
      </c>
      <c r="Z959">
        <v>6</v>
      </c>
      <c r="AA959">
        <v>0</v>
      </c>
      <c r="AB959">
        <v>3</v>
      </c>
      <c r="AC959">
        <v>4</v>
      </c>
      <c r="AD959">
        <v>2</v>
      </c>
      <c r="AE959">
        <v>0</v>
      </c>
      <c r="AF959">
        <v>0</v>
      </c>
      <c r="AG959" t="s">
        <v>68</v>
      </c>
      <c r="AH959">
        <v>0</v>
      </c>
      <c r="AI959" t="s">
        <v>69</v>
      </c>
      <c r="AJ959" s="3" t="s">
        <v>84</v>
      </c>
      <c r="AK959" s="3">
        <v>0</v>
      </c>
      <c r="AL959" s="3" t="s">
        <v>83</v>
      </c>
    </row>
    <row r="960" spans="1:38" x14ac:dyDescent="0.3">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v>8500</v>
      </c>
      <c r="S960">
        <v>5494</v>
      </c>
      <c r="T960">
        <v>0</v>
      </c>
      <c r="U960" t="s">
        <v>43</v>
      </c>
      <c r="V960">
        <v>11</v>
      </c>
      <c r="W960">
        <v>3</v>
      </c>
      <c r="X960">
        <v>4</v>
      </c>
      <c r="Y960">
        <v>1</v>
      </c>
      <c r="Z960">
        <v>10</v>
      </c>
      <c r="AA960">
        <v>0</v>
      </c>
      <c r="AB960">
        <v>2</v>
      </c>
      <c r="AC960">
        <v>9</v>
      </c>
      <c r="AD960">
        <v>7</v>
      </c>
      <c r="AE960">
        <v>1</v>
      </c>
      <c r="AF960">
        <v>6</v>
      </c>
      <c r="AG960" t="s">
        <v>65</v>
      </c>
      <c r="AH960">
        <v>0</v>
      </c>
      <c r="AI960" t="s">
        <v>70</v>
      </c>
      <c r="AJ960" s="3" t="s">
        <v>82</v>
      </c>
      <c r="AK960" s="3">
        <v>0</v>
      </c>
      <c r="AL960" s="3" t="s">
        <v>83</v>
      </c>
    </row>
    <row r="961" spans="1:38" x14ac:dyDescent="0.3">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v>4661</v>
      </c>
      <c r="S961">
        <v>22455</v>
      </c>
      <c r="T961">
        <v>1</v>
      </c>
      <c r="U961" t="s">
        <v>43</v>
      </c>
      <c r="V961">
        <v>13</v>
      </c>
      <c r="W961">
        <v>3</v>
      </c>
      <c r="X961">
        <v>3</v>
      </c>
      <c r="Y961">
        <v>0</v>
      </c>
      <c r="Z961">
        <v>9</v>
      </c>
      <c r="AA961">
        <v>4</v>
      </c>
      <c r="AB961">
        <v>3</v>
      </c>
      <c r="AC961">
        <v>9</v>
      </c>
      <c r="AD961">
        <v>8</v>
      </c>
      <c r="AE961">
        <v>8</v>
      </c>
      <c r="AF961">
        <v>8</v>
      </c>
      <c r="AG961" t="s">
        <v>65</v>
      </c>
      <c r="AH961">
        <v>0</v>
      </c>
      <c r="AI961" t="s">
        <v>71</v>
      </c>
      <c r="AJ961" s="3" t="s">
        <v>82</v>
      </c>
      <c r="AK961" s="3">
        <v>0</v>
      </c>
      <c r="AL961" s="3" t="s">
        <v>83</v>
      </c>
    </row>
    <row r="962" spans="1:38" x14ac:dyDescent="0.3">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v>4103</v>
      </c>
      <c r="S962">
        <v>4297</v>
      </c>
      <c r="T962">
        <v>0</v>
      </c>
      <c r="U962" t="s">
        <v>43</v>
      </c>
      <c r="V962">
        <v>17</v>
      </c>
      <c r="W962">
        <v>3</v>
      </c>
      <c r="X962">
        <v>4</v>
      </c>
      <c r="Y962">
        <v>1</v>
      </c>
      <c r="Z962">
        <v>10</v>
      </c>
      <c r="AA962">
        <v>2</v>
      </c>
      <c r="AB962">
        <v>3</v>
      </c>
      <c r="AC962">
        <v>9</v>
      </c>
      <c r="AD962">
        <v>3</v>
      </c>
      <c r="AE962">
        <v>1</v>
      </c>
      <c r="AF962">
        <v>7</v>
      </c>
      <c r="AG962" t="s">
        <v>65</v>
      </c>
      <c r="AH962">
        <v>0</v>
      </c>
      <c r="AI962" t="s">
        <v>70</v>
      </c>
      <c r="AJ962" s="3" t="s">
        <v>83</v>
      </c>
      <c r="AK962" s="3">
        <v>1</v>
      </c>
      <c r="AL962" s="3" t="s">
        <v>83</v>
      </c>
    </row>
    <row r="963" spans="1:38" x14ac:dyDescent="0.3">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v>4249</v>
      </c>
      <c r="S963">
        <v>2690</v>
      </c>
      <c r="T963">
        <v>1</v>
      </c>
      <c r="U963" t="s">
        <v>35</v>
      </c>
      <c r="V963">
        <v>11</v>
      </c>
      <c r="W963">
        <v>3</v>
      </c>
      <c r="X963">
        <v>2</v>
      </c>
      <c r="Y963">
        <v>0</v>
      </c>
      <c r="Z963">
        <v>9</v>
      </c>
      <c r="AA963">
        <v>3</v>
      </c>
      <c r="AB963">
        <v>3</v>
      </c>
      <c r="AC963">
        <v>9</v>
      </c>
      <c r="AD963">
        <v>6</v>
      </c>
      <c r="AE963">
        <v>1</v>
      </c>
      <c r="AF963">
        <v>1</v>
      </c>
      <c r="AG963" t="s">
        <v>65</v>
      </c>
      <c r="AH963">
        <v>0</v>
      </c>
      <c r="AI963" t="s">
        <v>70</v>
      </c>
      <c r="AJ963" s="3" t="s">
        <v>84</v>
      </c>
      <c r="AK963" s="3">
        <v>1</v>
      </c>
      <c r="AL963" s="3" t="s">
        <v>83</v>
      </c>
    </row>
    <row r="964" spans="1:38" x14ac:dyDescent="0.3">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v>14026</v>
      </c>
      <c r="S964">
        <v>17588</v>
      </c>
      <c r="T964">
        <v>1</v>
      </c>
      <c r="U964" t="s">
        <v>35</v>
      </c>
      <c r="V964">
        <v>11</v>
      </c>
      <c r="W964">
        <v>3</v>
      </c>
      <c r="X964">
        <v>2</v>
      </c>
      <c r="Y964">
        <v>1</v>
      </c>
      <c r="Z964">
        <v>33</v>
      </c>
      <c r="AA964">
        <v>2</v>
      </c>
      <c r="AB964">
        <v>3</v>
      </c>
      <c r="AC964">
        <v>33</v>
      </c>
      <c r="AD964">
        <v>9</v>
      </c>
      <c r="AE964">
        <v>0</v>
      </c>
      <c r="AF964">
        <v>10</v>
      </c>
      <c r="AG964" t="s">
        <v>65</v>
      </c>
      <c r="AH964">
        <v>0</v>
      </c>
      <c r="AI964" t="s">
        <v>71</v>
      </c>
      <c r="AJ964" s="3" t="s">
        <v>83</v>
      </c>
      <c r="AK964" s="3">
        <v>2</v>
      </c>
      <c r="AL964" s="3" t="s">
        <v>84</v>
      </c>
    </row>
    <row r="965" spans="1:38" x14ac:dyDescent="0.3">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v>6893</v>
      </c>
      <c r="S965">
        <v>19461</v>
      </c>
      <c r="T965">
        <v>3</v>
      </c>
      <c r="U965" t="s">
        <v>43</v>
      </c>
      <c r="V965">
        <v>15</v>
      </c>
      <c r="W965">
        <v>3</v>
      </c>
      <c r="X965">
        <v>4</v>
      </c>
      <c r="Y965">
        <v>1</v>
      </c>
      <c r="Z965">
        <v>11</v>
      </c>
      <c r="AA965">
        <v>3</v>
      </c>
      <c r="AB965">
        <v>3</v>
      </c>
      <c r="AC965">
        <v>7</v>
      </c>
      <c r="AD965">
        <v>7</v>
      </c>
      <c r="AE965">
        <v>1</v>
      </c>
      <c r="AF965">
        <v>7</v>
      </c>
      <c r="AG965" t="s">
        <v>65</v>
      </c>
      <c r="AH965">
        <v>0</v>
      </c>
      <c r="AI965" t="s">
        <v>69</v>
      </c>
      <c r="AJ965" s="3" t="s">
        <v>83</v>
      </c>
      <c r="AK965" s="3">
        <v>1</v>
      </c>
      <c r="AL965" s="3" t="s">
        <v>83</v>
      </c>
    </row>
    <row r="966" spans="1:38" x14ac:dyDescent="0.3">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v>6125</v>
      </c>
      <c r="S966">
        <v>23553</v>
      </c>
      <c r="T966">
        <v>1</v>
      </c>
      <c r="U966" t="s">
        <v>43</v>
      </c>
      <c r="V966">
        <v>12</v>
      </c>
      <c r="W966">
        <v>3</v>
      </c>
      <c r="X966">
        <v>4</v>
      </c>
      <c r="Y966">
        <v>0</v>
      </c>
      <c r="Z966">
        <v>10</v>
      </c>
      <c r="AA966">
        <v>6</v>
      </c>
      <c r="AB966">
        <v>4</v>
      </c>
      <c r="AC966">
        <v>10</v>
      </c>
      <c r="AD966">
        <v>8</v>
      </c>
      <c r="AE966">
        <v>9</v>
      </c>
      <c r="AF966">
        <v>6</v>
      </c>
      <c r="AG966" t="s">
        <v>65</v>
      </c>
      <c r="AH966">
        <v>0</v>
      </c>
      <c r="AI966" t="s">
        <v>71</v>
      </c>
      <c r="AJ966" s="3" t="s">
        <v>83</v>
      </c>
      <c r="AK966" s="3">
        <v>1</v>
      </c>
      <c r="AL966" s="3" t="s">
        <v>83</v>
      </c>
    </row>
    <row r="967" spans="1:38" x14ac:dyDescent="0.3">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v>3669</v>
      </c>
      <c r="S967">
        <v>9075</v>
      </c>
      <c r="T967">
        <v>3</v>
      </c>
      <c r="U967" t="s">
        <v>43</v>
      </c>
      <c r="V967">
        <v>11</v>
      </c>
      <c r="W967">
        <v>3</v>
      </c>
      <c r="X967">
        <v>3</v>
      </c>
      <c r="Y967">
        <v>3</v>
      </c>
      <c r="Z967">
        <v>7</v>
      </c>
      <c r="AA967">
        <v>6</v>
      </c>
      <c r="AB967">
        <v>2</v>
      </c>
      <c r="AC967">
        <v>3</v>
      </c>
      <c r="AD967">
        <v>2</v>
      </c>
      <c r="AE967">
        <v>1</v>
      </c>
      <c r="AF967">
        <v>2</v>
      </c>
      <c r="AG967" t="s">
        <v>67</v>
      </c>
      <c r="AH967">
        <v>0</v>
      </c>
      <c r="AI967" t="s">
        <v>71</v>
      </c>
      <c r="AJ967" s="3" t="s">
        <v>82</v>
      </c>
      <c r="AK967" s="3">
        <v>1</v>
      </c>
      <c r="AL967" s="3" t="s">
        <v>83</v>
      </c>
    </row>
    <row r="968" spans="1:38" x14ac:dyDescent="0.3">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v>10008</v>
      </c>
      <c r="S968">
        <v>12023</v>
      </c>
      <c r="T968">
        <v>7</v>
      </c>
      <c r="U968" t="s">
        <v>35</v>
      </c>
      <c r="V968">
        <v>14</v>
      </c>
      <c r="W968">
        <v>3</v>
      </c>
      <c r="X968">
        <v>4</v>
      </c>
      <c r="Y968">
        <v>0</v>
      </c>
      <c r="Z968">
        <v>31</v>
      </c>
      <c r="AA968">
        <v>0</v>
      </c>
      <c r="AB968">
        <v>2</v>
      </c>
      <c r="AC968">
        <v>10</v>
      </c>
      <c r="AD968">
        <v>9</v>
      </c>
      <c r="AE968">
        <v>5</v>
      </c>
      <c r="AF968">
        <v>9</v>
      </c>
      <c r="AG968" t="s">
        <v>65</v>
      </c>
      <c r="AH968">
        <v>1</v>
      </c>
      <c r="AI968" t="s">
        <v>72</v>
      </c>
      <c r="AJ968" s="3" t="s">
        <v>83</v>
      </c>
      <c r="AK968" s="3">
        <v>2</v>
      </c>
      <c r="AL968" s="3" t="s">
        <v>84</v>
      </c>
    </row>
    <row r="969" spans="1:38" x14ac:dyDescent="0.3">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v>2387</v>
      </c>
      <c r="S969">
        <v>6762</v>
      </c>
      <c r="T969">
        <v>3</v>
      </c>
      <c r="U969" t="s">
        <v>43</v>
      </c>
      <c r="V969">
        <v>22</v>
      </c>
      <c r="W969">
        <v>4</v>
      </c>
      <c r="X969">
        <v>3</v>
      </c>
      <c r="Y969">
        <v>1</v>
      </c>
      <c r="Z969">
        <v>7</v>
      </c>
      <c r="AA969">
        <v>3</v>
      </c>
      <c r="AB969">
        <v>3</v>
      </c>
      <c r="AC969">
        <v>4</v>
      </c>
      <c r="AD969">
        <v>2</v>
      </c>
      <c r="AE969">
        <v>0</v>
      </c>
      <c r="AF969">
        <v>3</v>
      </c>
      <c r="AG969" t="s">
        <v>68</v>
      </c>
      <c r="AH969">
        <v>0</v>
      </c>
      <c r="AI969" t="s">
        <v>69</v>
      </c>
      <c r="AJ969" s="3" t="s">
        <v>83</v>
      </c>
      <c r="AK969" s="3">
        <v>1</v>
      </c>
      <c r="AL969" s="3" t="s">
        <v>83</v>
      </c>
    </row>
    <row r="970" spans="1:38" x14ac:dyDescent="0.3">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v>4639</v>
      </c>
      <c r="S970">
        <v>2261</v>
      </c>
      <c r="T970">
        <v>2</v>
      </c>
      <c r="U970" t="s">
        <v>43</v>
      </c>
      <c r="V970">
        <v>16</v>
      </c>
      <c r="W970">
        <v>3</v>
      </c>
      <c r="X970">
        <v>4</v>
      </c>
      <c r="Y970">
        <v>1</v>
      </c>
      <c r="Z970">
        <v>17</v>
      </c>
      <c r="AA970">
        <v>2</v>
      </c>
      <c r="AB970">
        <v>2</v>
      </c>
      <c r="AC970">
        <v>15</v>
      </c>
      <c r="AD970">
        <v>7</v>
      </c>
      <c r="AE970">
        <v>6</v>
      </c>
      <c r="AF970">
        <v>13</v>
      </c>
      <c r="AG970" t="s">
        <v>65</v>
      </c>
      <c r="AH970">
        <v>0</v>
      </c>
      <c r="AI970" t="s">
        <v>70</v>
      </c>
      <c r="AJ970" s="3" t="s">
        <v>83</v>
      </c>
      <c r="AK970" s="3">
        <v>1</v>
      </c>
      <c r="AL970" s="3" t="s">
        <v>83</v>
      </c>
    </row>
    <row r="971" spans="1:38" x14ac:dyDescent="0.3">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v>7898</v>
      </c>
      <c r="S971">
        <v>18706</v>
      </c>
      <c r="T971">
        <v>1</v>
      </c>
      <c r="U971" t="s">
        <v>43</v>
      </c>
      <c r="V971">
        <v>11</v>
      </c>
      <c r="W971">
        <v>3</v>
      </c>
      <c r="X971">
        <v>3</v>
      </c>
      <c r="Y971">
        <v>0</v>
      </c>
      <c r="Z971">
        <v>11</v>
      </c>
      <c r="AA971">
        <v>2</v>
      </c>
      <c r="AB971">
        <v>3</v>
      </c>
      <c r="AC971">
        <v>10</v>
      </c>
      <c r="AD971">
        <v>9</v>
      </c>
      <c r="AE971">
        <v>0</v>
      </c>
      <c r="AF971">
        <v>8</v>
      </c>
      <c r="AG971" t="s">
        <v>65</v>
      </c>
      <c r="AH971">
        <v>0</v>
      </c>
      <c r="AI971" t="s">
        <v>71</v>
      </c>
      <c r="AJ971" s="3" t="s">
        <v>82</v>
      </c>
      <c r="AK971" s="3">
        <v>0</v>
      </c>
      <c r="AL971" s="3" t="s">
        <v>83</v>
      </c>
    </row>
    <row r="972" spans="1:38" x14ac:dyDescent="0.3">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v>2534</v>
      </c>
      <c r="S972">
        <v>6527</v>
      </c>
      <c r="T972">
        <v>8</v>
      </c>
      <c r="U972" t="s">
        <v>43</v>
      </c>
      <c r="V972">
        <v>14</v>
      </c>
      <c r="W972">
        <v>3</v>
      </c>
      <c r="X972">
        <v>2</v>
      </c>
      <c r="Y972">
        <v>1</v>
      </c>
      <c r="Z972">
        <v>5</v>
      </c>
      <c r="AA972">
        <v>4</v>
      </c>
      <c r="AB972">
        <v>3</v>
      </c>
      <c r="AC972">
        <v>1</v>
      </c>
      <c r="AD972">
        <v>0</v>
      </c>
      <c r="AE972">
        <v>0</v>
      </c>
      <c r="AF972">
        <v>0</v>
      </c>
      <c r="AG972" t="s">
        <v>67</v>
      </c>
      <c r="AH972">
        <v>0</v>
      </c>
      <c r="AI972" t="s">
        <v>70</v>
      </c>
      <c r="AJ972" s="3" t="s">
        <v>82</v>
      </c>
      <c r="AK972" s="3">
        <v>1</v>
      </c>
      <c r="AL972" s="3" t="s">
        <v>83</v>
      </c>
    </row>
    <row r="973" spans="1:38" x14ac:dyDescent="0.3">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v>13142</v>
      </c>
      <c r="S973">
        <v>24439</v>
      </c>
      <c r="T973">
        <v>3</v>
      </c>
      <c r="U973" t="s">
        <v>43</v>
      </c>
      <c r="V973">
        <v>16</v>
      </c>
      <c r="W973">
        <v>3</v>
      </c>
      <c r="X973">
        <v>2</v>
      </c>
      <c r="Y973">
        <v>0</v>
      </c>
      <c r="Z973">
        <v>29</v>
      </c>
      <c r="AA973">
        <v>1</v>
      </c>
      <c r="AB973">
        <v>2</v>
      </c>
      <c r="AC973">
        <v>5</v>
      </c>
      <c r="AD973">
        <v>2</v>
      </c>
      <c r="AE973">
        <v>0</v>
      </c>
      <c r="AF973">
        <v>3</v>
      </c>
      <c r="AG973" t="s">
        <v>68</v>
      </c>
      <c r="AH973">
        <v>0</v>
      </c>
      <c r="AI973" t="s">
        <v>72</v>
      </c>
      <c r="AJ973" s="3" t="s">
        <v>83</v>
      </c>
      <c r="AK973" s="3">
        <v>1</v>
      </c>
      <c r="AL973" s="3" t="s">
        <v>83</v>
      </c>
    </row>
    <row r="974" spans="1:38" x14ac:dyDescent="0.3">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v>1611</v>
      </c>
      <c r="S974">
        <v>19305</v>
      </c>
      <c r="T974">
        <v>1</v>
      </c>
      <c r="U974" t="s">
        <v>43</v>
      </c>
      <c r="V974">
        <v>15</v>
      </c>
      <c r="W974">
        <v>3</v>
      </c>
      <c r="X974">
        <v>3</v>
      </c>
      <c r="Y974">
        <v>0</v>
      </c>
      <c r="Z974">
        <v>0</v>
      </c>
      <c r="AA974">
        <v>5</v>
      </c>
      <c r="AB974">
        <v>4</v>
      </c>
      <c r="AC974">
        <v>0</v>
      </c>
      <c r="AD974">
        <v>0</v>
      </c>
      <c r="AE974">
        <v>0</v>
      </c>
      <c r="AF974">
        <v>0</v>
      </c>
      <c r="AG974" t="s">
        <v>66</v>
      </c>
      <c r="AH974">
        <v>0</v>
      </c>
      <c r="AI974" t="s">
        <v>69</v>
      </c>
      <c r="AJ974" s="3" t="s">
        <v>82</v>
      </c>
      <c r="AK974" s="3">
        <v>1</v>
      </c>
      <c r="AL974" s="3" t="s">
        <v>83</v>
      </c>
    </row>
    <row r="975" spans="1:38" x14ac:dyDescent="0.3">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v>5363</v>
      </c>
      <c r="S975">
        <v>10846</v>
      </c>
      <c r="T975">
        <v>0</v>
      </c>
      <c r="U975" t="s">
        <v>43</v>
      </c>
      <c r="V975">
        <v>12</v>
      </c>
      <c r="W975">
        <v>3</v>
      </c>
      <c r="X975">
        <v>2</v>
      </c>
      <c r="Y975">
        <v>1</v>
      </c>
      <c r="Z975">
        <v>10</v>
      </c>
      <c r="AA975">
        <v>0</v>
      </c>
      <c r="AB975">
        <v>3</v>
      </c>
      <c r="AC975">
        <v>9</v>
      </c>
      <c r="AD975">
        <v>7</v>
      </c>
      <c r="AE975">
        <v>0</v>
      </c>
      <c r="AF975">
        <v>0</v>
      </c>
      <c r="AG975" t="s">
        <v>65</v>
      </c>
      <c r="AH975">
        <v>0</v>
      </c>
      <c r="AI975" t="s">
        <v>72</v>
      </c>
      <c r="AJ975" s="3" t="s">
        <v>82</v>
      </c>
      <c r="AK975" s="3">
        <v>0</v>
      </c>
      <c r="AL975" s="3" t="s">
        <v>83</v>
      </c>
    </row>
    <row r="976" spans="1:38" x14ac:dyDescent="0.3">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v>5071</v>
      </c>
      <c r="S976">
        <v>20392</v>
      </c>
      <c r="T976">
        <v>3</v>
      </c>
      <c r="U976" t="s">
        <v>43</v>
      </c>
      <c r="V976">
        <v>20</v>
      </c>
      <c r="W976">
        <v>4</v>
      </c>
      <c r="X976">
        <v>2</v>
      </c>
      <c r="Y976">
        <v>0</v>
      </c>
      <c r="Z976">
        <v>8</v>
      </c>
      <c r="AA976">
        <v>3</v>
      </c>
      <c r="AB976">
        <v>3</v>
      </c>
      <c r="AC976">
        <v>6</v>
      </c>
      <c r="AD976">
        <v>2</v>
      </c>
      <c r="AE976">
        <v>0</v>
      </c>
      <c r="AF976">
        <v>0</v>
      </c>
      <c r="AG976" t="s">
        <v>65</v>
      </c>
      <c r="AH976">
        <v>0</v>
      </c>
      <c r="AI976" t="s">
        <v>71</v>
      </c>
      <c r="AJ976" s="3" t="s">
        <v>82</v>
      </c>
      <c r="AK976" s="3">
        <v>0</v>
      </c>
      <c r="AL976" s="3" t="s">
        <v>83</v>
      </c>
    </row>
    <row r="977" spans="1:38" x14ac:dyDescent="0.3">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v>13695</v>
      </c>
      <c r="S977">
        <v>9277</v>
      </c>
      <c r="T977">
        <v>6</v>
      </c>
      <c r="U977" t="s">
        <v>35</v>
      </c>
      <c r="V977">
        <v>17</v>
      </c>
      <c r="W977">
        <v>3</v>
      </c>
      <c r="X977">
        <v>3</v>
      </c>
      <c r="Y977">
        <v>0</v>
      </c>
      <c r="Z977">
        <v>24</v>
      </c>
      <c r="AA977">
        <v>2</v>
      </c>
      <c r="AB977">
        <v>2</v>
      </c>
      <c r="AC977">
        <v>19</v>
      </c>
      <c r="AD977">
        <v>7</v>
      </c>
      <c r="AE977">
        <v>3</v>
      </c>
      <c r="AF977">
        <v>8</v>
      </c>
      <c r="AG977" t="s">
        <v>65</v>
      </c>
      <c r="AH977">
        <v>1</v>
      </c>
      <c r="AI977" t="s">
        <v>72</v>
      </c>
      <c r="AJ977" s="3" t="s">
        <v>84</v>
      </c>
      <c r="AK977" s="3">
        <v>1</v>
      </c>
      <c r="AL977" s="3" t="s">
        <v>83</v>
      </c>
    </row>
    <row r="978" spans="1:38" x14ac:dyDescent="0.3">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v>13402</v>
      </c>
      <c r="S978">
        <v>18235</v>
      </c>
      <c r="T978">
        <v>4</v>
      </c>
      <c r="U978" t="s">
        <v>35</v>
      </c>
      <c r="V978">
        <v>12</v>
      </c>
      <c r="W978">
        <v>3</v>
      </c>
      <c r="X978">
        <v>1</v>
      </c>
      <c r="Y978">
        <v>1</v>
      </c>
      <c r="Z978">
        <v>33</v>
      </c>
      <c r="AA978">
        <v>0</v>
      </c>
      <c r="AB978">
        <v>3</v>
      </c>
      <c r="AC978">
        <v>19</v>
      </c>
      <c r="AD978">
        <v>16</v>
      </c>
      <c r="AE978">
        <v>15</v>
      </c>
      <c r="AF978">
        <v>9</v>
      </c>
      <c r="AG978" t="s">
        <v>65</v>
      </c>
      <c r="AH978">
        <v>0</v>
      </c>
      <c r="AI978" t="s">
        <v>69</v>
      </c>
      <c r="AJ978" s="3" t="s">
        <v>83</v>
      </c>
      <c r="AK978" s="3">
        <v>2</v>
      </c>
      <c r="AL978" s="3" t="s">
        <v>84</v>
      </c>
    </row>
    <row r="979" spans="1:38" x14ac:dyDescent="0.3">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v>2029</v>
      </c>
      <c r="S979">
        <v>15891</v>
      </c>
      <c r="T979">
        <v>1</v>
      </c>
      <c r="U979" t="s">
        <v>43</v>
      </c>
      <c r="V979">
        <v>20</v>
      </c>
      <c r="W979">
        <v>4</v>
      </c>
      <c r="X979">
        <v>3</v>
      </c>
      <c r="Y979">
        <v>3</v>
      </c>
      <c r="Z979">
        <v>5</v>
      </c>
      <c r="AA979">
        <v>2</v>
      </c>
      <c r="AB979">
        <v>3</v>
      </c>
      <c r="AC979">
        <v>5</v>
      </c>
      <c r="AD979">
        <v>4</v>
      </c>
      <c r="AE979">
        <v>0</v>
      </c>
      <c r="AF979">
        <v>0</v>
      </c>
      <c r="AG979" t="s">
        <v>68</v>
      </c>
      <c r="AH979">
        <v>0</v>
      </c>
      <c r="AI979" t="s">
        <v>69</v>
      </c>
      <c r="AJ979" s="3" t="s">
        <v>84</v>
      </c>
      <c r="AK979" s="3">
        <v>0</v>
      </c>
      <c r="AL979" s="3" t="s">
        <v>83</v>
      </c>
    </row>
    <row r="980" spans="1:38" x14ac:dyDescent="0.3">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v>6377</v>
      </c>
      <c r="S980">
        <v>13888</v>
      </c>
      <c r="T980">
        <v>5</v>
      </c>
      <c r="U980" t="s">
        <v>43</v>
      </c>
      <c r="V980">
        <v>20</v>
      </c>
      <c r="W980">
        <v>4</v>
      </c>
      <c r="X980">
        <v>2</v>
      </c>
      <c r="Y980">
        <v>3</v>
      </c>
      <c r="Z980">
        <v>15</v>
      </c>
      <c r="AA980">
        <v>0</v>
      </c>
      <c r="AB980">
        <v>3</v>
      </c>
      <c r="AC980">
        <v>12</v>
      </c>
      <c r="AD980">
        <v>11</v>
      </c>
      <c r="AE980">
        <v>11</v>
      </c>
      <c r="AF980">
        <v>8</v>
      </c>
      <c r="AG980" t="s">
        <v>65</v>
      </c>
      <c r="AH980">
        <v>0</v>
      </c>
      <c r="AI980" t="s">
        <v>71</v>
      </c>
      <c r="AJ980" s="3" t="s">
        <v>84</v>
      </c>
      <c r="AK980" s="3">
        <v>0</v>
      </c>
      <c r="AL980" s="3" t="s">
        <v>83</v>
      </c>
    </row>
    <row r="981" spans="1:38" x14ac:dyDescent="0.3">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v>5429</v>
      </c>
      <c r="S981">
        <v>17491</v>
      </c>
      <c r="T981">
        <v>4</v>
      </c>
      <c r="U981" t="s">
        <v>43</v>
      </c>
      <c r="V981">
        <v>13</v>
      </c>
      <c r="W981">
        <v>3</v>
      </c>
      <c r="X981">
        <v>1</v>
      </c>
      <c r="Y981">
        <v>2</v>
      </c>
      <c r="Z981">
        <v>10</v>
      </c>
      <c r="AA981">
        <v>1</v>
      </c>
      <c r="AB981">
        <v>3</v>
      </c>
      <c r="AC981">
        <v>8</v>
      </c>
      <c r="AD981">
        <v>7</v>
      </c>
      <c r="AE981">
        <v>7</v>
      </c>
      <c r="AF981">
        <v>7</v>
      </c>
      <c r="AG981" t="s">
        <v>65</v>
      </c>
      <c r="AH981">
        <v>0</v>
      </c>
      <c r="AI981" t="s">
        <v>70</v>
      </c>
      <c r="AJ981" s="3" t="s">
        <v>84</v>
      </c>
      <c r="AK981" s="3">
        <v>0</v>
      </c>
      <c r="AL981" s="3" t="s">
        <v>83</v>
      </c>
    </row>
    <row r="982" spans="1:38" x14ac:dyDescent="0.3">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v>2785</v>
      </c>
      <c r="S982">
        <v>11882</v>
      </c>
      <c r="T982">
        <v>7</v>
      </c>
      <c r="U982" t="s">
        <v>43</v>
      </c>
      <c r="V982">
        <v>14</v>
      </c>
      <c r="W982">
        <v>3</v>
      </c>
      <c r="X982">
        <v>3</v>
      </c>
      <c r="Y982">
        <v>0</v>
      </c>
      <c r="Z982">
        <v>3</v>
      </c>
      <c r="AA982">
        <v>3</v>
      </c>
      <c r="AB982">
        <v>4</v>
      </c>
      <c r="AC982">
        <v>1</v>
      </c>
      <c r="AD982">
        <v>0</v>
      </c>
      <c r="AE982">
        <v>0</v>
      </c>
      <c r="AF982">
        <v>0</v>
      </c>
      <c r="AG982" t="s">
        <v>67</v>
      </c>
      <c r="AH982">
        <v>1</v>
      </c>
      <c r="AI982" t="s">
        <v>71</v>
      </c>
      <c r="AJ982" s="3" t="s">
        <v>82</v>
      </c>
      <c r="AK982" s="3">
        <v>1</v>
      </c>
      <c r="AL982" s="3" t="s">
        <v>83</v>
      </c>
    </row>
    <row r="983" spans="1:38" x14ac:dyDescent="0.3">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v>4614</v>
      </c>
      <c r="S983">
        <v>23288</v>
      </c>
      <c r="T983">
        <v>0</v>
      </c>
      <c r="U983" t="s">
        <v>35</v>
      </c>
      <c r="V983">
        <v>18</v>
      </c>
      <c r="W983">
        <v>3</v>
      </c>
      <c r="X983">
        <v>3</v>
      </c>
      <c r="Y983">
        <v>1</v>
      </c>
      <c r="Z983">
        <v>5</v>
      </c>
      <c r="AA983">
        <v>0</v>
      </c>
      <c r="AB983">
        <v>2</v>
      </c>
      <c r="AC983">
        <v>4</v>
      </c>
      <c r="AD983">
        <v>2</v>
      </c>
      <c r="AE983">
        <v>3</v>
      </c>
      <c r="AF983">
        <v>2</v>
      </c>
      <c r="AG983" t="s">
        <v>68</v>
      </c>
      <c r="AH983">
        <v>1</v>
      </c>
      <c r="AI983" t="s">
        <v>71</v>
      </c>
      <c r="AJ983" s="3" t="s">
        <v>84</v>
      </c>
      <c r="AK983" s="3">
        <v>1</v>
      </c>
      <c r="AL983" s="3" t="s">
        <v>83</v>
      </c>
    </row>
    <row r="984" spans="1:38" x14ac:dyDescent="0.3">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v>2610</v>
      </c>
      <c r="S984">
        <v>15748</v>
      </c>
      <c r="T984">
        <v>1</v>
      </c>
      <c r="U984" t="s">
        <v>43</v>
      </c>
      <c r="V984">
        <v>11</v>
      </c>
      <c r="W984">
        <v>3</v>
      </c>
      <c r="X984">
        <v>4</v>
      </c>
      <c r="Y984">
        <v>3</v>
      </c>
      <c r="Z984">
        <v>4</v>
      </c>
      <c r="AA984">
        <v>2</v>
      </c>
      <c r="AB984">
        <v>3</v>
      </c>
      <c r="AC984">
        <v>4</v>
      </c>
      <c r="AD984">
        <v>2</v>
      </c>
      <c r="AE984">
        <v>0</v>
      </c>
      <c r="AF984">
        <v>3</v>
      </c>
      <c r="AG984" t="s">
        <v>68</v>
      </c>
      <c r="AH984">
        <v>0</v>
      </c>
      <c r="AI984" t="s">
        <v>71</v>
      </c>
      <c r="AJ984" s="3" t="s">
        <v>84</v>
      </c>
      <c r="AK984" s="3">
        <v>0</v>
      </c>
      <c r="AL984" s="3" t="s">
        <v>83</v>
      </c>
    </row>
    <row r="985" spans="1:38" x14ac:dyDescent="0.3">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v>6687</v>
      </c>
      <c r="S985">
        <v>6163</v>
      </c>
      <c r="T985">
        <v>1</v>
      </c>
      <c r="U985" t="s">
        <v>43</v>
      </c>
      <c r="V985">
        <v>11</v>
      </c>
      <c r="W985">
        <v>3</v>
      </c>
      <c r="X985">
        <v>4</v>
      </c>
      <c r="Y985">
        <v>0</v>
      </c>
      <c r="Z985">
        <v>14</v>
      </c>
      <c r="AA985">
        <v>2</v>
      </c>
      <c r="AB985">
        <v>4</v>
      </c>
      <c r="AC985">
        <v>14</v>
      </c>
      <c r="AD985">
        <v>11</v>
      </c>
      <c r="AE985">
        <v>4</v>
      </c>
      <c r="AF985">
        <v>11</v>
      </c>
      <c r="AG985" t="s">
        <v>65</v>
      </c>
      <c r="AH985">
        <v>0</v>
      </c>
      <c r="AI985" t="s">
        <v>71</v>
      </c>
      <c r="AJ985" s="3" t="s">
        <v>82</v>
      </c>
      <c r="AK985" s="3">
        <v>0</v>
      </c>
      <c r="AL985" s="3" t="s">
        <v>83</v>
      </c>
    </row>
    <row r="986" spans="1:38" x14ac:dyDescent="0.3">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v>4724</v>
      </c>
      <c r="S986">
        <v>24232</v>
      </c>
      <c r="T986">
        <v>1</v>
      </c>
      <c r="U986" t="s">
        <v>43</v>
      </c>
      <c r="V986">
        <v>11</v>
      </c>
      <c r="W986">
        <v>3</v>
      </c>
      <c r="X986">
        <v>3</v>
      </c>
      <c r="Y986">
        <v>1</v>
      </c>
      <c r="Z986">
        <v>5</v>
      </c>
      <c r="AA986">
        <v>0</v>
      </c>
      <c r="AB986">
        <v>3</v>
      </c>
      <c r="AC986">
        <v>5</v>
      </c>
      <c r="AD986">
        <v>3</v>
      </c>
      <c r="AE986">
        <v>0</v>
      </c>
      <c r="AF986">
        <v>4</v>
      </c>
      <c r="AG986" t="s">
        <v>68</v>
      </c>
      <c r="AH986">
        <v>0</v>
      </c>
      <c r="AI986" t="s">
        <v>71</v>
      </c>
      <c r="AJ986" s="3" t="s">
        <v>83</v>
      </c>
      <c r="AK986" s="3">
        <v>1</v>
      </c>
      <c r="AL986" s="3" t="s">
        <v>83</v>
      </c>
    </row>
    <row r="987" spans="1:38" x14ac:dyDescent="0.3">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v>6179</v>
      </c>
      <c r="S987">
        <v>21057</v>
      </c>
      <c r="T987">
        <v>1</v>
      </c>
      <c r="U987" t="s">
        <v>35</v>
      </c>
      <c r="V987">
        <v>15</v>
      </c>
      <c r="W987">
        <v>3</v>
      </c>
      <c r="X987">
        <v>4</v>
      </c>
      <c r="Y987">
        <v>2</v>
      </c>
      <c r="Z987">
        <v>10</v>
      </c>
      <c r="AA987">
        <v>3</v>
      </c>
      <c r="AB987">
        <v>2</v>
      </c>
      <c r="AC987">
        <v>10</v>
      </c>
      <c r="AD987">
        <v>2</v>
      </c>
      <c r="AE987">
        <v>6</v>
      </c>
      <c r="AF987">
        <v>7</v>
      </c>
      <c r="AG987" t="s">
        <v>65</v>
      </c>
      <c r="AH987">
        <v>1</v>
      </c>
      <c r="AI987" t="s">
        <v>72</v>
      </c>
      <c r="AJ987" s="3" t="s">
        <v>84</v>
      </c>
      <c r="AK987" s="3">
        <v>1</v>
      </c>
      <c r="AL987" s="3" t="s">
        <v>83</v>
      </c>
    </row>
    <row r="988" spans="1:38" x14ac:dyDescent="0.3">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v>6120</v>
      </c>
      <c r="S988">
        <v>3567</v>
      </c>
      <c r="T988">
        <v>3</v>
      </c>
      <c r="U988" t="s">
        <v>35</v>
      </c>
      <c r="V988">
        <v>12</v>
      </c>
      <c r="W988">
        <v>3</v>
      </c>
      <c r="X988">
        <v>4</v>
      </c>
      <c r="Y988">
        <v>2</v>
      </c>
      <c r="Z988">
        <v>8</v>
      </c>
      <c r="AA988">
        <v>2</v>
      </c>
      <c r="AB988">
        <v>4</v>
      </c>
      <c r="AC988">
        <v>5</v>
      </c>
      <c r="AD988">
        <v>4</v>
      </c>
      <c r="AE988">
        <v>1</v>
      </c>
      <c r="AF988">
        <v>4</v>
      </c>
      <c r="AG988" t="s">
        <v>68</v>
      </c>
      <c r="AH988">
        <v>0</v>
      </c>
      <c r="AI988" t="s">
        <v>71</v>
      </c>
      <c r="AJ988" s="3" t="s">
        <v>82</v>
      </c>
      <c r="AK988" s="3">
        <v>1</v>
      </c>
      <c r="AL988" s="3" t="s">
        <v>83</v>
      </c>
    </row>
    <row r="989" spans="1:38" x14ac:dyDescent="0.3">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v>10596</v>
      </c>
      <c r="S989">
        <v>15395</v>
      </c>
      <c r="T989">
        <v>2</v>
      </c>
      <c r="U989" t="s">
        <v>43</v>
      </c>
      <c r="V989">
        <v>11</v>
      </c>
      <c r="W989">
        <v>3</v>
      </c>
      <c r="X989">
        <v>2</v>
      </c>
      <c r="Y989">
        <v>0</v>
      </c>
      <c r="Z989">
        <v>14</v>
      </c>
      <c r="AA989">
        <v>5</v>
      </c>
      <c r="AB989">
        <v>3</v>
      </c>
      <c r="AC989">
        <v>4</v>
      </c>
      <c r="AD989">
        <v>2</v>
      </c>
      <c r="AE989">
        <v>3</v>
      </c>
      <c r="AF989">
        <v>2</v>
      </c>
      <c r="AG989" t="s">
        <v>68</v>
      </c>
      <c r="AH989">
        <v>0</v>
      </c>
      <c r="AI989" t="s">
        <v>71</v>
      </c>
      <c r="AJ989" s="3" t="s">
        <v>83</v>
      </c>
      <c r="AK989" s="3">
        <v>1</v>
      </c>
      <c r="AL989" s="3" t="s">
        <v>83</v>
      </c>
    </row>
    <row r="990" spans="1:38" x14ac:dyDescent="0.3">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v>5467</v>
      </c>
      <c r="S990">
        <v>13953</v>
      </c>
      <c r="T990">
        <v>3</v>
      </c>
      <c r="U990" t="s">
        <v>35</v>
      </c>
      <c r="V990">
        <v>14</v>
      </c>
      <c r="W990">
        <v>3</v>
      </c>
      <c r="X990">
        <v>1</v>
      </c>
      <c r="Y990">
        <v>2</v>
      </c>
      <c r="Z990">
        <v>12</v>
      </c>
      <c r="AA990">
        <v>4</v>
      </c>
      <c r="AB990">
        <v>2</v>
      </c>
      <c r="AC990">
        <v>6</v>
      </c>
      <c r="AD990">
        <v>2</v>
      </c>
      <c r="AE990">
        <v>3</v>
      </c>
      <c r="AF990">
        <v>3</v>
      </c>
      <c r="AG990" t="s">
        <v>65</v>
      </c>
      <c r="AH990">
        <v>0</v>
      </c>
      <c r="AI990" t="s">
        <v>69</v>
      </c>
      <c r="AJ990" s="3" t="s">
        <v>82</v>
      </c>
      <c r="AK990" s="3">
        <v>1</v>
      </c>
      <c r="AL990" s="3" t="s">
        <v>83</v>
      </c>
    </row>
    <row r="991" spans="1:38" x14ac:dyDescent="0.3">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v>2996</v>
      </c>
      <c r="S991">
        <v>5182</v>
      </c>
      <c r="T991">
        <v>7</v>
      </c>
      <c r="U991" t="s">
        <v>35</v>
      </c>
      <c r="V991">
        <v>15</v>
      </c>
      <c r="W991">
        <v>3</v>
      </c>
      <c r="X991">
        <v>4</v>
      </c>
      <c r="Y991">
        <v>0</v>
      </c>
      <c r="Z991">
        <v>8</v>
      </c>
      <c r="AA991">
        <v>2</v>
      </c>
      <c r="AB991">
        <v>3</v>
      </c>
      <c r="AC991">
        <v>6</v>
      </c>
      <c r="AD991">
        <v>4</v>
      </c>
      <c r="AE991">
        <v>1</v>
      </c>
      <c r="AF991">
        <v>3</v>
      </c>
      <c r="AG991" t="s">
        <v>65</v>
      </c>
      <c r="AH991">
        <v>0</v>
      </c>
      <c r="AI991" t="s">
        <v>70</v>
      </c>
      <c r="AJ991" s="3" t="s">
        <v>84</v>
      </c>
      <c r="AK991" s="3">
        <v>1</v>
      </c>
      <c r="AL991" s="3" t="s">
        <v>83</v>
      </c>
    </row>
    <row r="992" spans="1:38" x14ac:dyDescent="0.3">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v>9998</v>
      </c>
      <c r="S992">
        <v>19293</v>
      </c>
      <c r="T992">
        <v>6</v>
      </c>
      <c r="U992" t="s">
        <v>43</v>
      </c>
      <c r="V992">
        <v>13</v>
      </c>
      <c r="W992">
        <v>3</v>
      </c>
      <c r="X992">
        <v>1</v>
      </c>
      <c r="Y992">
        <v>0</v>
      </c>
      <c r="Z992">
        <v>8</v>
      </c>
      <c r="AA992">
        <v>2</v>
      </c>
      <c r="AB992">
        <v>4</v>
      </c>
      <c r="AC992">
        <v>5</v>
      </c>
      <c r="AD992">
        <v>4</v>
      </c>
      <c r="AE992">
        <v>1</v>
      </c>
      <c r="AF992">
        <v>2</v>
      </c>
      <c r="AG992" t="s">
        <v>68</v>
      </c>
      <c r="AH992">
        <v>0</v>
      </c>
      <c r="AI992" t="s">
        <v>71</v>
      </c>
      <c r="AJ992" s="3" t="s">
        <v>82</v>
      </c>
      <c r="AK992" s="3">
        <v>0</v>
      </c>
      <c r="AL992" s="3" t="s">
        <v>83</v>
      </c>
    </row>
    <row r="993" spans="1:38" x14ac:dyDescent="0.3">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v>4078</v>
      </c>
      <c r="S993">
        <v>20497</v>
      </c>
      <c r="T993">
        <v>0</v>
      </c>
      <c r="U993" t="s">
        <v>35</v>
      </c>
      <c r="V993">
        <v>13</v>
      </c>
      <c r="W993">
        <v>3</v>
      </c>
      <c r="X993">
        <v>1</v>
      </c>
      <c r="Y993">
        <v>3</v>
      </c>
      <c r="Z993">
        <v>4</v>
      </c>
      <c r="AA993">
        <v>3</v>
      </c>
      <c r="AB993">
        <v>2</v>
      </c>
      <c r="AC993">
        <v>3</v>
      </c>
      <c r="AD993">
        <v>2</v>
      </c>
      <c r="AE993">
        <v>1</v>
      </c>
      <c r="AF993">
        <v>2</v>
      </c>
      <c r="AG993" t="s">
        <v>67</v>
      </c>
      <c r="AH993">
        <v>0</v>
      </c>
      <c r="AI993" t="s">
        <v>71</v>
      </c>
      <c r="AJ993" s="3" t="s">
        <v>83</v>
      </c>
      <c r="AK993" s="3">
        <v>3</v>
      </c>
      <c r="AL993" s="3" t="s">
        <v>82</v>
      </c>
    </row>
    <row r="994" spans="1:38" x14ac:dyDescent="0.3">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v>10920</v>
      </c>
      <c r="S994">
        <v>3449</v>
      </c>
      <c r="T994">
        <v>3</v>
      </c>
      <c r="U994" t="s">
        <v>43</v>
      </c>
      <c r="V994">
        <v>21</v>
      </c>
      <c r="W994">
        <v>4</v>
      </c>
      <c r="X994">
        <v>2</v>
      </c>
      <c r="Y994">
        <v>1</v>
      </c>
      <c r="Z994">
        <v>13</v>
      </c>
      <c r="AA994">
        <v>2</v>
      </c>
      <c r="AB994">
        <v>3</v>
      </c>
      <c r="AC994">
        <v>6</v>
      </c>
      <c r="AD994">
        <v>4</v>
      </c>
      <c r="AE994">
        <v>0</v>
      </c>
      <c r="AF994">
        <v>5</v>
      </c>
      <c r="AG994" t="s">
        <v>65</v>
      </c>
      <c r="AH994">
        <v>0</v>
      </c>
      <c r="AI994" t="s">
        <v>71</v>
      </c>
      <c r="AJ994" s="3" t="s">
        <v>84</v>
      </c>
      <c r="AK994" s="3">
        <v>0</v>
      </c>
      <c r="AL994" s="3" t="s">
        <v>83</v>
      </c>
    </row>
    <row r="995" spans="1:38" x14ac:dyDescent="0.3">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v>6232</v>
      </c>
      <c r="S995">
        <v>12477</v>
      </c>
      <c r="T995">
        <v>2</v>
      </c>
      <c r="U995" t="s">
        <v>43</v>
      </c>
      <c r="V995">
        <v>11</v>
      </c>
      <c r="W995">
        <v>3</v>
      </c>
      <c r="X995">
        <v>2</v>
      </c>
      <c r="Y995">
        <v>0</v>
      </c>
      <c r="Z995">
        <v>6</v>
      </c>
      <c r="AA995">
        <v>3</v>
      </c>
      <c r="AB995">
        <v>2</v>
      </c>
      <c r="AC995">
        <v>3</v>
      </c>
      <c r="AD995">
        <v>2</v>
      </c>
      <c r="AE995">
        <v>1</v>
      </c>
      <c r="AF995">
        <v>2</v>
      </c>
      <c r="AG995" t="s">
        <v>67</v>
      </c>
      <c r="AH995">
        <v>0</v>
      </c>
      <c r="AI995" t="s">
        <v>71</v>
      </c>
      <c r="AJ995" s="3" t="s">
        <v>84</v>
      </c>
      <c r="AK995" s="3">
        <v>1</v>
      </c>
      <c r="AL995" s="3" t="s">
        <v>83</v>
      </c>
    </row>
    <row r="996" spans="1:38" x14ac:dyDescent="0.3">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v>13247</v>
      </c>
      <c r="S996">
        <v>9731</v>
      </c>
      <c r="T996">
        <v>2</v>
      </c>
      <c r="U996" t="s">
        <v>35</v>
      </c>
      <c r="V996">
        <v>11</v>
      </c>
      <c r="W996">
        <v>3</v>
      </c>
      <c r="X996">
        <v>2</v>
      </c>
      <c r="Y996">
        <v>1</v>
      </c>
      <c r="Z996">
        <v>24</v>
      </c>
      <c r="AA996">
        <v>3</v>
      </c>
      <c r="AB996">
        <v>2</v>
      </c>
      <c r="AC996">
        <v>5</v>
      </c>
      <c r="AD996">
        <v>3</v>
      </c>
      <c r="AE996">
        <v>0</v>
      </c>
      <c r="AF996">
        <v>2</v>
      </c>
      <c r="AG996" t="s">
        <v>68</v>
      </c>
      <c r="AH996">
        <v>0</v>
      </c>
      <c r="AI996" t="s">
        <v>72</v>
      </c>
      <c r="AJ996" s="3" t="s">
        <v>84</v>
      </c>
      <c r="AK996" s="3">
        <v>1</v>
      </c>
      <c r="AL996" s="3" t="s">
        <v>83</v>
      </c>
    </row>
    <row r="997" spans="1:38" x14ac:dyDescent="0.3">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v>4081</v>
      </c>
      <c r="S997">
        <v>20003</v>
      </c>
      <c r="T997">
        <v>1</v>
      </c>
      <c r="U997" t="s">
        <v>35</v>
      </c>
      <c r="V997">
        <v>14</v>
      </c>
      <c r="W997">
        <v>3</v>
      </c>
      <c r="X997">
        <v>1</v>
      </c>
      <c r="Y997">
        <v>0</v>
      </c>
      <c r="Z997">
        <v>20</v>
      </c>
      <c r="AA997">
        <v>3</v>
      </c>
      <c r="AB997">
        <v>1</v>
      </c>
      <c r="AC997">
        <v>20</v>
      </c>
      <c r="AD997">
        <v>7</v>
      </c>
      <c r="AE997">
        <v>1</v>
      </c>
      <c r="AF997">
        <v>8</v>
      </c>
      <c r="AG997" t="s">
        <v>65</v>
      </c>
      <c r="AH997">
        <v>0</v>
      </c>
      <c r="AI997" t="s">
        <v>69</v>
      </c>
      <c r="AJ997" s="3" t="s">
        <v>84</v>
      </c>
      <c r="AK997" s="3">
        <v>1</v>
      </c>
      <c r="AL997" s="3" t="s">
        <v>83</v>
      </c>
    </row>
    <row r="998" spans="1:38" x14ac:dyDescent="0.3">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v>5769</v>
      </c>
      <c r="S998">
        <v>7100</v>
      </c>
      <c r="T998">
        <v>1</v>
      </c>
      <c r="U998" t="s">
        <v>35</v>
      </c>
      <c r="V998">
        <v>11</v>
      </c>
      <c r="W998">
        <v>3</v>
      </c>
      <c r="X998">
        <v>4</v>
      </c>
      <c r="Y998">
        <v>0</v>
      </c>
      <c r="Z998">
        <v>6</v>
      </c>
      <c r="AA998">
        <v>3</v>
      </c>
      <c r="AB998">
        <v>3</v>
      </c>
      <c r="AC998">
        <v>6</v>
      </c>
      <c r="AD998">
        <v>2</v>
      </c>
      <c r="AE998">
        <v>4</v>
      </c>
      <c r="AF998">
        <v>4</v>
      </c>
      <c r="AG998" t="s">
        <v>65</v>
      </c>
      <c r="AH998">
        <v>0</v>
      </c>
      <c r="AI998" t="s">
        <v>70</v>
      </c>
      <c r="AJ998" s="3" t="s">
        <v>82</v>
      </c>
      <c r="AK998" s="3">
        <v>1</v>
      </c>
      <c r="AL998" s="3" t="s">
        <v>83</v>
      </c>
    </row>
    <row r="999" spans="1:38" x14ac:dyDescent="0.3">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v>2394</v>
      </c>
      <c r="S999">
        <v>25681</v>
      </c>
      <c r="T999">
        <v>1</v>
      </c>
      <c r="U999" t="s">
        <v>35</v>
      </c>
      <c r="V999">
        <v>13</v>
      </c>
      <c r="W999">
        <v>3</v>
      </c>
      <c r="X999">
        <v>4</v>
      </c>
      <c r="Y999">
        <v>0</v>
      </c>
      <c r="Z999">
        <v>8</v>
      </c>
      <c r="AA999">
        <v>2</v>
      </c>
      <c r="AB999">
        <v>3</v>
      </c>
      <c r="AC999">
        <v>8</v>
      </c>
      <c r="AD999">
        <v>2</v>
      </c>
      <c r="AE999">
        <v>7</v>
      </c>
      <c r="AF999">
        <v>7</v>
      </c>
      <c r="AG999" t="s">
        <v>65</v>
      </c>
      <c r="AH999">
        <v>1</v>
      </c>
      <c r="AI999" t="s">
        <v>72</v>
      </c>
      <c r="AJ999" s="3" t="s">
        <v>84</v>
      </c>
      <c r="AK999" s="3">
        <v>1</v>
      </c>
      <c r="AL999" s="3" t="s">
        <v>83</v>
      </c>
    </row>
    <row r="1000" spans="1:38" x14ac:dyDescent="0.3">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v>3904</v>
      </c>
      <c r="S1000">
        <v>4050</v>
      </c>
      <c r="T1000">
        <v>0</v>
      </c>
      <c r="U1000" t="s">
        <v>43</v>
      </c>
      <c r="V1000">
        <v>12</v>
      </c>
      <c r="W1000">
        <v>3</v>
      </c>
      <c r="X1000">
        <v>4</v>
      </c>
      <c r="Y1000">
        <v>0</v>
      </c>
      <c r="Z1000">
        <v>5</v>
      </c>
      <c r="AA1000">
        <v>2</v>
      </c>
      <c r="AB1000">
        <v>3</v>
      </c>
      <c r="AC1000">
        <v>4</v>
      </c>
      <c r="AD1000">
        <v>3</v>
      </c>
      <c r="AE1000">
        <v>1</v>
      </c>
      <c r="AF1000">
        <v>1</v>
      </c>
      <c r="AG1000" t="s">
        <v>68</v>
      </c>
      <c r="AH1000">
        <v>0</v>
      </c>
      <c r="AI1000" t="s">
        <v>72</v>
      </c>
      <c r="AJ1000" s="3" t="s">
        <v>82</v>
      </c>
      <c r="AK1000" s="3">
        <v>0</v>
      </c>
      <c r="AL1000" s="3" t="s">
        <v>83</v>
      </c>
    </row>
    <row r="1001" spans="1:38" x14ac:dyDescent="0.3">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v>16799</v>
      </c>
      <c r="S1001">
        <v>16616</v>
      </c>
      <c r="T1001">
        <v>0</v>
      </c>
      <c r="U1001" t="s">
        <v>43</v>
      </c>
      <c r="V1001">
        <v>14</v>
      </c>
      <c r="W1001">
        <v>3</v>
      </c>
      <c r="X1001">
        <v>3</v>
      </c>
      <c r="Y1001">
        <v>1</v>
      </c>
      <c r="Z1001">
        <v>21</v>
      </c>
      <c r="AA1001">
        <v>5</v>
      </c>
      <c r="AB1001">
        <v>3</v>
      </c>
      <c r="AC1001">
        <v>20</v>
      </c>
      <c r="AD1001">
        <v>7</v>
      </c>
      <c r="AE1001">
        <v>0</v>
      </c>
      <c r="AF1001">
        <v>9</v>
      </c>
      <c r="AG1001" t="s">
        <v>65</v>
      </c>
      <c r="AH1001">
        <v>0</v>
      </c>
      <c r="AI1001" t="s">
        <v>72</v>
      </c>
      <c r="AJ1001" s="3" t="s">
        <v>83</v>
      </c>
      <c r="AK1001" s="3">
        <v>1</v>
      </c>
      <c r="AL1001" s="3" t="s">
        <v>83</v>
      </c>
    </row>
    <row r="1002" spans="1:38" x14ac:dyDescent="0.3">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v>2950</v>
      </c>
      <c r="S1002">
        <v>17363</v>
      </c>
      <c r="T1002">
        <v>9</v>
      </c>
      <c r="U1002" t="s">
        <v>43</v>
      </c>
      <c r="V1002">
        <v>13</v>
      </c>
      <c r="W1002">
        <v>3</v>
      </c>
      <c r="X1002">
        <v>3</v>
      </c>
      <c r="Y1002">
        <v>0</v>
      </c>
      <c r="Z1002">
        <v>12</v>
      </c>
      <c r="AA1002">
        <v>2</v>
      </c>
      <c r="AB1002">
        <v>1</v>
      </c>
      <c r="AC1002">
        <v>5</v>
      </c>
      <c r="AD1002">
        <v>4</v>
      </c>
      <c r="AE1002">
        <v>0</v>
      </c>
      <c r="AF1002">
        <v>4</v>
      </c>
      <c r="AG1002" t="s">
        <v>68</v>
      </c>
      <c r="AH1002">
        <v>0</v>
      </c>
      <c r="AI1002" t="s">
        <v>70</v>
      </c>
      <c r="AJ1002" s="3" t="s">
        <v>83</v>
      </c>
      <c r="AK1002" s="3">
        <v>1</v>
      </c>
      <c r="AL1002" s="3" t="s">
        <v>83</v>
      </c>
    </row>
    <row r="1003" spans="1:38" x14ac:dyDescent="0.3">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v>3629</v>
      </c>
      <c r="S1003">
        <v>19106</v>
      </c>
      <c r="T1003">
        <v>4</v>
      </c>
      <c r="U1003" t="s">
        <v>43</v>
      </c>
      <c r="V1003">
        <v>18</v>
      </c>
      <c r="W1003">
        <v>3</v>
      </c>
      <c r="X1003">
        <v>1</v>
      </c>
      <c r="Y1003">
        <v>0</v>
      </c>
      <c r="Z1003">
        <v>8</v>
      </c>
      <c r="AA1003">
        <v>6</v>
      </c>
      <c r="AB1003">
        <v>3</v>
      </c>
      <c r="AC1003">
        <v>3</v>
      </c>
      <c r="AD1003">
        <v>2</v>
      </c>
      <c r="AE1003">
        <v>0</v>
      </c>
      <c r="AF1003">
        <v>2</v>
      </c>
      <c r="AG1003" t="s">
        <v>67</v>
      </c>
      <c r="AH1003">
        <v>0</v>
      </c>
      <c r="AI1003" t="s">
        <v>69</v>
      </c>
      <c r="AJ1003" s="3" t="s">
        <v>84</v>
      </c>
      <c r="AK1003" s="3">
        <v>1</v>
      </c>
      <c r="AL1003" s="3" t="s">
        <v>83</v>
      </c>
    </row>
    <row r="1004" spans="1:38" x14ac:dyDescent="0.3">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v>9362</v>
      </c>
      <c r="S1004">
        <v>19944</v>
      </c>
      <c r="T1004">
        <v>2</v>
      </c>
      <c r="U1004" t="s">
        <v>43</v>
      </c>
      <c r="V1004">
        <v>11</v>
      </c>
      <c r="W1004">
        <v>3</v>
      </c>
      <c r="X1004">
        <v>3</v>
      </c>
      <c r="Y1004">
        <v>0</v>
      </c>
      <c r="Z1004">
        <v>10</v>
      </c>
      <c r="AA1004">
        <v>2</v>
      </c>
      <c r="AB1004">
        <v>3</v>
      </c>
      <c r="AC1004">
        <v>2</v>
      </c>
      <c r="AD1004">
        <v>2</v>
      </c>
      <c r="AE1004">
        <v>2</v>
      </c>
      <c r="AF1004">
        <v>2</v>
      </c>
      <c r="AG1004" t="s">
        <v>67</v>
      </c>
      <c r="AH1004">
        <v>0</v>
      </c>
      <c r="AI1004" t="s">
        <v>71</v>
      </c>
      <c r="AJ1004" s="3" t="s">
        <v>82</v>
      </c>
      <c r="AK1004" s="3">
        <v>1</v>
      </c>
      <c r="AL1004" s="3" t="s">
        <v>83</v>
      </c>
    </row>
    <row r="1005" spans="1:38" x14ac:dyDescent="0.3">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v>3229</v>
      </c>
      <c r="S1005">
        <v>4910</v>
      </c>
      <c r="T1005">
        <v>4</v>
      </c>
      <c r="U1005" t="s">
        <v>43</v>
      </c>
      <c r="V1005">
        <v>11</v>
      </c>
      <c r="W1005">
        <v>3</v>
      </c>
      <c r="X1005">
        <v>2</v>
      </c>
      <c r="Y1005">
        <v>1</v>
      </c>
      <c r="Z1005">
        <v>7</v>
      </c>
      <c r="AA1005">
        <v>2</v>
      </c>
      <c r="AB1005">
        <v>2</v>
      </c>
      <c r="AC1005">
        <v>3</v>
      </c>
      <c r="AD1005">
        <v>2</v>
      </c>
      <c r="AE1005">
        <v>0</v>
      </c>
      <c r="AF1005">
        <v>2</v>
      </c>
      <c r="AG1005" t="s">
        <v>67</v>
      </c>
      <c r="AH1005">
        <v>0</v>
      </c>
      <c r="AI1005" t="s">
        <v>71</v>
      </c>
      <c r="AJ1005" s="3" t="s">
        <v>82</v>
      </c>
      <c r="AK1005" s="3">
        <v>1</v>
      </c>
      <c r="AL1005" s="3" t="s">
        <v>83</v>
      </c>
    </row>
    <row r="1006" spans="1:38" x14ac:dyDescent="0.3">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v>3578</v>
      </c>
      <c r="S1006">
        <v>23577</v>
      </c>
      <c r="T1006">
        <v>0</v>
      </c>
      <c r="U1006" t="s">
        <v>43</v>
      </c>
      <c r="V1006">
        <v>12</v>
      </c>
      <c r="W1006">
        <v>3</v>
      </c>
      <c r="X1006">
        <v>4</v>
      </c>
      <c r="Y1006">
        <v>0</v>
      </c>
      <c r="Z1006">
        <v>8</v>
      </c>
      <c r="AA1006">
        <v>2</v>
      </c>
      <c r="AB1006">
        <v>3</v>
      </c>
      <c r="AC1006">
        <v>7</v>
      </c>
      <c r="AD1006">
        <v>7</v>
      </c>
      <c r="AE1006">
        <v>0</v>
      </c>
      <c r="AF1006">
        <v>7</v>
      </c>
      <c r="AG1006" t="s">
        <v>65</v>
      </c>
      <c r="AH1006">
        <v>0</v>
      </c>
      <c r="AI1006" t="s">
        <v>72</v>
      </c>
      <c r="AJ1006" s="3" t="s">
        <v>83</v>
      </c>
      <c r="AK1006" s="3">
        <v>1</v>
      </c>
      <c r="AL1006" s="3" t="s">
        <v>83</v>
      </c>
    </row>
    <row r="1007" spans="1:38" x14ac:dyDescent="0.3">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v>7988</v>
      </c>
      <c r="S1007">
        <v>9769</v>
      </c>
      <c r="T1007">
        <v>1</v>
      </c>
      <c r="U1007" t="s">
        <v>43</v>
      </c>
      <c r="V1007">
        <v>13</v>
      </c>
      <c r="W1007">
        <v>3</v>
      </c>
      <c r="X1007">
        <v>1</v>
      </c>
      <c r="Y1007">
        <v>0</v>
      </c>
      <c r="Z1007">
        <v>10</v>
      </c>
      <c r="AA1007">
        <v>3</v>
      </c>
      <c r="AB1007">
        <v>2</v>
      </c>
      <c r="AC1007">
        <v>10</v>
      </c>
      <c r="AD1007">
        <v>9</v>
      </c>
      <c r="AE1007">
        <v>0</v>
      </c>
      <c r="AF1007">
        <v>9</v>
      </c>
      <c r="AG1007" t="s">
        <v>65</v>
      </c>
      <c r="AH1007">
        <v>0</v>
      </c>
      <c r="AI1007" t="s">
        <v>72</v>
      </c>
      <c r="AJ1007" s="3" t="s">
        <v>83</v>
      </c>
      <c r="AK1007" s="3">
        <v>1</v>
      </c>
      <c r="AL1007" s="3" t="s">
        <v>83</v>
      </c>
    </row>
    <row r="1008" spans="1:38" x14ac:dyDescent="0.3">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v>4284</v>
      </c>
      <c r="S1008">
        <v>22710</v>
      </c>
      <c r="T1008">
        <v>3</v>
      </c>
      <c r="U1008" t="s">
        <v>43</v>
      </c>
      <c r="V1008">
        <v>20</v>
      </c>
      <c r="W1008">
        <v>4</v>
      </c>
      <c r="X1008">
        <v>1</v>
      </c>
      <c r="Y1008">
        <v>0</v>
      </c>
      <c r="Z1008">
        <v>20</v>
      </c>
      <c r="AA1008">
        <v>2</v>
      </c>
      <c r="AB1008">
        <v>3</v>
      </c>
      <c r="AC1008">
        <v>4</v>
      </c>
      <c r="AD1008">
        <v>3</v>
      </c>
      <c r="AE1008">
        <v>1</v>
      </c>
      <c r="AF1008">
        <v>3</v>
      </c>
      <c r="AG1008" t="s">
        <v>68</v>
      </c>
      <c r="AH1008">
        <v>1</v>
      </c>
      <c r="AI1008" t="s">
        <v>72</v>
      </c>
      <c r="AJ1008" s="3" t="s">
        <v>83</v>
      </c>
      <c r="AK1008" s="3">
        <v>1</v>
      </c>
      <c r="AL1008" s="3" t="s">
        <v>83</v>
      </c>
    </row>
    <row r="1009" spans="1:38" x14ac:dyDescent="0.3">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v>7553</v>
      </c>
      <c r="S1009">
        <v>22930</v>
      </c>
      <c r="T1009">
        <v>0</v>
      </c>
      <c r="U1009" t="s">
        <v>35</v>
      </c>
      <c r="V1009">
        <v>12</v>
      </c>
      <c r="W1009">
        <v>3</v>
      </c>
      <c r="X1009">
        <v>1</v>
      </c>
      <c r="Y1009">
        <v>0</v>
      </c>
      <c r="Z1009">
        <v>9</v>
      </c>
      <c r="AA1009">
        <v>1</v>
      </c>
      <c r="AB1009">
        <v>3</v>
      </c>
      <c r="AC1009">
        <v>8</v>
      </c>
      <c r="AD1009">
        <v>7</v>
      </c>
      <c r="AE1009">
        <v>7</v>
      </c>
      <c r="AF1009">
        <v>7</v>
      </c>
      <c r="AG1009" t="s">
        <v>65</v>
      </c>
      <c r="AH1009">
        <v>1</v>
      </c>
      <c r="AI1009" t="s">
        <v>70</v>
      </c>
      <c r="AJ1009" s="3" t="s">
        <v>82</v>
      </c>
      <c r="AK1009" s="3">
        <v>1</v>
      </c>
      <c r="AL1009" s="3" t="s">
        <v>83</v>
      </c>
    </row>
    <row r="1010" spans="1:38" x14ac:dyDescent="0.3">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v>17328</v>
      </c>
      <c r="S1010">
        <v>5652</v>
      </c>
      <c r="T1010">
        <v>6</v>
      </c>
      <c r="U1010" t="s">
        <v>43</v>
      </c>
      <c r="V1010">
        <v>19</v>
      </c>
      <c r="W1010">
        <v>3</v>
      </c>
      <c r="X1010">
        <v>4</v>
      </c>
      <c r="Y1010">
        <v>0</v>
      </c>
      <c r="Z1010">
        <v>29</v>
      </c>
      <c r="AA1010">
        <v>3</v>
      </c>
      <c r="AB1010">
        <v>2</v>
      </c>
      <c r="AC1010">
        <v>20</v>
      </c>
      <c r="AD1010">
        <v>7</v>
      </c>
      <c r="AE1010">
        <v>12</v>
      </c>
      <c r="AF1010">
        <v>7</v>
      </c>
      <c r="AG1010" t="s">
        <v>65</v>
      </c>
      <c r="AH1010">
        <v>0</v>
      </c>
      <c r="AI1010" t="s">
        <v>72</v>
      </c>
      <c r="AJ1010" s="3" t="s">
        <v>82</v>
      </c>
      <c r="AK1010" s="3">
        <v>0</v>
      </c>
      <c r="AL1010" s="3" t="s">
        <v>83</v>
      </c>
    </row>
    <row r="1011" spans="1:38" x14ac:dyDescent="0.3">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v>19701</v>
      </c>
      <c r="S1011">
        <v>22456</v>
      </c>
      <c r="T1011">
        <v>3</v>
      </c>
      <c r="U1011" t="s">
        <v>35</v>
      </c>
      <c r="V1011">
        <v>21</v>
      </c>
      <c r="W1011">
        <v>4</v>
      </c>
      <c r="X1011">
        <v>3</v>
      </c>
      <c r="Y1011">
        <v>1</v>
      </c>
      <c r="Z1011">
        <v>32</v>
      </c>
      <c r="AA1011">
        <v>3</v>
      </c>
      <c r="AB1011">
        <v>3</v>
      </c>
      <c r="AC1011">
        <v>9</v>
      </c>
      <c r="AD1011">
        <v>8</v>
      </c>
      <c r="AE1011">
        <v>1</v>
      </c>
      <c r="AF1011">
        <v>5</v>
      </c>
      <c r="AG1011" t="s">
        <v>65</v>
      </c>
      <c r="AH1011">
        <v>0</v>
      </c>
      <c r="AI1011" t="s">
        <v>69</v>
      </c>
      <c r="AJ1011" s="3" t="s">
        <v>83</v>
      </c>
      <c r="AK1011" s="3">
        <v>2</v>
      </c>
      <c r="AL1011" s="3" t="s">
        <v>84</v>
      </c>
    </row>
    <row r="1012" spans="1:38" x14ac:dyDescent="0.3">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v>14732</v>
      </c>
      <c r="S1012">
        <v>12414</v>
      </c>
      <c r="T1012">
        <v>2</v>
      </c>
      <c r="U1012" t="s">
        <v>43</v>
      </c>
      <c r="V1012">
        <v>13</v>
      </c>
      <c r="W1012">
        <v>3</v>
      </c>
      <c r="X1012">
        <v>4</v>
      </c>
      <c r="Y1012">
        <v>2</v>
      </c>
      <c r="Z1012">
        <v>31</v>
      </c>
      <c r="AA1012">
        <v>4</v>
      </c>
      <c r="AB1012">
        <v>4</v>
      </c>
      <c r="AC1012">
        <v>7</v>
      </c>
      <c r="AD1012">
        <v>7</v>
      </c>
      <c r="AE1012">
        <v>0</v>
      </c>
      <c r="AF1012">
        <v>0</v>
      </c>
      <c r="AG1012" t="s">
        <v>65</v>
      </c>
      <c r="AH1012">
        <v>0</v>
      </c>
      <c r="AI1012" t="s">
        <v>69</v>
      </c>
      <c r="AJ1012" s="3" t="s">
        <v>82</v>
      </c>
      <c r="AK1012" s="3">
        <v>0</v>
      </c>
      <c r="AL1012" s="3" t="s">
        <v>83</v>
      </c>
    </row>
    <row r="1013" spans="1:38" x14ac:dyDescent="0.3">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v>9278</v>
      </c>
      <c r="S1013">
        <v>20763</v>
      </c>
      <c r="T1013">
        <v>3</v>
      </c>
      <c r="U1013" t="s">
        <v>35</v>
      </c>
      <c r="V1013">
        <v>16</v>
      </c>
      <c r="W1013">
        <v>3</v>
      </c>
      <c r="X1013">
        <v>4</v>
      </c>
      <c r="Y1013">
        <v>0</v>
      </c>
      <c r="Z1013">
        <v>15</v>
      </c>
      <c r="AA1013">
        <v>3</v>
      </c>
      <c r="AB1013">
        <v>3</v>
      </c>
      <c r="AC1013">
        <v>5</v>
      </c>
      <c r="AD1013">
        <v>4</v>
      </c>
      <c r="AE1013">
        <v>0</v>
      </c>
      <c r="AF1013">
        <v>1</v>
      </c>
      <c r="AG1013" t="s">
        <v>68</v>
      </c>
      <c r="AH1013">
        <v>0</v>
      </c>
      <c r="AI1013" t="s">
        <v>69</v>
      </c>
      <c r="AJ1013" s="3" t="s">
        <v>83</v>
      </c>
      <c r="AK1013" s="3">
        <v>2</v>
      </c>
      <c r="AL1013" s="3" t="s">
        <v>84</v>
      </c>
    </row>
    <row r="1014" spans="1:38" x14ac:dyDescent="0.3">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v>1359</v>
      </c>
      <c r="S1014">
        <v>16154</v>
      </c>
      <c r="T1014">
        <v>1</v>
      </c>
      <c r="U1014" t="s">
        <v>43</v>
      </c>
      <c r="V1014">
        <v>12</v>
      </c>
      <c r="W1014">
        <v>3</v>
      </c>
      <c r="X1014">
        <v>2</v>
      </c>
      <c r="Y1014">
        <v>0</v>
      </c>
      <c r="Z1014">
        <v>1</v>
      </c>
      <c r="AA1014">
        <v>3</v>
      </c>
      <c r="AB1014">
        <v>3</v>
      </c>
      <c r="AC1014">
        <v>1</v>
      </c>
      <c r="AD1014">
        <v>0</v>
      </c>
      <c r="AE1014">
        <v>0</v>
      </c>
      <c r="AF1014">
        <v>0</v>
      </c>
      <c r="AG1014" t="s">
        <v>67</v>
      </c>
      <c r="AH1014">
        <v>1</v>
      </c>
      <c r="AI1014" t="s">
        <v>71</v>
      </c>
      <c r="AJ1014" s="3" t="s">
        <v>84</v>
      </c>
      <c r="AK1014" s="3">
        <v>1</v>
      </c>
      <c r="AL1014" s="3" t="s">
        <v>83</v>
      </c>
    </row>
    <row r="1015" spans="1:38" x14ac:dyDescent="0.3">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v>4779</v>
      </c>
      <c r="S1015">
        <v>12761</v>
      </c>
      <c r="T1015">
        <v>7</v>
      </c>
      <c r="U1015" t="s">
        <v>43</v>
      </c>
      <c r="V1015">
        <v>14</v>
      </c>
      <c r="W1015">
        <v>3</v>
      </c>
      <c r="X1015">
        <v>2</v>
      </c>
      <c r="Y1015">
        <v>2</v>
      </c>
      <c r="Z1015">
        <v>8</v>
      </c>
      <c r="AA1015">
        <v>3</v>
      </c>
      <c r="AB1015">
        <v>3</v>
      </c>
      <c r="AC1015">
        <v>3</v>
      </c>
      <c r="AD1015">
        <v>2</v>
      </c>
      <c r="AE1015">
        <v>0</v>
      </c>
      <c r="AF1015">
        <v>2</v>
      </c>
      <c r="AG1015" t="s">
        <v>67</v>
      </c>
      <c r="AH1015">
        <v>0</v>
      </c>
      <c r="AI1015" t="s">
        <v>71</v>
      </c>
      <c r="AJ1015" s="3" t="s">
        <v>83</v>
      </c>
      <c r="AK1015" s="3">
        <v>2</v>
      </c>
      <c r="AL1015" s="3" t="s">
        <v>84</v>
      </c>
    </row>
    <row r="1016" spans="1:38" x14ac:dyDescent="0.3">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v>16422</v>
      </c>
      <c r="S1016">
        <v>8847</v>
      </c>
      <c r="T1016">
        <v>3</v>
      </c>
      <c r="U1016" t="s">
        <v>43</v>
      </c>
      <c r="V1016">
        <v>11</v>
      </c>
      <c r="W1016">
        <v>3</v>
      </c>
      <c r="X1016">
        <v>3</v>
      </c>
      <c r="Y1016">
        <v>0</v>
      </c>
      <c r="Z1016">
        <v>9</v>
      </c>
      <c r="AA1016">
        <v>3</v>
      </c>
      <c r="AB1016">
        <v>4</v>
      </c>
      <c r="AC1016">
        <v>3</v>
      </c>
      <c r="AD1016">
        <v>2</v>
      </c>
      <c r="AE1016">
        <v>1</v>
      </c>
      <c r="AF1016">
        <v>0</v>
      </c>
      <c r="AG1016" t="s">
        <v>67</v>
      </c>
      <c r="AH1016">
        <v>0</v>
      </c>
      <c r="AI1016" t="s">
        <v>71</v>
      </c>
      <c r="AJ1016" s="3" t="s">
        <v>83</v>
      </c>
      <c r="AK1016" s="3">
        <v>2</v>
      </c>
      <c r="AL1016" s="3" t="s">
        <v>84</v>
      </c>
    </row>
    <row r="1017" spans="1:38" x14ac:dyDescent="0.3">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v>2996</v>
      </c>
      <c r="S1017">
        <v>20284</v>
      </c>
      <c r="T1017">
        <v>5</v>
      </c>
      <c r="U1017" t="s">
        <v>43</v>
      </c>
      <c r="V1017">
        <v>14</v>
      </c>
      <c r="W1017">
        <v>3</v>
      </c>
      <c r="X1017">
        <v>3</v>
      </c>
      <c r="Y1017">
        <v>2</v>
      </c>
      <c r="Z1017">
        <v>10</v>
      </c>
      <c r="AA1017">
        <v>2</v>
      </c>
      <c r="AB1017">
        <v>3</v>
      </c>
      <c r="AC1017">
        <v>4</v>
      </c>
      <c r="AD1017">
        <v>3</v>
      </c>
      <c r="AE1017">
        <v>1</v>
      </c>
      <c r="AF1017">
        <v>3</v>
      </c>
      <c r="AG1017" t="s">
        <v>68</v>
      </c>
      <c r="AH1017">
        <v>0</v>
      </c>
      <c r="AI1017" t="s">
        <v>71</v>
      </c>
      <c r="AJ1017" s="3" t="s">
        <v>83</v>
      </c>
      <c r="AK1017" s="3">
        <v>1</v>
      </c>
      <c r="AL1017" s="3" t="s">
        <v>83</v>
      </c>
    </row>
    <row r="1018" spans="1:38" x14ac:dyDescent="0.3">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v>1261</v>
      </c>
      <c r="S1018">
        <v>22262</v>
      </c>
      <c r="T1018">
        <v>1</v>
      </c>
      <c r="U1018" t="s">
        <v>43</v>
      </c>
      <c r="V1018">
        <v>12</v>
      </c>
      <c r="W1018">
        <v>3</v>
      </c>
      <c r="X1018">
        <v>3</v>
      </c>
      <c r="Y1018">
        <v>0</v>
      </c>
      <c r="Z1018">
        <v>1</v>
      </c>
      <c r="AA1018">
        <v>3</v>
      </c>
      <c r="AB1018">
        <v>4</v>
      </c>
      <c r="AC1018">
        <v>1</v>
      </c>
      <c r="AD1018">
        <v>0</v>
      </c>
      <c r="AE1018">
        <v>0</v>
      </c>
      <c r="AF1018">
        <v>0</v>
      </c>
      <c r="AG1018" t="s">
        <v>67</v>
      </c>
      <c r="AH1018">
        <v>1</v>
      </c>
      <c r="AI1018" t="s">
        <v>71</v>
      </c>
      <c r="AJ1018" s="3" t="s">
        <v>83</v>
      </c>
      <c r="AK1018" s="3">
        <v>2</v>
      </c>
      <c r="AL1018" s="3" t="s">
        <v>84</v>
      </c>
    </row>
    <row r="1019" spans="1:38" x14ac:dyDescent="0.3">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v>2099</v>
      </c>
      <c r="S1019">
        <v>7679</v>
      </c>
      <c r="T1019">
        <v>0</v>
      </c>
      <c r="U1019" t="s">
        <v>43</v>
      </c>
      <c r="V1019">
        <v>14</v>
      </c>
      <c r="W1019">
        <v>3</v>
      </c>
      <c r="X1019">
        <v>2</v>
      </c>
      <c r="Y1019">
        <v>0</v>
      </c>
      <c r="Z1019">
        <v>6</v>
      </c>
      <c r="AA1019">
        <v>3</v>
      </c>
      <c r="AB1019">
        <v>4</v>
      </c>
      <c r="AC1019">
        <v>5</v>
      </c>
      <c r="AD1019">
        <v>0</v>
      </c>
      <c r="AE1019">
        <v>1</v>
      </c>
      <c r="AF1019">
        <v>4</v>
      </c>
      <c r="AG1019" t="s">
        <v>68</v>
      </c>
      <c r="AH1019">
        <v>0</v>
      </c>
      <c r="AI1019" t="s">
        <v>71</v>
      </c>
      <c r="AJ1019" s="3" t="s">
        <v>83</v>
      </c>
      <c r="AK1019" s="3">
        <v>1</v>
      </c>
      <c r="AL1019" s="3" t="s">
        <v>83</v>
      </c>
    </row>
    <row r="1020" spans="1:38" x14ac:dyDescent="0.3">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v>5810</v>
      </c>
      <c r="S1020">
        <v>22604</v>
      </c>
      <c r="T1020">
        <v>1</v>
      </c>
      <c r="U1020" t="s">
        <v>43</v>
      </c>
      <c r="V1020">
        <v>16</v>
      </c>
      <c r="W1020">
        <v>3</v>
      </c>
      <c r="X1020">
        <v>3</v>
      </c>
      <c r="Y1020">
        <v>0</v>
      </c>
      <c r="Z1020">
        <v>10</v>
      </c>
      <c r="AA1020">
        <v>2</v>
      </c>
      <c r="AB1020">
        <v>2</v>
      </c>
      <c r="AC1020">
        <v>10</v>
      </c>
      <c r="AD1020">
        <v>4</v>
      </c>
      <c r="AE1020">
        <v>1</v>
      </c>
      <c r="AF1020">
        <v>8</v>
      </c>
      <c r="AG1020" t="s">
        <v>65</v>
      </c>
      <c r="AH1020">
        <v>0</v>
      </c>
      <c r="AI1020" t="s">
        <v>72</v>
      </c>
      <c r="AJ1020" s="3" t="s">
        <v>82</v>
      </c>
      <c r="AK1020" s="3">
        <v>0</v>
      </c>
      <c r="AL1020" s="3" t="s">
        <v>83</v>
      </c>
    </row>
    <row r="1021" spans="1:38" x14ac:dyDescent="0.3">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v>5647</v>
      </c>
      <c r="S1021">
        <v>13494</v>
      </c>
      <c r="T1021">
        <v>4</v>
      </c>
      <c r="U1021" t="s">
        <v>43</v>
      </c>
      <c r="V1021">
        <v>13</v>
      </c>
      <c r="W1021">
        <v>3</v>
      </c>
      <c r="X1021">
        <v>1</v>
      </c>
      <c r="Y1021">
        <v>2</v>
      </c>
      <c r="Z1021">
        <v>11</v>
      </c>
      <c r="AA1021">
        <v>3</v>
      </c>
      <c r="AB1021">
        <v>2</v>
      </c>
      <c r="AC1021">
        <v>3</v>
      </c>
      <c r="AD1021">
        <v>2</v>
      </c>
      <c r="AE1021">
        <v>0</v>
      </c>
      <c r="AF1021">
        <v>2</v>
      </c>
      <c r="AG1021" t="s">
        <v>67</v>
      </c>
      <c r="AH1021">
        <v>0</v>
      </c>
      <c r="AI1021" t="s">
        <v>71</v>
      </c>
      <c r="AJ1021" s="3" t="s">
        <v>83</v>
      </c>
      <c r="AK1021" s="3">
        <v>2</v>
      </c>
      <c r="AL1021" s="3" t="s">
        <v>84</v>
      </c>
    </row>
    <row r="1022" spans="1:38" x14ac:dyDescent="0.3">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v>3420</v>
      </c>
      <c r="S1022">
        <v>10205</v>
      </c>
      <c r="T1022">
        <v>7</v>
      </c>
      <c r="U1022" t="s">
        <v>43</v>
      </c>
      <c r="V1022">
        <v>12</v>
      </c>
      <c r="W1022">
        <v>3</v>
      </c>
      <c r="X1022">
        <v>3</v>
      </c>
      <c r="Y1022">
        <v>1</v>
      </c>
      <c r="Z1022">
        <v>17</v>
      </c>
      <c r="AA1022">
        <v>2</v>
      </c>
      <c r="AB1022">
        <v>2</v>
      </c>
      <c r="AC1022">
        <v>6</v>
      </c>
      <c r="AD1022">
        <v>5</v>
      </c>
      <c r="AE1022">
        <v>1</v>
      </c>
      <c r="AF1022">
        <v>2</v>
      </c>
      <c r="AG1022" t="s">
        <v>65</v>
      </c>
      <c r="AH1022">
        <v>0</v>
      </c>
      <c r="AI1022" t="s">
        <v>71</v>
      </c>
      <c r="AJ1022" s="3" t="s">
        <v>82</v>
      </c>
      <c r="AK1022" s="3">
        <v>0</v>
      </c>
      <c r="AL1022" s="3" t="s">
        <v>83</v>
      </c>
    </row>
    <row r="1023" spans="1:38" x14ac:dyDescent="0.3">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v>4400</v>
      </c>
      <c r="S1023">
        <v>15182</v>
      </c>
      <c r="T1023">
        <v>3</v>
      </c>
      <c r="U1023" t="s">
        <v>43</v>
      </c>
      <c r="V1023">
        <v>12</v>
      </c>
      <c r="W1023">
        <v>3</v>
      </c>
      <c r="X1023">
        <v>1</v>
      </c>
      <c r="Y1023">
        <v>0</v>
      </c>
      <c r="Z1023">
        <v>6</v>
      </c>
      <c r="AA1023">
        <v>2</v>
      </c>
      <c r="AB1023">
        <v>3</v>
      </c>
      <c r="AC1023">
        <v>3</v>
      </c>
      <c r="AD1023">
        <v>2</v>
      </c>
      <c r="AE1023">
        <v>2</v>
      </c>
      <c r="AF1023">
        <v>2</v>
      </c>
      <c r="AG1023" t="s">
        <v>67</v>
      </c>
      <c r="AH1023">
        <v>1</v>
      </c>
      <c r="AI1023" t="s">
        <v>70</v>
      </c>
      <c r="AJ1023" s="3" t="s">
        <v>83</v>
      </c>
      <c r="AK1023" s="3">
        <v>2</v>
      </c>
      <c r="AL1023" s="3" t="s">
        <v>84</v>
      </c>
    </row>
    <row r="1024" spans="1:38" x14ac:dyDescent="0.3">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v>3500</v>
      </c>
      <c r="S1024">
        <v>25470</v>
      </c>
      <c r="T1024">
        <v>0</v>
      </c>
      <c r="U1024" t="s">
        <v>43</v>
      </c>
      <c r="V1024">
        <v>14</v>
      </c>
      <c r="W1024">
        <v>3</v>
      </c>
      <c r="X1024">
        <v>1</v>
      </c>
      <c r="Y1024">
        <v>0</v>
      </c>
      <c r="Z1024">
        <v>7</v>
      </c>
      <c r="AA1024">
        <v>2</v>
      </c>
      <c r="AB1024">
        <v>1</v>
      </c>
      <c r="AC1024">
        <v>6</v>
      </c>
      <c r="AD1024">
        <v>5</v>
      </c>
      <c r="AE1024">
        <v>1</v>
      </c>
      <c r="AF1024">
        <v>3</v>
      </c>
      <c r="AG1024" t="s">
        <v>65</v>
      </c>
      <c r="AH1024">
        <v>0</v>
      </c>
      <c r="AI1024" t="s">
        <v>72</v>
      </c>
      <c r="AJ1024" s="3" t="s">
        <v>84</v>
      </c>
      <c r="AK1024" s="3">
        <v>0</v>
      </c>
      <c r="AL1024" s="3" t="s">
        <v>83</v>
      </c>
    </row>
    <row r="1025" spans="1:38" x14ac:dyDescent="0.3">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v>2066</v>
      </c>
      <c r="S1025">
        <v>10494</v>
      </c>
      <c r="T1025">
        <v>2</v>
      </c>
      <c r="U1025" t="s">
        <v>43</v>
      </c>
      <c r="V1025">
        <v>22</v>
      </c>
      <c r="W1025">
        <v>4</v>
      </c>
      <c r="X1025">
        <v>4</v>
      </c>
      <c r="Y1025">
        <v>1</v>
      </c>
      <c r="Z1025">
        <v>5</v>
      </c>
      <c r="AA1025">
        <v>3</v>
      </c>
      <c r="AB1025">
        <v>4</v>
      </c>
      <c r="AC1025">
        <v>3</v>
      </c>
      <c r="AD1025">
        <v>2</v>
      </c>
      <c r="AE1025">
        <v>1</v>
      </c>
      <c r="AF1025">
        <v>0</v>
      </c>
      <c r="AG1025" t="s">
        <v>67</v>
      </c>
      <c r="AH1025">
        <v>0</v>
      </c>
      <c r="AI1025" t="s">
        <v>71</v>
      </c>
      <c r="AJ1025" s="3" t="s">
        <v>83</v>
      </c>
      <c r="AK1025" s="3">
        <v>2</v>
      </c>
      <c r="AL1025" s="3" t="s">
        <v>84</v>
      </c>
    </row>
    <row r="1026" spans="1:38" x14ac:dyDescent="0.3">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v>17169</v>
      </c>
      <c r="S1026">
        <v>26703</v>
      </c>
      <c r="T1026">
        <v>3</v>
      </c>
      <c r="U1026" t="s">
        <v>43</v>
      </c>
      <c r="V1026">
        <v>19</v>
      </c>
      <c r="W1026">
        <v>3</v>
      </c>
      <c r="X1026">
        <v>2</v>
      </c>
      <c r="Y1026">
        <v>2</v>
      </c>
      <c r="Z1026">
        <v>26</v>
      </c>
      <c r="AA1026">
        <v>2</v>
      </c>
      <c r="AB1026">
        <v>4</v>
      </c>
      <c r="AC1026">
        <v>20</v>
      </c>
      <c r="AD1026">
        <v>17</v>
      </c>
      <c r="AE1026">
        <v>5</v>
      </c>
      <c r="AF1026">
        <v>6</v>
      </c>
      <c r="AG1026" t="s">
        <v>65</v>
      </c>
      <c r="AH1026">
        <v>0</v>
      </c>
      <c r="AI1026" t="s">
        <v>69</v>
      </c>
      <c r="AJ1026" s="3" t="s">
        <v>84</v>
      </c>
      <c r="AK1026" s="3">
        <v>0</v>
      </c>
      <c r="AL1026" s="3" t="s">
        <v>83</v>
      </c>
    </row>
    <row r="1027" spans="1:38" x14ac:dyDescent="0.3">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v>4162</v>
      </c>
      <c r="S1027">
        <v>15211</v>
      </c>
      <c r="T1027">
        <v>1</v>
      </c>
      <c r="U1027" t="s">
        <v>35</v>
      </c>
      <c r="V1027">
        <v>12</v>
      </c>
      <c r="W1027">
        <v>3</v>
      </c>
      <c r="X1027">
        <v>3</v>
      </c>
      <c r="Y1027">
        <v>2</v>
      </c>
      <c r="Z1027">
        <v>5</v>
      </c>
      <c r="AA1027">
        <v>3</v>
      </c>
      <c r="AB1027">
        <v>3</v>
      </c>
      <c r="AC1027">
        <v>5</v>
      </c>
      <c r="AD1027">
        <v>4</v>
      </c>
      <c r="AE1027">
        <v>0</v>
      </c>
      <c r="AF1027">
        <v>3</v>
      </c>
      <c r="AG1027" t="s">
        <v>68</v>
      </c>
      <c r="AH1027">
        <v>0</v>
      </c>
      <c r="AI1027" t="s">
        <v>70</v>
      </c>
      <c r="AJ1027" s="3" t="s">
        <v>84</v>
      </c>
      <c r="AK1027" s="3">
        <v>1</v>
      </c>
      <c r="AL1027" s="3" t="s">
        <v>83</v>
      </c>
    </row>
    <row r="1028" spans="1:38" x14ac:dyDescent="0.3">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v>9204</v>
      </c>
      <c r="S1028">
        <v>23343</v>
      </c>
      <c r="T1028">
        <v>4</v>
      </c>
      <c r="U1028" t="s">
        <v>43</v>
      </c>
      <c r="V1028">
        <v>12</v>
      </c>
      <c r="W1028">
        <v>3</v>
      </c>
      <c r="X1028">
        <v>3</v>
      </c>
      <c r="Y1028">
        <v>1</v>
      </c>
      <c r="Z1028">
        <v>7</v>
      </c>
      <c r="AA1028">
        <v>3</v>
      </c>
      <c r="AB1028">
        <v>2</v>
      </c>
      <c r="AC1028">
        <v>4</v>
      </c>
      <c r="AD1028">
        <v>3</v>
      </c>
      <c r="AE1028">
        <v>0</v>
      </c>
      <c r="AF1028">
        <v>3</v>
      </c>
      <c r="AG1028" t="s">
        <v>68</v>
      </c>
      <c r="AH1028">
        <v>0</v>
      </c>
      <c r="AI1028" t="s">
        <v>72</v>
      </c>
      <c r="AJ1028" s="3" t="s">
        <v>82</v>
      </c>
      <c r="AK1028" s="3">
        <v>0</v>
      </c>
      <c r="AL1028" s="3" t="s">
        <v>83</v>
      </c>
    </row>
    <row r="1029" spans="1:38" x14ac:dyDescent="0.3">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v>3294</v>
      </c>
      <c r="S1029">
        <v>3708</v>
      </c>
      <c r="T1029">
        <v>5</v>
      </c>
      <c r="U1029" t="s">
        <v>43</v>
      </c>
      <c r="V1029">
        <v>17</v>
      </c>
      <c r="W1029">
        <v>3</v>
      </c>
      <c r="X1029">
        <v>1</v>
      </c>
      <c r="Y1029">
        <v>1</v>
      </c>
      <c r="Z1029">
        <v>7</v>
      </c>
      <c r="AA1029">
        <v>2</v>
      </c>
      <c r="AB1029">
        <v>2</v>
      </c>
      <c r="AC1029">
        <v>5</v>
      </c>
      <c r="AD1029">
        <v>4</v>
      </c>
      <c r="AE1029">
        <v>0</v>
      </c>
      <c r="AF1029">
        <v>2</v>
      </c>
      <c r="AG1029" t="s">
        <v>68</v>
      </c>
      <c r="AH1029">
        <v>0</v>
      </c>
      <c r="AI1029" t="s">
        <v>71</v>
      </c>
      <c r="AJ1029" s="3" t="s">
        <v>83</v>
      </c>
      <c r="AK1029" s="3">
        <v>1</v>
      </c>
      <c r="AL1029" s="3" t="s">
        <v>83</v>
      </c>
    </row>
    <row r="1030" spans="1:38" x14ac:dyDescent="0.3">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v>2127</v>
      </c>
      <c r="S1030">
        <v>5561</v>
      </c>
      <c r="T1030">
        <v>2</v>
      </c>
      <c r="U1030" t="s">
        <v>35</v>
      </c>
      <c r="V1030">
        <v>12</v>
      </c>
      <c r="W1030">
        <v>3</v>
      </c>
      <c r="X1030">
        <v>1</v>
      </c>
      <c r="Y1030">
        <v>0</v>
      </c>
      <c r="Z1030">
        <v>7</v>
      </c>
      <c r="AA1030">
        <v>5</v>
      </c>
      <c r="AB1030">
        <v>2</v>
      </c>
      <c r="AC1030">
        <v>4</v>
      </c>
      <c r="AD1030">
        <v>2</v>
      </c>
      <c r="AE1030">
        <v>0</v>
      </c>
      <c r="AF1030">
        <v>3</v>
      </c>
      <c r="AG1030" t="s">
        <v>68</v>
      </c>
      <c r="AH1030">
        <v>0</v>
      </c>
      <c r="AI1030" t="s">
        <v>71</v>
      </c>
      <c r="AJ1030" s="3" t="s">
        <v>84</v>
      </c>
      <c r="AK1030" s="3">
        <v>1</v>
      </c>
      <c r="AL1030" s="3" t="s">
        <v>83</v>
      </c>
    </row>
    <row r="1031" spans="1:38" x14ac:dyDescent="0.3">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v>3975</v>
      </c>
      <c r="S1031">
        <v>23099</v>
      </c>
      <c r="T1031">
        <v>3</v>
      </c>
      <c r="U1031" t="s">
        <v>43</v>
      </c>
      <c r="V1031">
        <v>11</v>
      </c>
      <c r="W1031">
        <v>3</v>
      </c>
      <c r="X1031">
        <v>3</v>
      </c>
      <c r="Y1031">
        <v>2</v>
      </c>
      <c r="Z1031">
        <v>11</v>
      </c>
      <c r="AA1031">
        <v>2</v>
      </c>
      <c r="AB1031">
        <v>4</v>
      </c>
      <c r="AC1031">
        <v>8</v>
      </c>
      <c r="AD1031">
        <v>7</v>
      </c>
      <c r="AE1031">
        <v>0</v>
      </c>
      <c r="AF1031">
        <v>7</v>
      </c>
      <c r="AG1031" t="s">
        <v>65</v>
      </c>
      <c r="AH1031">
        <v>0</v>
      </c>
      <c r="AI1031" t="s">
        <v>70</v>
      </c>
      <c r="AJ1031" s="3" t="s">
        <v>84</v>
      </c>
      <c r="AK1031" s="3">
        <v>0</v>
      </c>
      <c r="AL1031" s="3" t="s">
        <v>83</v>
      </c>
    </row>
    <row r="1032" spans="1:38" x14ac:dyDescent="0.3">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v>10793</v>
      </c>
      <c r="S1032">
        <v>8386</v>
      </c>
      <c r="T1032">
        <v>1</v>
      </c>
      <c r="U1032" t="s">
        <v>43</v>
      </c>
      <c r="V1032">
        <v>18</v>
      </c>
      <c r="W1032">
        <v>3</v>
      </c>
      <c r="X1032">
        <v>1</v>
      </c>
      <c r="Y1032">
        <v>1</v>
      </c>
      <c r="Z1032">
        <v>13</v>
      </c>
      <c r="AA1032">
        <v>5</v>
      </c>
      <c r="AB1032">
        <v>3</v>
      </c>
      <c r="AC1032">
        <v>13</v>
      </c>
      <c r="AD1032">
        <v>7</v>
      </c>
      <c r="AE1032">
        <v>9</v>
      </c>
      <c r="AF1032">
        <v>9</v>
      </c>
      <c r="AG1032" t="s">
        <v>65</v>
      </c>
      <c r="AH1032">
        <v>0</v>
      </c>
      <c r="AI1032" t="s">
        <v>70</v>
      </c>
      <c r="AJ1032" s="3" t="s">
        <v>82</v>
      </c>
      <c r="AK1032" s="3">
        <v>0</v>
      </c>
      <c r="AL1032" s="3" t="s">
        <v>83</v>
      </c>
    </row>
    <row r="1033" spans="1:38" x14ac:dyDescent="0.3">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v>10096</v>
      </c>
      <c r="S1033">
        <v>15986</v>
      </c>
      <c r="T1033">
        <v>4</v>
      </c>
      <c r="U1033" t="s">
        <v>43</v>
      </c>
      <c r="V1033">
        <v>11</v>
      </c>
      <c r="W1033">
        <v>3</v>
      </c>
      <c r="X1033">
        <v>1</v>
      </c>
      <c r="Y1033">
        <v>1</v>
      </c>
      <c r="Z1033">
        <v>28</v>
      </c>
      <c r="AA1033">
        <v>1</v>
      </c>
      <c r="AB1033">
        <v>4</v>
      </c>
      <c r="AC1033">
        <v>7</v>
      </c>
      <c r="AD1033">
        <v>7</v>
      </c>
      <c r="AE1033">
        <v>4</v>
      </c>
      <c r="AF1033">
        <v>3</v>
      </c>
      <c r="AG1033" t="s">
        <v>65</v>
      </c>
      <c r="AH1033">
        <v>1</v>
      </c>
      <c r="AI1033" t="s">
        <v>71</v>
      </c>
      <c r="AJ1033" s="3" t="s">
        <v>82</v>
      </c>
      <c r="AK1033" s="3">
        <v>0</v>
      </c>
      <c r="AL1033" s="3" t="s">
        <v>83</v>
      </c>
    </row>
    <row r="1034" spans="1:38" x14ac:dyDescent="0.3">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v>3646</v>
      </c>
      <c r="S1034">
        <v>17181</v>
      </c>
      <c r="T1034">
        <v>2</v>
      </c>
      <c r="U1034" t="s">
        <v>35</v>
      </c>
      <c r="V1034">
        <v>23</v>
      </c>
      <c r="W1034">
        <v>4</v>
      </c>
      <c r="X1034">
        <v>2</v>
      </c>
      <c r="Y1034">
        <v>0</v>
      </c>
      <c r="Z1034">
        <v>11</v>
      </c>
      <c r="AA1034">
        <v>2</v>
      </c>
      <c r="AB1034">
        <v>4</v>
      </c>
      <c r="AC1034">
        <v>1</v>
      </c>
      <c r="AD1034">
        <v>0</v>
      </c>
      <c r="AE1034">
        <v>0</v>
      </c>
      <c r="AF1034">
        <v>0</v>
      </c>
      <c r="AG1034" t="s">
        <v>67</v>
      </c>
      <c r="AH1034">
        <v>1</v>
      </c>
      <c r="AI1034" t="s">
        <v>70</v>
      </c>
      <c r="AJ1034" s="3" t="s">
        <v>83</v>
      </c>
      <c r="AK1034" s="3">
        <v>3</v>
      </c>
      <c r="AL1034" s="3" t="s">
        <v>82</v>
      </c>
    </row>
    <row r="1035" spans="1:38" x14ac:dyDescent="0.3">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v>7446</v>
      </c>
      <c r="S1035">
        <v>8931</v>
      </c>
      <c r="T1035">
        <v>1</v>
      </c>
      <c r="U1035" t="s">
        <v>43</v>
      </c>
      <c r="V1035">
        <v>11</v>
      </c>
      <c r="W1035">
        <v>3</v>
      </c>
      <c r="X1035">
        <v>1</v>
      </c>
      <c r="Y1035">
        <v>0</v>
      </c>
      <c r="Z1035">
        <v>10</v>
      </c>
      <c r="AA1035">
        <v>2</v>
      </c>
      <c r="AB1035">
        <v>3</v>
      </c>
      <c r="AC1035">
        <v>10</v>
      </c>
      <c r="AD1035">
        <v>8</v>
      </c>
      <c r="AE1035">
        <v>4</v>
      </c>
      <c r="AF1035">
        <v>7</v>
      </c>
      <c r="AG1035" t="s">
        <v>65</v>
      </c>
      <c r="AH1035">
        <v>1</v>
      </c>
      <c r="AI1035" t="s">
        <v>71</v>
      </c>
      <c r="AJ1035" s="3" t="s">
        <v>83</v>
      </c>
      <c r="AK1035" s="3">
        <v>1</v>
      </c>
      <c r="AL1035" s="3" t="s">
        <v>83</v>
      </c>
    </row>
    <row r="1036" spans="1:38" x14ac:dyDescent="0.3">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v>10851</v>
      </c>
      <c r="S1036">
        <v>19863</v>
      </c>
      <c r="T1036">
        <v>2</v>
      </c>
      <c r="U1036" t="s">
        <v>35</v>
      </c>
      <c r="V1036">
        <v>18</v>
      </c>
      <c r="W1036">
        <v>3</v>
      </c>
      <c r="X1036">
        <v>2</v>
      </c>
      <c r="Y1036">
        <v>1</v>
      </c>
      <c r="Z1036">
        <v>24</v>
      </c>
      <c r="AA1036">
        <v>2</v>
      </c>
      <c r="AB1036">
        <v>3</v>
      </c>
      <c r="AC1036">
        <v>7</v>
      </c>
      <c r="AD1036">
        <v>7</v>
      </c>
      <c r="AE1036">
        <v>0</v>
      </c>
      <c r="AF1036">
        <v>7</v>
      </c>
      <c r="AG1036" t="s">
        <v>65</v>
      </c>
      <c r="AH1036">
        <v>0</v>
      </c>
      <c r="AI1036" t="s">
        <v>71</v>
      </c>
      <c r="AJ1036" s="3" t="s">
        <v>83</v>
      </c>
      <c r="AK1036" s="3">
        <v>2</v>
      </c>
      <c r="AL1036" s="3" t="s">
        <v>84</v>
      </c>
    </row>
    <row r="1037" spans="1:38" x14ac:dyDescent="0.3">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v>2109</v>
      </c>
      <c r="S1037">
        <v>24609</v>
      </c>
      <c r="T1037">
        <v>9</v>
      </c>
      <c r="U1037" t="s">
        <v>43</v>
      </c>
      <c r="V1037">
        <v>18</v>
      </c>
      <c r="W1037">
        <v>3</v>
      </c>
      <c r="X1037">
        <v>4</v>
      </c>
      <c r="Y1037">
        <v>0</v>
      </c>
      <c r="Z1037">
        <v>8</v>
      </c>
      <c r="AA1037">
        <v>3</v>
      </c>
      <c r="AB1037">
        <v>3</v>
      </c>
      <c r="AC1037">
        <v>3</v>
      </c>
      <c r="AD1037">
        <v>2</v>
      </c>
      <c r="AE1037">
        <v>0</v>
      </c>
      <c r="AF1037">
        <v>2</v>
      </c>
      <c r="AG1037" t="s">
        <v>67</v>
      </c>
      <c r="AH1037">
        <v>0</v>
      </c>
      <c r="AI1037" t="s">
        <v>70</v>
      </c>
      <c r="AJ1037" s="3" t="s">
        <v>83</v>
      </c>
      <c r="AK1037" s="3">
        <v>2</v>
      </c>
      <c r="AL1037" s="3" t="s">
        <v>84</v>
      </c>
    </row>
    <row r="1038" spans="1:38" x14ac:dyDescent="0.3">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v>3722</v>
      </c>
      <c r="S1038">
        <v>21081</v>
      </c>
      <c r="T1038">
        <v>6</v>
      </c>
      <c r="U1038" t="s">
        <v>35</v>
      </c>
      <c r="V1038">
        <v>13</v>
      </c>
      <c r="W1038">
        <v>3</v>
      </c>
      <c r="X1038">
        <v>3</v>
      </c>
      <c r="Y1038">
        <v>1</v>
      </c>
      <c r="Z1038">
        <v>7</v>
      </c>
      <c r="AA1038">
        <v>2</v>
      </c>
      <c r="AB1038">
        <v>1</v>
      </c>
      <c r="AC1038">
        <v>2</v>
      </c>
      <c r="AD1038">
        <v>2</v>
      </c>
      <c r="AE1038">
        <v>2</v>
      </c>
      <c r="AF1038">
        <v>2</v>
      </c>
      <c r="AG1038" t="s">
        <v>67</v>
      </c>
      <c r="AH1038">
        <v>1</v>
      </c>
      <c r="AI1038" t="s">
        <v>71</v>
      </c>
      <c r="AJ1038" s="3" t="s">
        <v>82</v>
      </c>
      <c r="AK1038" s="3">
        <v>2</v>
      </c>
      <c r="AL1038" s="3" t="s">
        <v>84</v>
      </c>
    </row>
    <row r="1039" spans="1:38" x14ac:dyDescent="0.3">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v>9380</v>
      </c>
      <c r="S1039">
        <v>14720</v>
      </c>
      <c r="T1039">
        <v>4</v>
      </c>
      <c r="U1039" t="s">
        <v>35</v>
      </c>
      <c r="V1039">
        <v>18</v>
      </c>
      <c r="W1039">
        <v>3</v>
      </c>
      <c r="X1039">
        <v>4</v>
      </c>
      <c r="Y1039">
        <v>2</v>
      </c>
      <c r="Z1039">
        <v>10</v>
      </c>
      <c r="AA1039">
        <v>4</v>
      </c>
      <c r="AB1039">
        <v>4</v>
      </c>
      <c r="AC1039">
        <v>3</v>
      </c>
      <c r="AD1039">
        <v>1</v>
      </c>
      <c r="AE1039">
        <v>1</v>
      </c>
      <c r="AF1039">
        <v>2</v>
      </c>
      <c r="AG1039" t="s">
        <v>67</v>
      </c>
      <c r="AH1039">
        <v>0</v>
      </c>
      <c r="AI1039" t="s">
        <v>71</v>
      </c>
      <c r="AJ1039" s="3" t="s">
        <v>82</v>
      </c>
      <c r="AK1039" s="3">
        <v>2</v>
      </c>
      <c r="AL1039" s="3" t="s">
        <v>84</v>
      </c>
    </row>
    <row r="1040" spans="1:38" x14ac:dyDescent="0.3">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v>5486</v>
      </c>
      <c r="S1040">
        <v>24795</v>
      </c>
      <c r="T1040">
        <v>4</v>
      </c>
      <c r="U1040" t="s">
        <v>43</v>
      </c>
      <c r="V1040">
        <v>11</v>
      </c>
      <c r="W1040">
        <v>3</v>
      </c>
      <c r="X1040">
        <v>1</v>
      </c>
      <c r="Y1040">
        <v>3</v>
      </c>
      <c r="Z1040">
        <v>15</v>
      </c>
      <c r="AA1040">
        <v>3</v>
      </c>
      <c r="AB1040">
        <v>3</v>
      </c>
      <c r="AC1040">
        <v>2</v>
      </c>
      <c r="AD1040">
        <v>2</v>
      </c>
      <c r="AE1040">
        <v>2</v>
      </c>
      <c r="AF1040">
        <v>2</v>
      </c>
      <c r="AG1040" t="s">
        <v>67</v>
      </c>
      <c r="AH1040">
        <v>0</v>
      </c>
      <c r="AI1040" t="s">
        <v>70</v>
      </c>
      <c r="AJ1040" s="3" t="s">
        <v>83</v>
      </c>
      <c r="AK1040" s="3">
        <v>2</v>
      </c>
      <c r="AL1040" s="3" t="s">
        <v>84</v>
      </c>
    </row>
    <row r="1041" spans="1:38" x14ac:dyDescent="0.3">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v>2742</v>
      </c>
      <c r="S1041">
        <v>3072</v>
      </c>
      <c r="T1041">
        <v>1</v>
      </c>
      <c r="U1041" t="s">
        <v>43</v>
      </c>
      <c r="V1041">
        <v>15</v>
      </c>
      <c r="W1041">
        <v>3</v>
      </c>
      <c r="X1041">
        <v>4</v>
      </c>
      <c r="Y1041">
        <v>0</v>
      </c>
      <c r="Z1041">
        <v>2</v>
      </c>
      <c r="AA1041">
        <v>0</v>
      </c>
      <c r="AB1041">
        <v>3</v>
      </c>
      <c r="AC1041">
        <v>2</v>
      </c>
      <c r="AD1041">
        <v>2</v>
      </c>
      <c r="AE1041">
        <v>2</v>
      </c>
      <c r="AF1041">
        <v>2</v>
      </c>
      <c r="AG1041" t="s">
        <v>67</v>
      </c>
      <c r="AH1041">
        <v>1</v>
      </c>
      <c r="AI1041" t="s">
        <v>70</v>
      </c>
      <c r="AJ1041" s="3" t="s">
        <v>84</v>
      </c>
      <c r="AK1041" s="3">
        <v>1</v>
      </c>
      <c r="AL1041" s="3" t="s">
        <v>83</v>
      </c>
    </row>
    <row r="1042" spans="1:38" x14ac:dyDescent="0.3">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v>13757</v>
      </c>
      <c r="S1042">
        <v>25178</v>
      </c>
      <c r="T1042">
        <v>2</v>
      </c>
      <c r="U1042" t="s">
        <v>43</v>
      </c>
      <c r="V1042">
        <v>11</v>
      </c>
      <c r="W1042">
        <v>3</v>
      </c>
      <c r="X1042">
        <v>3</v>
      </c>
      <c r="Y1042">
        <v>1</v>
      </c>
      <c r="Z1042">
        <v>16</v>
      </c>
      <c r="AA1042">
        <v>5</v>
      </c>
      <c r="AB1042">
        <v>3</v>
      </c>
      <c r="AC1042">
        <v>9</v>
      </c>
      <c r="AD1042">
        <v>8</v>
      </c>
      <c r="AE1042">
        <v>4</v>
      </c>
      <c r="AF1042">
        <v>8</v>
      </c>
      <c r="AG1042" t="s">
        <v>65</v>
      </c>
      <c r="AH1042">
        <v>0</v>
      </c>
      <c r="AI1042" t="s">
        <v>71</v>
      </c>
      <c r="AJ1042" s="3" t="s">
        <v>83</v>
      </c>
      <c r="AK1042" s="3">
        <v>1</v>
      </c>
      <c r="AL1042" s="3" t="s">
        <v>83</v>
      </c>
    </row>
    <row r="1043" spans="1:38" x14ac:dyDescent="0.3">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v>8463</v>
      </c>
      <c r="S1043">
        <v>23490</v>
      </c>
      <c r="T1043">
        <v>0</v>
      </c>
      <c r="U1043" t="s">
        <v>43</v>
      </c>
      <c r="V1043">
        <v>18</v>
      </c>
      <c r="W1043">
        <v>3</v>
      </c>
      <c r="X1043">
        <v>4</v>
      </c>
      <c r="Y1043">
        <v>0</v>
      </c>
      <c r="Z1043">
        <v>6</v>
      </c>
      <c r="AA1043">
        <v>4</v>
      </c>
      <c r="AB1043">
        <v>3</v>
      </c>
      <c r="AC1043">
        <v>5</v>
      </c>
      <c r="AD1043">
        <v>4</v>
      </c>
      <c r="AE1043">
        <v>1</v>
      </c>
      <c r="AF1043">
        <v>3</v>
      </c>
      <c r="AG1043" t="s">
        <v>68</v>
      </c>
      <c r="AH1043">
        <v>0</v>
      </c>
      <c r="AI1043" t="s">
        <v>70</v>
      </c>
      <c r="AJ1043" s="3" t="s">
        <v>83</v>
      </c>
      <c r="AK1043" s="3">
        <v>1</v>
      </c>
      <c r="AL1043" s="3" t="s">
        <v>83</v>
      </c>
    </row>
    <row r="1044" spans="1:38" x14ac:dyDescent="0.3">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v>3162</v>
      </c>
      <c r="S1044">
        <v>7973</v>
      </c>
      <c r="T1044">
        <v>3</v>
      </c>
      <c r="U1044" t="s">
        <v>43</v>
      </c>
      <c r="V1044">
        <v>14</v>
      </c>
      <c r="W1044">
        <v>3</v>
      </c>
      <c r="X1044">
        <v>4</v>
      </c>
      <c r="Y1044">
        <v>0</v>
      </c>
      <c r="Z1044">
        <v>7</v>
      </c>
      <c r="AA1044">
        <v>5</v>
      </c>
      <c r="AB1044">
        <v>3</v>
      </c>
      <c r="AC1044">
        <v>5</v>
      </c>
      <c r="AD1044">
        <v>2</v>
      </c>
      <c r="AE1044">
        <v>0</v>
      </c>
      <c r="AF1044">
        <v>3</v>
      </c>
      <c r="AG1044" t="s">
        <v>68</v>
      </c>
      <c r="AH1044">
        <v>0</v>
      </c>
      <c r="AI1044" t="s">
        <v>72</v>
      </c>
      <c r="AJ1044" s="3" t="s">
        <v>84</v>
      </c>
      <c r="AK1044" s="3">
        <v>0</v>
      </c>
      <c r="AL1044" s="3" t="s">
        <v>83</v>
      </c>
    </row>
    <row r="1045" spans="1:38" x14ac:dyDescent="0.3">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v>16598</v>
      </c>
      <c r="S1045">
        <v>19764</v>
      </c>
      <c r="T1045">
        <v>4</v>
      </c>
      <c r="U1045" t="s">
        <v>43</v>
      </c>
      <c r="V1045">
        <v>12</v>
      </c>
      <c r="W1045">
        <v>3</v>
      </c>
      <c r="X1045">
        <v>2</v>
      </c>
      <c r="Y1045">
        <v>0</v>
      </c>
      <c r="Z1045">
        <v>35</v>
      </c>
      <c r="AA1045">
        <v>2</v>
      </c>
      <c r="AB1045">
        <v>2</v>
      </c>
      <c r="AC1045">
        <v>9</v>
      </c>
      <c r="AD1045">
        <v>8</v>
      </c>
      <c r="AE1045">
        <v>8</v>
      </c>
      <c r="AF1045">
        <v>8</v>
      </c>
      <c r="AG1045" t="s">
        <v>65</v>
      </c>
      <c r="AH1045">
        <v>0</v>
      </c>
      <c r="AI1045" t="s">
        <v>70</v>
      </c>
      <c r="AJ1045" s="3" t="s">
        <v>83</v>
      </c>
      <c r="AK1045" s="3">
        <v>1</v>
      </c>
      <c r="AL1045" s="3" t="s">
        <v>83</v>
      </c>
    </row>
    <row r="1046" spans="1:38" x14ac:dyDescent="0.3">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v>6651</v>
      </c>
      <c r="S1046">
        <v>21534</v>
      </c>
      <c r="T1046">
        <v>2</v>
      </c>
      <c r="U1046" t="s">
        <v>43</v>
      </c>
      <c r="V1046">
        <v>14</v>
      </c>
      <c r="W1046">
        <v>3</v>
      </c>
      <c r="X1046">
        <v>2</v>
      </c>
      <c r="Y1046">
        <v>1</v>
      </c>
      <c r="Z1046">
        <v>20</v>
      </c>
      <c r="AA1046">
        <v>0</v>
      </c>
      <c r="AB1046">
        <v>2</v>
      </c>
      <c r="AC1046">
        <v>3</v>
      </c>
      <c r="AD1046">
        <v>2</v>
      </c>
      <c r="AE1046">
        <v>1</v>
      </c>
      <c r="AF1046">
        <v>2</v>
      </c>
      <c r="AG1046" t="s">
        <v>67</v>
      </c>
      <c r="AH1046">
        <v>0</v>
      </c>
      <c r="AI1046" t="s">
        <v>69</v>
      </c>
      <c r="AJ1046" s="3" t="s">
        <v>84</v>
      </c>
      <c r="AK1046" s="3">
        <v>1</v>
      </c>
      <c r="AL1046" s="3" t="s">
        <v>83</v>
      </c>
    </row>
    <row r="1047" spans="1:38" x14ac:dyDescent="0.3">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v>2345</v>
      </c>
      <c r="S1047">
        <v>8045</v>
      </c>
      <c r="T1047">
        <v>2</v>
      </c>
      <c r="U1047" t="s">
        <v>43</v>
      </c>
      <c r="V1047">
        <v>14</v>
      </c>
      <c r="W1047">
        <v>3</v>
      </c>
      <c r="X1047">
        <v>3</v>
      </c>
      <c r="Y1047">
        <v>1</v>
      </c>
      <c r="Z1047">
        <v>8</v>
      </c>
      <c r="AA1047">
        <v>3</v>
      </c>
      <c r="AB1047">
        <v>4</v>
      </c>
      <c r="AC1047">
        <v>3</v>
      </c>
      <c r="AD1047">
        <v>1</v>
      </c>
      <c r="AE1047">
        <v>1</v>
      </c>
      <c r="AF1047">
        <v>2</v>
      </c>
      <c r="AG1047" t="s">
        <v>67</v>
      </c>
      <c r="AH1047">
        <v>0</v>
      </c>
      <c r="AI1047" t="s">
        <v>70</v>
      </c>
      <c r="AJ1047" s="3" t="s">
        <v>84</v>
      </c>
      <c r="AK1047" s="3">
        <v>1</v>
      </c>
      <c r="AL1047" s="3" t="s">
        <v>83</v>
      </c>
    </row>
    <row r="1048" spans="1:38" x14ac:dyDescent="0.3">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v>3420</v>
      </c>
      <c r="S1048">
        <v>21158</v>
      </c>
      <c r="T1048">
        <v>1</v>
      </c>
      <c r="U1048" t="s">
        <v>43</v>
      </c>
      <c r="V1048">
        <v>13</v>
      </c>
      <c r="W1048">
        <v>3</v>
      </c>
      <c r="X1048">
        <v>3</v>
      </c>
      <c r="Y1048">
        <v>0</v>
      </c>
      <c r="Z1048">
        <v>6</v>
      </c>
      <c r="AA1048">
        <v>3</v>
      </c>
      <c r="AB1048">
        <v>2</v>
      </c>
      <c r="AC1048">
        <v>5</v>
      </c>
      <c r="AD1048">
        <v>2</v>
      </c>
      <c r="AE1048">
        <v>1</v>
      </c>
      <c r="AF1048">
        <v>3</v>
      </c>
      <c r="AG1048" t="s">
        <v>68</v>
      </c>
      <c r="AH1048">
        <v>0</v>
      </c>
      <c r="AI1048" t="s">
        <v>70</v>
      </c>
      <c r="AJ1048" s="3" t="s">
        <v>83</v>
      </c>
      <c r="AK1048" s="3">
        <v>1</v>
      </c>
      <c r="AL1048" s="3" t="s">
        <v>83</v>
      </c>
    </row>
    <row r="1049" spans="1:38" x14ac:dyDescent="0.3">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v>4373</v>
      </c>
      <c r="S1049">
        <v>17456</v>
      </c>
      <c r="T1049">
        <v>0</v>
      </c>
      <c r="U1049" t="s">
        <v>43</v>
      </c>
      <c r="V1049">
        <v>14</v>
      </c>
      <c r="W1049">
        <v>3</v>
      </c>
      <c r="X1049">
        <v>1</v>
      </c>
      <c r="Y1049">
        <v>2</v>
      </c>
      <c r="Z1049">
        <v>5</v>
      </c>
      <c r="AA1049">
        <v>2</v>
      </c>
      <c r="AB1049">
        <v>3</v>
      </c>
      <c r="AC1049">
        <v>4</v>
      </c>
      <c r="AD1049">
        <v>3</v>
      </c>
      <c r="AE1049">
        <v>0</v>
      </c>
      <c r="AF1049">
        <v>3</v>
      </c>
      <c r="AG1049" t="s">
        <v>68</v>
      </c>
      <c r="AH1049">
        <v>0</v>
      </c>
      <c r="AI1049" t="s">
        <v>70</v>
      </c>
      <c r="AJ1049" s="3" t="s">
        <v>83</v>
      </c>
      <c r="AK1049" s="3">
        <v>1</v>
      </c>
      <c r="AL1049" s="3" t="s">
        <v>83</v>
      </c>
    </row>
    <row r="1050" spans="1:38" x14ac:dyDescent="0.3">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v>4759</v>
      </c>
      <c r="S1050">
        <v>15891</v>
      </c>
      <c r="T1050">
        <v>3</v>
      </c>
      <c r="U1050" t="s">
        <v>43</v>
      </c>
      <c r="V1050">
        <v>18</v>
      </c>
      <c r="W1050">
        <v>3</v>
      </c>
      <c r="X1050">
        <v>4</v>
      </c>
      <c r="Y1050">
        <v>0</v>
      </c>
      <c r="Z1050">
        <v>15</v>
      </c>
      <c r="AA1050">
        <v>2</v>
      </c>
      <c r="AB1050">
        <v>3</v>
      </c>
      <c r="AC1050">
        <v>13</v>
      </c>
      <c r="AD1050">
        <v>9</v>
      </c>
      <c r="AE1050">
        <v>3</v>
      </c>
      <c r="AF1050">
        <v>12</v>
      </c>
      <c r="AG1050" t="s">
        <v>65</v>
      </c>
      <c r="AH1050">
        <v>0</v>
      </c>
      <c r="AI1050" t="s">
        <v>71</v>
      </c>
      <c r="AJ1050" s="3" t="s">
        <v>83</v>
      </c>
      <c r="AK1050" s="3">
        <v>1</v>
      </c>
      <c r="AL1050" s="3" t="s">
        <v>83</v>
      </c>
    </row>
    <row r="1051" spans="1:38" x14ac:dyDescent="0.3">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v>5301</v>
      </c>
      <c r="S1051">
        <v>2939</v>
      </c>
      <c r="T1051">
        <v>8</v>
      </c>
      <c r="U1051" t="s">
        <v>43</v>
      </c>
      <c r="V1051">
        <v>15</v>
      </c>
      <c r="W1051">
        <v>3</v>
      </c>
      <c r="X1051">
        <v>3</v>
      </c>
      <c r="Y1051">
        <v>2</v>
      </c>
      <c r="Z1051">
        <v>4</v>
      </c>
      <c r="AA1051">
        <v>2</v>
      </c>
      <c r="AB1051">
        <v>2</v>
      </c>
      <c r="AC1051">
        <v>2</v>
      </c>
      <c r="AD1051">
        <v>1</v>
      </c>
      <c r="AE1051">
        <v>2</v>
      </c>
      <c r="AF1051">
        <v>2</v>
      </c>
      <c r="AG1051" t="s">
        <v>67</v>
      </c>
      <c r="AH1051">
        <v>0</v>
      </c>
      <c r="AI1051" t="s">
        <v>71</v>
      </c>
      <c r="AJ1051" s="3" t="s">
        <v>84</v>
      </c>
      <c r="AK1051" s="3">
        <v>1</v>
      </c>
      <c r="AL1051" s="3" t="s">
        <v>83</v>
      </c>
    </row>
    <row r="1052" spans="1:38" x14ac:dyDescent="0.3">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v>3673</v>
      </c>
      <c r="S1052">
        <v>16458</v>
      </c>
      <c r="T1052">
        <v>1</v>
      </c>
      <c r="U1052" t="s">
        <v>43</v>
      </c>
      <c r="V1052">
        <v>13</v>
      </c>
      <c r="W1052">
        <v>3</v>
      </c>
      <c r="X1052">
        <v>3</v>
      </c>
      <c r="Y1052">
        <v>0</v>
      </c>
      <c r="Z1052">
        <v>12</v>
      </c>
      <c r="AA1052">
        <v>3</v>
      </c>
      <c r="AB1052">
        <v>3</v>
      </c>
      <c r="AC1052">
        <v>12</v>
      </c>
      <c r="AD1052">
        <v>9</v>
      </c>
      <c r="AE1052">
        <v>5</v>
      </c>
      <c r="AF1052">
        <v>8</v>
      </c>
      <c r="AG1052" t="s">
        <v>65</v>
      </c>
      <c r="AH1052">
        <v>0</v>
      </c>
      <c r="AI1052" t="s">
        <v>71</v>
      </c>
      <c r="AJ1052" s="3" t="s">
        <v>82</v>
      </c>
      <c r="AK1052" s="3">
        <v>0</v>
      </c>
      <c r="AL1052" s="3" t="s">
        <v>83</v>
      </c>
    </row>
    <row r="1053" spans="1:38" x14ac:dyDescent="0.3">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v>4768</v>
      </c>
      <c r="S1053">
        <v>9282</v>
      </c>
      <c r="T1053">
        <v>7</v>
      </c>
      <c r="U1053" t="s">
        <v>43</v>
      </c>
      <c r="V1053">
        <v>12</v>
      </c>
      <c r="W1053">
        <v>3</v>
      </c>
      <c r="X1053">
        <v>3</v>
      </c>
      <c r="Y1053">
        <v>1</v>
      </c>
      <c r="Z1053">
        <v>11</v>
      </c>
      <c r="AA1053">
        <v>4</v>
      </c>
      <c r="AB1053">
        <v>2</v>
      </c>
      <c r="AC1053">
        <v>1</v>
      </c>
      <c r="AD1053">
        <v>0</v>
      </c>
      <c r="AE1053">
        <v>0</v>
      </c>
      <c r="AF1053">
        <v>0</v>
      </c>
      <c r="AG1053" t="s">
        <v>67</v>
      </c>
      <c r="AH1053">
        <v>0</v>
      </c>
      <c r="AI1053" t="s">
        <v>70</v>
      </c>
      <c r="AJ1053" s="3" t="s">
        <v>84</v>
      </c>
      <c r="AK1053" s="3">
        <v>1</v>
      </c>
      <c r="AL1053" s="3" t="s">
        <v>83</v>
      </c>
    </row>
    <row r="1054" spans="1:38" x14ac:dyDescent="0.3">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v>1274</v>
      </c>
      <c r="S1054">
        <v>7152</v>
      </c>
      <c r="T1054">
        <v>1</v>
      </c>
      <c r="U1054" t="s">
        <v>43</v>
      </c>
      <c r="V1054">
        <v>13</v>
      </c>
      <c r="W1054">
        <v>3</v>
      </c>
      <c r="X1054">
        <v>2</v>
      </c>
      <c r="Y1054">
        <v>2</v>
      </c>
      <c r="Z1054">
        <v>1</v>
      </c>
      <c r="AA1054">
        <v>2</v>
      </c>
      <c r="AB1054">
        <v>2</v>
      </c>
      <c r="AC1054">
        <v>1</v>
      </c>
      <c r="AD1054">
        <v>0</v>
      </c>
      <c r="AE1054">
        <v>0</v>
      </c>
      <c r="AF1054">
        <v>0</v>
      </c>
      <c r="AG1054" t="s">
        <v>67</v>
      </c>
      <c r="AH1054">
        <v>0</v>
      </c>
      <c r="AI1054" t="s">
        <v>70</v>
      </c>
      <c r="AJ1054" s="3" t="s">
        <v>84</v>
      </c>
      <c r="AK1054" s="3">
        <v>1</v>
      </c>
      <c r="AL1054" s="3" t="s">
        <v>83</v>
      </c>
    </row>
    <row r="1055" spans="1:38" x14ac:dyDescent="0.3">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v>4900</v>
      </c>
      <c r="S1055">
        <v>2721</v>
      </c>
      <c r="T1055">
        <v>0</v>
      </c>
      <c r="U1055" t="s">
        <v>43</v>
      </c>
      <c r="V1055">
        <v>24</v>
      </c>
      <c r="W1055">
        <v>4</v>
      </c>
      <c r="X1055">
        <v>1</v>
      </c>
      <c r="Y1055">
        <v>1</v>
      </c>
      <c r="Z1055">
        <v>13</v>
      </c>
      <c r="AA1055">
        <v>2</v>
      </c>
      <c r="AB1055">
        <v>2</v>
      </c>
      <c r="AC1055">
        <v>12</v>
      </c>
      <c r="AD1055">
        <v>9</v>
      </c>
      <c r="AE1055">
        <v>2</v>
      </c>
      <c r="AF1055">
        <v>8</v>
      </c>
      <c r="AG1055" t="s">
        <v>65</v>
      </c>
      <c r="AH1055">
        <v>0</v>
      </c>
      <c r="AI1055" t="s">
        <v>71</v>
      </c>
      <c r="AJ1055" s="3" t="s">
        <v>84</v>
      </c>
      <c r="AK1055" s="3">
        <v>0</v>
      </c>
      <c r="AL1055" s="3" t="s">
        <v>83</v>
      </c>
    </row>
    <row r="1056" spans="1:38" x14ac:dyDescent="0.3">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v>10466</v>
      </c>
      <c r="S1056">
        <v>20948</v>
      </c>
      <c r="T1056">
        <v>3</v>
      </c>
      <c r="U1056" t="s">
        <v>43</v>
      </c>
      <c r="V1056">
        <v>14</v>
      </c>
      <c r="W1056">
        <v>3</v>
      </c>
      <c r="X1056">
        <v>2</v>
      </c>
      <c r="Y1056">
        <v>2</v>
      </c>
      <c r="Z1056">
        <v>29</v>
      </c>
      <c r="AA1056">
        <v>3</v>
      </c>
      <c r="AB1056">
        <v>3</v>
      </c>
      <c r="AC1056">
        <v>8</v>
      </c>
      <c r="AD1056">
        <v>7</v>
      </c>
      <c r="AE1056">
        <v>0</v>
      </c>
      <c r="AF1056">
        <v>7</v>
      </c>
      <c r="AG1056" t="s">
        <v>65</v>
      </c>
      <c r="AH1056">
        <v>0</v>
      </c>
      <c r="AI1056" t="s">
        <v>69</v>
      </c>
      <c r="AJ1056" s="3" t="s">
        <v>83</v>
      </c>
      <c r="AK1056" s="3">
        <v>1</v>
      </c>
      <c r="AL1056" s="3" t="s">
        <v>83</v>
      </c>
    </row>
    <row r="1057" spans="1:38" x14ac:dyDescent="0.3">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v>17007</v>
      </c>
      <c r="S1057">
        <v>11929</v>
      </c>
      <c r="T1057">
        <v>7</v>
      </c>
      <c r="U1057" t="s">
        <v>43</v>
      </c>
      <c r="V1057">
        <v>14</v>
      </c>
      <c r="W1057">
        <v>3</v>
      </c>
      <c r="X1057">
        <v>4</v>
      </c>
      <c r="Y1057">
        <v>2</v>
      </c>
      <c r="Z1057">
        <v>16</v>
      </c>
      <c r="AA1057">
        <v>3</v>
      </c>
      <c r="AB1057">
        <v>2</v>
      </c>
      <c r="AC1057">
        <v>14</v>
      </c>
      <c r="AD1057">
        <v>8</v>
      </c>
      <c r="AE1057">
        <v>6</v>
      </c>
      <c r="AF1057">
        <v>9</v>
      </c>
      <c r="AG1057" t="s">
        <v>65</v>
      </c>
      <c r="AH1057">
        <v>0</v>
      </c>
      <c r="AI1057" t="s">
        <v>70</v>
      </c>
      <c r="AJ1057" s="3" t="s">
        <v>83</v>
      </c>
      <c r="AK1057" s="3">
        <v>1</v>
      </c>
      <c r="AL1057" s="3" t="s">
        <v>83</v>
      </c>
    </row>
    <row r="1058" spans="1:38" x14ac:dyDescent="0.3">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v>2909</v>
      </c>
      <c r="S1058">
        <v>15747</v>
      </c>
      <c r="T1058">
        <v>3</v>
      </c>
      <c r="U1058" t="s">
        <v>43</v>
      </c>
      <c r="V1058">
        <v>15</v>
      </c>
      <c r="W1058">
        <v>3</v>
      </c>
      <c r="X1058">
        <v>4</v>
      </c>
      <c r="Y1058">
        <v>1</v>
      </c>
      <c r="Z1058">
        <v>5</v>
      </c>
      <c r="AA1058">
        <v>3</v>
      </c>
      <c r="AB1058">
        <v>4</v>
      </c>
      <c r="AC1058">
        <v>3</v>
      </c>
      <c r="AD1058">
        <v>2</v>
      </c>
      <c r="AE1058">
        <v>1</v>
      </c>
      <c r="AF1058">
        <v>2</v>
      </c>
      <c r="AG1058" t="s">
        <v>67</v>
      </c>
      <c r="AH1058">
        <v>1</v>
      </c>
      <c r="AI1058" t="s">
        <v>71</v>
      </c>
      <c r="AJ1058" s="3" t="s">
        <v>84</v>
      </c>
      <c r="AK1058" s="3">
        <v>1</v>
      </c>
      <c r="AL1058" s="3" t="s">
        <v>83</v>
      </c>
    </row>
    <row r="1059" spans="1:38" x14ac:dyDescent="0.3">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v>5765</v>
      </c>
      <c r="S1059">
        <v>17485</v>
      </c>
      <c r="T1059">
        <v>5</v>
      </c>
      <c r="U1059" t="s">
        <v>43</v>
      </c>
      <c r="V1059">
        <v>11</v>
      </c>
      <c r="W1059">
        <v>3</v>
      </c>
      <c r="X1059">
        <v>1</v>
      </c>
      <c r="Y1059">
        <v>0</v>
      </c>
      <c r="Z1059">
        <v>7</v>
      </c>
      <c r="AA1059">
        <v>4</v>
      </c>
      <c r="AB1059">
        <v>1</v>
      </c>
      <c r="AC1059">
        <v>5</v>
      </c>
      <c r="AD1059">
        <v>3</v>
      </c>
      <c r="AE1059">
        <v>0</v>
      </c>
      <c r="AF1059">
        <v>0</v>
      </c>
      <c r="AG1059" t="s">
        <v>68</v>
      </c>
      <c r="AH1059">
        <v>1</v>
      </c>
      <c r="AI1059" t="s">
        <v>72</v>
      </c>
      <c r="AJ1059" s="3" t="s">
        <v>83</v>
      </c>
      <c r="AK1059" s="3">
        <v>1</v>
      </c>
      <c r="AL1059" s="3" t="s">
        <v>83</v>
      </c>
    </row>
    <row r="1060" spans="1:38" x14ac:dyDescent="0.3">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v>4599</v>
      </c>
      <c r="S1060">
        <v>7815</v>
      </c>
      <c r="T1060">
        <v>0</v>
      </c>
      <c r="U1060" t="s">
        <v>35</v>
      </c>
      <c r="V1060">
        <v>23</v>
      </c>
      <c r="W1060">
        <v>4</v>
      </c>
      <c r="X1060">
        <v>3</v>
      </c>
      <c r="Y1060">
        <v>0</v>
      </c>
      <c r="Z1060">
        <v>16</v>
      </c>
      <c r="AA1060">
        <v>2</v>
      </c>
      <c r="AB1060">
        <v>4</v>
      </c>
      <c r="AC1060">
        <v>15</v>
      </c>
      <c r="AD1060">
        <v>9</v>
      </c>
      <c r="AE1060">
        <v>10</v>
      </c>
      <c r="AF1060">
        <v>10</v>
      </c>
      <c r="AG1060" t="s">
        <v>65</v>
      </c>
      <c r="AH1060">
        <v>1</v>
      </c>
      <c r="AI1060" t="s">
        <v>72</v>
      </c>
      <c r="AJ1060" s="3" t="s">
        <v>83</v>
      </c>
      <c r="AK1060" s="3">
        <v>2</v>
      </c>
      <c r="AL1060" s="3" t="s">
        <v>84</v>
      </c>
    </row>
    <row r="1061" spans="1:38" x14ac:dyDescent="0.3">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v>2404</v>
      </c>
      <c r="S1061">
        <v>16192</v>
      </c>
      <c r="T1061">
        <v>1</v>
      </c>
      <c r="U1061" t="s">
        <v>43</v>
      </c>
      <c r="V1061">
        <v>13</v>
      </c>
      <c r="W1061">
        <v>3</v>
      </c>
      <c r="X1061">
        <v>1</v>
      </c>
      <c r="Y1061">
        <v>1</v>
      </c>
      <c r="Z1061">
        <v>1</v>
      </c>
      <c r="AA1061">
        <v>3</v>
      </c>
      <c r="AB1061">
        <v>3</v>
      </c>
      <c r="AC1061">
        <v>1</v>
      </c>
      <c r="AD1061">
        <v>0</v>
      </c>
      <c r="AE1061">
        <v>0</v>
      </c>
      <c r="AF1061">
        <v>0</v>
      </c>
      <c r="AG1061" t="s">
        <v>67</v>
      </c>
      <c r="AH1061">
        <v>0</v>
      </c>
      <c r="AI1061" t="s">
        <v>71</v>
      </c>
      <c r="AJ1061" s="3" t="s">
        <v>84</v>
      </c>
      <c r="AK1061" s="3">
        <v>1</v>
      </c>
      <c r="AL1061" s="3" t="s">
        <v>83</v>
      </c>
    </row>
    <row r="1062" spans="1:38" x14ac:dyDescent="0.3">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v>3172</v>
      </c>
      <c r="S1062">
        <v>16998</v>
      </c>
      <c r="T1062">
        <v>2</v>
      </c>
      <c r="U1062" t="s">
        <v>35</v>
      </c>
      <c r="V1062">
        <v>11</v>
      </c>
      <c r="W1062">
        <v>3</v>
      </c>
      <c r="X1062">
        <v>3</v>
      </c>
      <c r="Y1062">
        <v>0</v>
      </c>
      <c r="Z1062">
        <v>4</v>
      </c>
      <c r="AA1062">
        <v>2</v>
      </c>
      <c r="AB1062">
        <v>2</v>
      </c>
      <c r="AC1062">
        <v>0</v>
      </c>
      <c r="AD1062">
        <v>0</v>
      </c>
      <c r="AE1062">
        <v>0</v>
      </c>
      <c r="AF1062">
        <v>0</v>
      </c>
      <c r="AG1062" t="s">
        <v>66</v>
      </c>
      <c r="AH1062">
        <v>1</v>
      </c>
      <c r="AI1062" t="s">
        <v>71</v>
      </c>
      <c r="AJ1062" s="3" t="s">
        <v>83</v>
      </c>
      <c r="AK1062" s="3">
        <v>3</v>
      </c>
      <c r="AL1062" s="3" t="s">
        <v>82</v>
      </c>
    </row>
    <row r="1063" spans="1:38" x14ac:dyDescent="0.3">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v>2033</v>
      </c>
      <c r="S1063">
        <v>7103</v>
      </c>
      <c r="T1063">
        <v>1</v>
      </c>
      <c r="U1063" t="s">
        <v>43</v>
      </c>
      <c r="V1063">
        <v>13</v>
      </c>
      <c r="W1063">
        <v>3</v>
      </c>
      <c r="X1063">
        <v>3</v>
      </c>
      <c r="Y1063">
        <v>1</v>
      </c>
      <c r="Z1063">
        <v>1</v>
      </c>
      <c r="AA1063">
        <v>2</v>
      </c>
      <c r="AB1063">
        <v>3</v>
      </c>
      <c r="AC1063">
        <v>1</v>
      </c>
      <c r="AD1063">
        <v>0</v>
      </c>
      <c r="AE1063">
        <v>0</v>
      </c>
      <c r="AF1063">
        <v>0</v>
      </c>
      <c r="AG1063" t="s">
        <v>67</v>
      </c>
      <c r="AH1063">
        <v>0</v>
      </c>
      <c r="AI1063" t="s">
        <v>72</v>
      </c>
      <c r="AJ1063" s="3" t="s">
        <v>83</v>
      </c>
      <c r="AK1063" s="3">
        <v>2</v>
      </c>
      <c r="AL1063" s="3" t="s">
        <v>84</v>
      </c>
    </row>
    <row r="1064" spans="1:38" x14ac:dyDescent="0.3">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v>10209</v>
      </c>
      <c r="S1064">
        <v>19719</v>
      </c>
      <c r="T1064">
        <v>5</v>
      </c>
      <c r="U1064" t="s">
        <v>35</v>
      </c>
      <c r="V1064">
        <v>18</v>
      </c>
      <c r="W1064">
        <v>3</v>
      </c>
      <c r="X1064">
        <v>2</v>
      </c>
      <c r="Y1064">
        <v>0</v>
      </c>
      <c r="Z1064">
        <v>16</v>
      </c>
      <c r="AA1064">
        <v>2</v>
      </c>
      <c r="AB1064">
        <v>2</v>
      </c>
      <c r="AC1064">
        <v>2</v>
      </c>
      <c r="AD1064">
        <v>2</v>
      </c>
      <c r="AE1064">
        <v>2</v>
      </c>
      <c r="AF1064">
        <v>2</v>
      </c>
      <c r="AG1064" t="s">
        <v>67</v>
      </c>
      <c r="AH1064">
        <v>0</v>
      </c>
      <c r="AI1064" t="s">
        <v>72</v>
      </c>
      <c r="AJ1064" s="3" t="s">
        <v>84</v>
      </c>
      <c r="AK1064" s="3">
        <v>2</v>
      </c>
      <c r="AL1064" s="3" t="s">
        <v>84</v>
      </c>
    </row>
    <row r="1065" spans="1:38" x14ac:dyDescent="0.3">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v>8620</v>
      </c>
      <c r="S1065">
        <v>23757</v>
      </c>
      <c r="T1065">
        <v>1</v>
      </c>
      <c r="U1065" t="s">
        <v>43</v>
      </c>
      <c r="V1065">
        <v>14</v>
      </c>
      <c r="W1065">
        <v>3</v>
      </c>
      <c r="X1065">
        <v>3</v>
      </c>
      <c r="Y1065">
        <v>2</v>
      </c>
      <c r="Z1065">
        <v>10</v>
      </c>
      <c r="AA1065">
        <v>3</v>
      </c>
      <c r="AB1065">
        <v>3</v>
      </c>
      <c r="AC1065">
        <v>10</v>
      </c>
      <c r="AD1065">
        <v>7</v>
      </c>
      <c r="AE1065">
        <v>0</v>
      </c>
      <c r="AF1065">
        <v>4</v>
      </c>
      <c r="AG1065" t="s">
        <v>65</v>
      </c>
      <c r="AH1065">
        <v>0</v>
      </c>
      <c r="AI1065" t="s">
        <v>70</v>
      </c>
      <c r="AJ1065" s="3" t="s">
        <v>84</v>
      </c>
      <c r="AK1065" s="3">
        <v>0</v>
      </c>
      <c r="AL1065" s="3" t="s">
        <v>83</v>
      </c>
    </row>
    <row r="1066" spans="1:38" x14ac:dyDescent="0.3">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v>2064</v>
      </c>
      <c r="S1066">
        <v>15428</v>
      </c>
      <c r="T1066">
        <v>0</v>
      </c>
      <c r="U1066" t="s">
        <v>43</v>
      </c>
      <c r="V1066">
        <v>21</v>
      </c>
      <c r="W1066">
        <v>4</v>
      </c>
      <c r="X1066">
        <v>1</v>
      </c>
      <c r="Y1066">
        <v>1</v>
      </c>
      <c r="Z1066">
        <v>6</v>
      </c>
      <c r="AA1066">
        <v>3</v>
      </c>
      <c r="AB1066">
        <v>4</v>
      </c>
      <c r="AC1066">
        <v>5</v>
      </c>
      <c r="AD1066">
        <v>3</v>
      </c>
      <c r="AE1066">
        <v>1</v>
      </c>
      <c r="AF1066">
        <v>3</v>
      </c>
      <c r="AG1066" t="s">
        <v>68</v>
      </c>
      <c r="AH1066">
        <v>0</v>
      </c>
      <c r="AI1066" t="s">
        <v>72</v>
      </c>
      <c r="AJ1066" s="3" t="s">
        <v>84</v>
      </c>
      <c r="AK1066" s="3">
        <v>0</v>
      </c>
      <c r="AL1066" s="3" t="s">
        <v>83</v>
      </c>
    </row>
    <row r="1067" spans="1:38" x14ac:dyDescent="0.3">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v>4035</v>
      </c>
      <c r="S1067">
        <v>16143</v>
      </c>
      <c r="T1067">
        <v>0</v>
      </c>
      <c r="U1067" t="s">
        <v>35</v>
      </c>
      <c r="V1067">
        <v>16</v>
      </c>
      <c r="W1067">
        <v>3</v>
      </c>
      <c r="X1067">
        <v>2</v>
      </c>
      <c r="Y1067">
        <v>0</v>
      </c>
      <c r="Z1067">
        <v>4</v>
      </c>
      <c r="AA1067">
        <v>2</v>
      </c>
      <c r="AB1067">
        <v>3</v>
      </c>
      <c r="AC1067">
        <v>3</v>
      </c>
      <c r="AD1067">
        <v>2</v>
      </c>
      <c r="AE1067">
        <v>1</v>
      </c>
      <c r="AF1067">
        <v>2</v>
      </c>
      <c r="AG1067" t="s">
        <v>67</v>
      </c>
      <c r="AH1067">
        <v>0</v>
      </c>
      <c r="AI1067" t="s">
        <v>71</v>
      </c>
      <c r="AJ1067" s="3" t="s">
        <v>84</v>
      </c>
      <c r="AK1067" s="3">
        <v>2</v>
      </c>
      <c r="AL1067" s="3" t="s">
        <v>84</v>
      </c>
    </row>
    <row r="1068" spans="1:38" x14ac:dyDescent="0.3">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v>3838</v>
      </c>
      <c r="S1068">
        <v>8192</v>
      </c>
      <c r="T1068">
        <v>8</v>
      </c>
      <c r="U1068" t="s">
        <v>43</v>
      </c>
      <c r="V1068">
        <v>11</v>
      </c>
      <c r="W1068">
        <v>3</v>
      </c>
      <c r="X1068">
        <v>4</v>
      </c>
      <c r="Y1068">
        <v>0</v>
      </c>
      <c r="Z1068">
        <v>8</v>
      </c>
      <c r="AA1068">
        <v>5</v>
      </c>
      <c r="AB1068">
        <v>3</v>
      </c>
      <c r="AC1068">
        <v>5</v>
      </c>
      <c r="AD1068">
        <v>4</v>
      </c>
      <c r="AE1068">
        <v>0</v>
      </c>
      <c r="AF1068">
        <v>2</v>
      </c>
      <c r="AG1068" t="s">
        <v>68</v>
      </c>
      <c r="AH1068">
        <v>0</v>
      </c>
      <c r="AI1068" t="s">
        <v>69</v>
      </c>
      <c r="AJ1068" s="3" t="s">
        <v>83</v>
      </c>
      <c r="AK1068" s="3">
        <v>1</v>
      </c>
      <c r="AL1068" s="3" t="s">
        <v>83</v>
      </c>
    </row>
    <row r="1069" spans="1:38" x14ac:dyDescent="0.3">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v>4591</v>
      </c>
      <c r="S1069">
        <v>24200</v>
      </c>
      <c r="T1069">
        <v>3</v>
      </c>
      <c r="U1069" t="s">
        <v>35</v>
      </c>
      <c r="V1069">
        <v>17</v>
      </c>
      <c r="W1069">
        <v>3</v>
      </c>
      <c r="X1069">
        <v>3</v>
      </c>
      <c r="Y1069">
        <v>1</v>
      </c>
      <c r="Z1069">
        <v>11</v>
      </c>
      <c r="AA1069">
        <v>4</v>
      </c>
      <c r="AB1069">
        <v>2</v>
      </c>
      <c r="AC1069">
        <v>5</v>
      </c>
      <c r="AD1069">
        <v>4</v>
      </c>
      <c r="AE1069">
        <v>1</v>
      </c>
      <c r="AF1069">
        <v>2</v>
      </c>
      <c r="AG1069" t="s">
        <v>68</v>
      </c>
      <c r="AH1069">
        <v>0</v>
      </c>
      <c r="AI1069" t="s">
        <v>71</v>
      </c>
      <c r="AJ1069" s="3" t="s">
        <v>84</v>
      </c>
      <c r="AK1069" s="3">
        <v>1</v>
      </c>
      <c r="AL1069" s="3" t="s">
        <v>83</v>
      </c>
    </row>
    <row r="1070" spans="1:38" x14ac:dyDescent="0.3">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v>2561</v>
      </c>
      <c r="S1070">
        <v>5355</v>
      </c>
      <c r="T1070">
        <v>7</v>
      </c>
      <c r="U1070" t="s">
        <v>43</v>
      </c>
      <c r="V1070">
        <v>11</v>
      </c>
      <c r="W1070">
        <v>3</v>
      </c>
      <c r="X1070">
        <v>3</v>
      </c>
      <c r="Y1070">
        <v>0</v>
      </c>
      <c r="Z1070">
        <v>8</v>
      </c>
      <c r="AA1070">
        <v>2</v>
      </c>
      <c r="AB1070">
        <v>2</v>
      </c>
      <c r="AC1070">
        <v>0</v>
      </c>
      <c r="AD1070">
        <v>0</v>
      </c>
      <c r="AE1070">
        <v>0</v>
      </c>
      <c r="AF1070">
        <v>0</v>
      </c>
      <c r="AG1070" t="s">
        <v>66</v>
      </c>
      <c r="AH1070">
        <v>1</v>
      </c>
      <c r="AI1070" t="s">
        <v>70</v>
      </c>
      <c r="AJ1070" s="3" t="s">
        <v>83</v>
      </c>
      <c r="AK1070" s="3">
        <v>2</v>
      </c>
      <c r="AL1070" s="3" t="s">
        <v>84</v>
      </c>
    </row>
    <row r="1071" spans="1:38" x14ac:dyDescent="0.3">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v>1563</v>
      </c>
      <c r="S1071">
        <v>12530</v>
      </c>
      <c r="T1071">
        <v>1</v>
      </c>
      <c r="U1071" t="s">
        <v>43</v>
      </c>
      <c r="V1071">
        <v>14</v>
      </c>
      <c r="W1071">
        <v>3</v>
      </c>
      <c r="X1071">
        <v>4</v>
      </c>
      <c r="Y1071">
        <v>1</v>
      </c>
      <c r="Z1071">
        <v>1</v>
      </c>
      <c r="AA1071">
        <v>2</v>
      </c>
      <c r="AB1071">
        <v>1</v>
      </c>
      <c r="AC1071">
        <v>1</v>
      </c>
      <c r="AD1071">
        <v>0</v>
      </c>
      <c r="AE1071">
        <v>0</v>
      </c>
      <c r="AF1071">
        <v>0</v>
      </c>
      <c r="AG1071" t="s">
        <v>67</v>
      </c>
      <c r="AH1071">
        <v>0</v>
      </c>
      <c r="AI1071" t="s">
        <v>72</v>
      </c>
      <c r="AJ1071" s="3" t="s">
        <v>84</v>
      </c>
      <c r="AK1071" s="3">
        <v>1</v>
      </c>
      <c r="AL1071" s="3" t="s">
        <v>83</v>
      </c>
    </row>
    <row r="1072" spans="1:38" x14ac:dyDescent="0.3">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v>4898</v>
      </c>
      <c r="S1072">
        <v>11827</v>
      </c>
      <c r="T1072">
        <v>0</v>
      </c>
      <c r="U1072" t="s">
        <v>43</v>
      </c>
      <c r="V1072">
        <v>14</v>
      </c>
      <c r="W1072">
        <v>3</v>
      </c>
      <c r="X1072">
        <v>4</v>
      </c>
      <c r="Y1072">
        <v>0</v>
      </c>
      <c r="Z1072">
        <v>5</v>
      </c>
      <c r="AA1072">
        <v>5</v>
      </c>
      <c r="AB1072">
        <v>3</v>
      </c>
      <c r="AC1072">
        <v>4</v>
      </c>
      <c r="AD1072">
        <v>2</v>
      </c>
      <c r="AE1072">
        <v>1</v>
      </c>
      <c r="AF1072">
        <v>3</v>
      </c>
      <c r="AG1072" t="s">
        <v>68</v>
      </c>
      <c r="AH1072">
        <v>0</v>
      </c>
      <c r="AI1072" t="s">
        <v>72</v>
      </c>
      <c r="AJ1072" s="3" t="s">
        <v>83</v>
      </c>
      <c r="AK1072" s="3">
        <v>1</v>
      </c>
      <c r="AL1072" s="3" t="s">
        <v>83</v>
      </c>
    </row>
    <row r="1073" spans="1:38" x14ac:dyDescent="0.3">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v>4789</v>
      </c>
      <c r="S1073">
        <v>23070</v>
      </c>
      <c r="T1073">
        <v>4</v>
      </c>
      <c r="U1073" t="s">
        <v>43</v>
      </c>
      <c r="V1073">
        <v>25</v>
      </c>
      <c r="W1073">
        <v>4</v>
      </c>
      <c r="X1073">
        <v>1</v>
      </c>
      <c r="Y1073">
        <v>1</v>
      </c>
      <c r="Z1073">
        <v>10</v>
      </c>
      <c r="AA1073">
        <v>3</v>
      </c>
      <c r="AB1073">
        <v>3</v>
      </c>
      <c r="AC1073">
        <v>3</v>
      </c>
      <c r="AD1073">
        <v>2</v>
      </c>
      <c r="AE1073">
        <v>1</v>
      </c>
      <c r="AF1073">
        <v>2</v>
      </c>
      <c r="AG1073" t="s">
        <v>67</v>
      </c>
      <c r="AH1073">
        <v>0</v>
      </c>
      <c r="AI1073" t="s">
        <v>72</v>
      </c>
      <c r="AJ1073" s="3" t="s">
        <v>83</v>
      </c>
      <c r="AK1073" s="3">
        <v>2</v>
      </c>
      <c r="AL1073" s="3" t="s">
        <v>84</v>
      </c>
    </row>
    <row r="1074" spans="1:38" x14ac:dyDescent="0.3">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v>3180</v>
      </c>
      <c r="S1074">
        <v>4668</v>
      </c>
      <c r="T1074">
        <v>0</v>
      </c>
      <c r="U1074" t="s">
        <v>43</v>
      </c>
      <c r="V1074">
        <v>13</v>
      </c>
      <c r="W1074">
        <v>3</v>
      </c>
      <c r="X1074">
        <v>3</v>
      </c>
      <c r="Y1074">
        <v>3</v>
      </c>
      <c r="Z1074">
        <v>4</v>
      </c>
      <c r="AA1074">
        <v>3</v>
      </c>
      <c r="AB1074">
        <v>3</v>
      </c>
      <c r="AC1074">
        <v>3</v>
      </c>
      <c r="AD1074">
        <v>2</v>
      </c>
      <c r="AE1074">
        <v>0</v>
      </c>
      <c r="AF1074">
        <v>2</v>
      </c>
      <c r="AG1074" t="s">
        <v>67</v>
      </c>
      <c r="AH1074">
        <v>0</v>
      </c>
      <c r="AI1074" t="s">
        <v>70</v>
      </c>
      <c r="AJ1074" s="3" t="s">
        <v>83</v>
      </c>
      <c r="AK1074" s="3">
        <v>2</v>
      </c>
      <c r="AL1074" s="3" t="s">
        <v>84</v>
      </c>
    </row>
    <row r="1075" spans="1:38" x14ac:dyDescent="0.3">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v>6549</v>
      </c>
      <c r="S1075">
        <v>3173</v>
      </c>
      <c r="T1075">
        <v>1</v>
      </c>
      <c r="U1075" t="s">
        <v>43</v>
      </c>
      <c r="V1075">
        <v>14</v>
      </c>
      <c r="W1075">
        <v>3</v>
      </c>
      <c r="X1075">
        <v>2</v>
      </c>
      <c r="Y1075">
        <v>2</v>
      </c>
      <c r="Z1075">
        <v>8</v>
      </c>
      <c r="AA1075">
        <v>2</v>
      </c>
      <c r="AB1075">
        <v>2</v>
      </c>
      <c r="AC1075">
        <v>8</v>
      </c>
      <c r="AD1075">
        <v>6</v>
      </c>
      <c r="AE1075">
        <v>1</v>
      </c>
      <c r="AF1075">
        <v>7</v>
      </c>
      <c r="AG1075" t="s">
        <v>65</v>
      </c>
      <c r="AH1075">
        <v>0</v>
      </c>
      <c r="AI1075" t="s">
        <v>72</v>
      </c>
      <c r="AJ1075" s="3" t="s">
        <v>83</v>
      </c>
      <c r="AK1075" s="3">
        <v>1</v>
      </c>
      <c r="AL1075" s="3" t="s">
        <v>83</v>
      </c>
    </row>
    <row r="1076" spans="1:38" x14ac:dyDescent="0.3">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v>6388</v>
      </c>
      <c r="S1076">
        <v>22049</v>
      </c>
      <c r="T1076">
        <v>2</v>
      </c>
      <c r="U1076" t="s">
        <v>35</v>
      </c>
      <c r="V1076">
        <v>17</v>
      </c>
      <c r="W1076">
        <v>3</v>
      </c>
      <c r="X1076">
        <v>1</v>
      </c>
      <c r="Y1076">
        <v>0</v>
      </c>
      <c r="Z1076">
        <v>14</v>
      </c>
      <c r="AA1076">
        <v>6</v>
      </c>
      <c r="AB1076">
        <v>3</v>
      </c>
      <c r="AC1076">
        <v>0</v>
      </c>
      <c r="AD1076">
        <v>0</v>
      </c>
      <c r="AE1076">
        <v>0</v>
      </c>
      <c r="AF1076">
        <v>0</v>
      </c>
      <c r="AG1076" t="s">
        <v>66</v>
      </c>
      <c r="AH1076">
        <v>0</v>
      </c>
      <c r="AI1076" t="s">
        <v>72</v>
      </c>
      <c r="AJ1076" s="3" t="s">
        <v>84</v>
      </c>
      <c r="AK1076" s="3">
        <v>2</v>
      </c>
      <c r="AL1076" s="3" t="s">
        <v>84</v>
      </c>
    </row>
    <row r="1077" spans="1:38" x14ac:dyDescent="0.3">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v>11244</v>
      </c>
      <c r="S1077">
        <v>21072</v>
      </c>
      <c r="T1077">
        <v>2</v>
      </c>
      <c r="U1077" t="s">
        <v>43</v>
      </c>
      <c r="V1077">
        <v>25</v>
      </c>
      <c r="W1077">
        <v>4</v>
      </c>
      <c r="X1077">
        <v>2</v>
      </c>
      <c r="Y1077">
        <v>0</v>
      </c>
      <c r="Z1077">
        <v>10</v>
      </c>
      <c r="AA1077">
        <v>5</v>
      </c>
      <c r="AB1077">
        <v>4</v>
      </c>
      <c r="AC1077">
        <v>5</v>
      </c>
      <c r="AD1077">
        <v>2</v>
      </c>
      <c r="AE1077">
        <v>0</v>
      </c>
      <c r="AF1077">
        <v>0</v>
      </c>
      <c r="AG1077" t="s">
        <v>68</v>
      </c>
      <c r="AH1077">
        <v>0</v>
      </c>
      <c r="AI1077" t="s">
        <v>71</v>
      </c>
      <c r="AJ1077" s="3" t="s">
        <v>82</v>
      </c>
      <c r="AK1077" s="3">
        <v>0</v>
      </c>
      <c r="AL1077" s="3" t="s">
        <v>83</v>
      </c>
    </row>
    <row r="1078" spans="1:38" x14ac:dyDescent="0.3">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v>16032</v>
      </c>
      <c r="S1078">
        <v>24456</v>
      </c>
      <c r="T1078">
        <v>3</v>
      </c>
      <c r="U1078" t="s">
        <v>43</v>
      </c>
      <c r="V1078">
        <v>20</v>
      </c>
      <c r="W1078">
        <v>4</v>
      </c>
      <c r="X1078">
        <v>1</v>
      </c>
      <c r="Y1078">
        <v>1</v>
      </c>
      <c r="Z1078">
        <v>26</v>
      </c>
      <c r="AA1078">
        <v>2</v>
      </c>
      <c r="AB1078">
        <v>3</v>
      </c>
      <c r="AC1078">
        <v>14</v>
      </c>
      <c r="AD1078">
        <v>9</v>
      </c>
      <c r="AE1078">
        <v>1</v>
      </c>
      <c r="AF1078">
        <v>12</v>
      </c>
      <c r="AG1078" t="s">
        <v>65</v>
      </c>
      <c r="AH1078">
        <v>0</v>
      </c>
      <c r="AI1078" t="s">
        <v>71</v>
      </c>
      <c r="AJ1078" s="3" t="s">
        <v>82</v>
      </c>
      <c r="AK1078" s="3">
        <v>0</v>
      </c>
      <c r="AL1078" s="3" t="s">
        <v>83</v>
      </c>
    </row>
    <row r="1079" spans="1:38" x14ac:dyDescent="0.3">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v>2362</v>
      </c>
      <c r="S1079">
        <v>7568</v>
      </c>
      <c r="T1079">
        <v>6</v>
      </c>
      <c r="U1079" t="s">
        <v>43</v>
      </c>
      <c r="V1079">
        <v>13</v>
      </c>
      <c r="W1079">
        <v>3</v>
      </c>
      <c r="X1079">
        <v>3</v>
      </c>
      <c r="Y1079">
        <v>0</v>
      </c>
      <c r="Z1079">
        <v>11</v>
      </c>
      <c r="AA1079">
        <v>2</v>
      </c>
      <c r="AB1079">
        <v>1</v>
      </c>
      <c r="AC1079">
        <v>9</v>
      </c>
      <c r="AD1079">
        <v>7</v>
      </c>
      <c r="AE1079">
        <v>0</v>
      </c>
      <c r="AF1079">
        <v>7</v>
      </c>
      <c r="AG1079" t="s">
        <v>65</v>
      </c>
      <c r="AH1079">
        <v>1</v>
      </c>
      <c r="AI1079" t="s">
        <v>69</v>
      </c>
      <c r="AJ1079" s="3" t="s">
        <v>83</v>
      </c>
      <c r="AK1079" s="3">
        <v>1</v>
      </c>
      <c r="AL1079" s="3" t="s">
        <v>83</v>
      </c>
    </row>
    <row r="1080" spans="1:38" x14ac:dyDescent="0.3">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v>16328</v>
      </c>
      <c r="S1080">
        <v>22074</v>
      </c>
      <c r="T1080">
        <v>3</v>
      </c>
      <c r="U1080" t="s">
        <v>43</v>
      </c>
      <c r="V1080">
        <v>13</v>
      </c>
      <c r="W1080">
        <v>3</v>
      </c>
      <c r="X1080">
        <v>3</v>
      </c>
      <c r="Y1080">
        <v>1</v>
      </c>
      <c r="Z1080">
        <v>24</v>
      </c>
      <c r="AA1080">
        <v>1</v>
      </c>
      <c r="AB1080">
        <v>4</v>
      </c>
      <c r="AC1080">
        <v>20</v>
      </c>
      <c r="AD1080">
        <v>6</v>
      </c>
      <c r="AE1080">
        <v>14</v>
      </c>
      <c r="AF1080">
        <v>17</v>
      </c>
      <c r="AG1080" t="s">
        <v>65</v>
      </c>
      <c r="AH1080">
        <v>0</v>
      </c>
      <c r="AI1080" t="s">
        <v>72</v>
      </c>
      <c r="AJ1080" s="3" t="s">
        <v>83</v>
      </c>
      <c r="AK1080" s="3">
        <v>1</v>
      </c>
      <c r="AL1080" s="3" t="s">
        <v>83</v>
      </c>
    </row>
    <row r="1081" spans="1:38" x14ac:dyDescent="0.3">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v>8376</v>
      </c>
      <c r="S1081">
        <v>9150</v>
      </c>
      <c r="T1081">
        <v>4</v>
      </c>
      <c r="U1081" t="s">
        <v>43</v>
      </c>
      <c r="V1081">
        <v>18</v>
      </c>
      <c r="W1081">
        <v>3</v>
      </c>
      <c r="X1081">
        <v>4</v>
      </c>
      <c r="Y1081">
        <v>0</v>
      </c>
      <c r="Z1081">
        <v>9</v>
      </c>
      <c r="AA1081">
        <v>3</v>
      </c>
      <c r="AB1081">
        <v>3</v>
      </c>
      <c r="AC1081">
        <v>2</v>
      </c>
      <c r="AD1081">
        <v>0</v>
      </c>
      <c r="AE1081">
        <v>2</v>
      </c>
      <c r="AF1081">
        <v>2</v>
      </c>
      <c r="AG1081" t="s">
        <v>67</v>
      </c>
      <c r="AH1081">
        <v>0</v>
      </c>
      <c r="AI1081" t="s">
        <v>70</v>
      </c>
      <c r="AJ1081" s="3" t="s">
        <v>83</v>
      </c>
      <c r="AK1081" s="3">
        <v>2</v>
      </c>
      <c r="AL1081" s="3" t="s">
        <v>84</v>
      </c>
    </row>
    <row r="1082" spans="1:38" x14ac:dyDescent="0.3">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v>16606</v>
      </c>
      <c r="S1082">
        <v>11380</v>
      </c>
      <c r="T1082">
        <v>8</v>
      </c>
      <c r="U1082" t="s">
        <v>43</v>
      </c>
      <c r="V1082">
        <v>12</v>
      </c>
      <c r="W1082">
        <v>3</v>
      </c>
      <c r="X1082">
        <v>4</v>
      </c>
      <c r="Y1082">
        <v>1</v>
      </c>
      <c r="Z1082">
        <v>23</v>
      </c>
      <c r="AA1082">
        <v>2</v>
      </c>
      <c r="AB1082">
        <v>4</v>
      </c>
      <c r="AC1082">
        <v>13</v>
      </c>
      <c r="AD1082">
        <v>12</v>
      </c>
      <c r="AE1082">
        <v>5</v>
      </c>
      <c r="AF1082">
        <v>1</v>
      </c>
      <c r="AG1082" t="s">
        <v>65</v>
      </c>
      <c r="AH1082">
        <v>0</v>
      </c>
      <c r="AI1082" t="s">
        <v>71</v>
      </c>
      <c r="AJ1082" s="3" t="s">
        <v>83</v>
      </c>
      <c r="AK1082" s="3">
        <v>1</v>
      </c>
      <c r="AL1082" s="3" t="s">
        <v>83</v>
      </c>
    </row>
    <row r="1083" spans="1:38" x14ac:dyDescent="0.3">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v>8606</v>
      </c>
      <c r="S1083">
        <v>21195</v>
      </c>
      <c r="T1083">
        <v>1</v>
      </c>
      <c r="U1083" t="s">
        <v>43</v>
      </c>
      <c r="V1083">
        <v>19</v>
      </c>
      <c r="W1083">
        <v>3</v>
      </c>
      <c r="X1083">
        <v>4</v>
      </c>
      <c r="Y1083">
        <v>0</v>
      </c>
      <c r="Z1083">
        <v>11</v>
      </c>
      <c r="AA1083">
        <v>3</v>
      </c>
      <c r="AB1083">
        <v>1</v>
      </c>
      <c r="AC1083">
        <v>11</v>
      </c>
      <c r="AD1083">
        <v>8</v>
      </c>
      <c r="AE1083">
        <v>3</v>
      </c>
      <c r="AF1083">
        <v>3</v>
      </c>
      <c r="AG1083" t="s">
        <v>65</v>
      </c>
      <c r="AH1083">
        <v>0</v>
      </c>
      <c r="AI1083" t="s">
        <v>70</v>
      </c>
      <c r="AJ1083" s="3" t="s">
        <v>83</v>
      </c>
      <c r="AK1083" s="3">
        <v>1</v>
      </c>
      <c r="AL1083" s="3" t="s">
        <v>83</v>
      </c>
    </row>
    <row r="1084" spans="1:38" x14ac:dyDescent="0.3">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v>2272</v>
      </c>
      <c r="S1084">
        <v>24812</v>
      </c>
      <c r="T1084">
        <v>0</v>
      </c>
      <c r="U1084" t="s">
        <v>43</v>
      </c>
      <c r="V1084">
        <v>14</v>
      </c>
      <c r="W1084">
        <v>3</v>
      </c>
      <c r="X1084">
        <v>2</v>
      </c>
      <c r="Y1084">
        <v>0</v>
      </c>
      <c r="Z1084">
        <v>5</v>
      </c>
      <c r="AA1084">
        <v>2</v>
      </c>
      <c r="AB1084">
        <v>3</v>
      </c>
      <c r="AC1084">
        <v>4</v>
      </c>
      <c r="AD1084">
        <v>3</v>
      </c>
      <c r="AE1084">
        <v>1</v>
      </c>
      <c r="AF1084">
        <v>2</v>
      </c>
      <c r="AG1084" t="s">
        <v>68</v>
      </c>
      <c r="AH1084">
        <v>0</v>
      </c>
      <c r="AI1084" t="s">
        <v>71</v>
      </c>
      <c r="AJ1084" s="3" t="s">
        <v>84</v>
      </c>
      <c r="AK1084" s="3">
        <v>0</v>
      </c>
      <c r="AL1084" s="3" t="s">
        <v>83</v>
      </c>
    </row>
    <row r="1085" spans="1:38" x14ac:dyDescent="0.3">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v>2018</v>
      </c>
      <c r="S1085">
        <v>21831</v>
      </c>
      <c r="T1085">
        <v>3</v>
      </c>
      <c r="U1085" t="s">
        <v>43</v>
      </c>
      <c r="V1085">
        <v>14</v>
      </c>
      <c r="W1085">
        <v>3</v>
      </c>
      <c r="X1085">
        <v>2</v>
      </c>
      <c r="Y1085">
        <v>0</v>
      </c>
      <c r="Z1085">
        <v>15</v>
      </c>
      <c r="AA1085">
        <v>3</v>
      </c>
      <c r="AB1085">
        <v>1</v>
      </c>
      <c r="AC1085">
        <v>5</v>
      </c>
      <c r="AD1085">
        <v>4</v>
      </c>
      <c r="AE1085">
        <v>1</v>
      </c>
      <c r="AF1085">
        <v>0</v>
      </c>
      <c r="AG1085" t="s">
        <v>68</v>
      </c>
      <c r="AH1085">
        <v>1</v>
      </c>
      <c r="AI1085" t="s">
        <v>72</v>
      </c>
      <c r="AJ1085" s="3" t="s">
        <v>83</v>
      </c>
      <c r="AK1085" s="3">
        <v>1</v>
      </c>
      <c r="AL1085" s="3" t="s">
        <v>83</v>
      </c>
    </row>
    <row r="1086" spans="1:38" x14ac:dyDescent="0.3">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v>7083</v>
      </c>
      <c r="S1086">
        <v>12288</v>
      </c>
      <c r="T1086">
        <v>1</v>
      </c>
      <c r="U1086" t="s">
        <v>35</v>
      </c>
      <c r="V1086">
        <v>14</v>
      </c>
      <c r="W1086">
        <v>3</v>
      </c>
      <c r="X1086">
        <v>4</v>
      </c>
      <c r="Y1086">
        <v>0</v>
      </c>
      <c r="Z1086">
        <v>10</v>
      </c>
      <c r="AA1086">
        <v>3</v>
      </c>
      <c r="AB1086">
        <v>3</v>
      </c>
      <c r="AC1086">
        <v>10</v>
      </c>
      <c r="AD1086">
        <v>9</v>
      </c>
      <c r="AE1086">
        <v>8</v>
      </c>
      <c r="AF1086">
        <v>6</v>
      </c>
      <c r="AG1086" t="s">
        <v>65</v>
      </c>
      <c r="AH1086">
        <v>0</v>
      </c>
      <c r="AI1086" t="s">
        <v>70</v>
      </c>
      <c r="AJ1086" s="3" t="s">
        <v>84</v>
      </c>
      <c r="AK1086" s="3">
        <v>1</v>
      </c>
      <c r="AL1086" s="3" t="s">
        <v>83</v>
      </c>
    </row>
    <row r="1087" spans="1:38" x14ac:dyDescent="0.3">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v>4084</v>
      </c>
      <c r="S1087">
        <v>4156</v>
      </c>
      <c r="T1087">
        <v>1</v>
      </c>
      <c r="U1087" t="s">
        <v>43</v>
      </c>
      <c r="V1087">
        <v>12</v>
      </c>
      <c r="W1087">
        <v>3</v>
      </c>
      <c r="X1087">
        <v>1</v>
      </c>
      <c r="Y1087">
        <v>0</v>
      </c>
      <c r="Z1087">
        <v>7</v>
      </c>
      <c r="AA1087">
        <v>2</v>
      </c>
      <c r="AB1087">
        <v>1</v>
      </c>
      <c r="AC1087">
        <v>7</v>
      </c>
      <c r="AD1087">
        <v>2</v>
      </c>
      <c r="AE1087">
        <v>7</v>
      </c>
      <c r="AF1087">
        <v>7</v>
      </c>
      <c r="AG1087" t="s">
        <v>65</v>
      </c>
      <c r="AH1087">
        <v>1</v>
      </c>
      <c r="AI1087" t="s">
        <v>71</v>
      </c>
      <c r="AJ1087" s="3" t="s">
        <v>84</v>
      </c>
      <c r="AK1087" s="3">
        <v>0</v>
      </c>
      <c r="AL1087" s="3" t="s">
        <v>83</v>
      </c>
    </row>
    <row r="1088" spans="1:38" x14ac:dyDescent="0.3">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v>14411</v>
      </c>
      <c r="S1088">
        <v>24450</v>
      </c>
      <c r="T1088">
        <v>1</v>
      </c>
      <c r="U1088" t="s">
        <v>35</v>
      </c>
      <c r="V1088">
        <v>13</v>
      </c>
      <c r="W1088">
        <v>3</v>
      </c>
      <c r="X1088">
        <v>4</v>
      </c>
      <c r="Y1088">
        <v>0</v>
      </c>
      <c r="Z1088">
        <v>32</v>
      </c>
      <c r="AA1088">
        <v>2</v>
      </c>
      <c r="AB1088">
        <v>3</v>
      </c>
      <c r="AC1088">
        <v>32</v>
      </c>
      <c r="AD1088">
        <v>6</v>
      </c>
      <c r="AE1088">
        <v>13</v>
      </c>
      <c r="AF1088">
        <v>9</v>
      </c>
      <c r="AG1088" t="s">
        <v>65</v>
      </c>
      <c r="AH1088">
        <v>0</v>
      </c>
      <c r="AI1088" t="s">
        <v>71</v>
      </c>
      <c r="AJ1088" s="3" t="s">
        <v>82</v>
      </c>
      <c r="AK1088" s="3">
        <v>1</v>
      </c>
      <c r="AL1088" s="3" t="s">
        <v>83</v>
      </c>
    </row>
    <row r="1089" spans="1:38" x14ac:dyDescent="0.3">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v>2308</v>
      </c>
      <c r="S1089">
        <v>4944</v>
      </c>
      <c r="T1089">
        <v>0</v>
      </c>
      <c r="U1089" t="s">
        <v>35</v>
      </c>
      <c r="V1089">
        <v>25</v>
      </c>
      <c r="W1089">
        <v>4</v>
      </c>
      <c r="X1089">
        <v>2</v>
      </c>
      <c r="Y1089">
        <v>1</v>
      </c>
      <c r="Z1089">
        <v>12</v>
      </c>
      <c r="AA1089">
        <v>4</v>
      </c>
      <c r="AB1089">
        <v>3</v>
      </c>
      <c r="AC1089">
        <v>11</v>
      </c>
      <c r="AD1089">
        <v>10</v>
      </c>
      <c r="AE1089">
        <v>5</v>
      </c>
      <c r="AF1089">
        <v>7</v>
      </c>
      <c r="AG1089" t="s">
        <v>65</v>
      </c>
      <c r="AH1089">
        <v>0</v>
      </c>
      <c r="AI1089" t="s">
        <v>69</v>
      </c>
      <c r="AJ1089" s="3" t="s">
        <v>84</v>
      </c>
      <c r="AK1089" s="3">
        <v>1</v>
      </c>
      <c r="AL1089" s="3" t="s">
        <v>83</v>
      </c>
    </row>
    <row r="1090" spans="1:38" x14ac:dyDescent="0.3">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v>4841</v>
      </c>
      <c r="S1090">
        <v>24052</v>
      </c>
      <c r="T1090">
        <v>4</v>
      </c>
      <c r="U1090" t="s">
        <v>43</v>
      </c>
      <c r="V1090">
        <v>14</v>
      </c>
      <c r="W1090">
        <v>3</v>
      </c>
      <c r="X1090">
        <v>2</v>
      </c>
      <c r="Y1090">
        <v>1</v>
      </c>
      <c r="Z1090">
        <v>4</v>
      </c>
      <c r="AA1090">
        <v>3</v>
      </c>
      <c r="AB1090">
        <v>3</v>
      </c>
      <c r="AC1090">
        <v>1</v>
      </c>
      <c r="AD1090">
        <v>0</v>
      </c>
      <c r="AE1090">
        <v>0</v>
      </c>
      <c r="AF1090">
        <v>0</v>
      </c>
      <c r="AG1090" t="s">
        <v>67</v>
      </c>
      <c r="AH1090">
        <v>0</v>
      </c>
      <c r="AI1090" t="s">
        <v>71</v>
      </c>
      <c r="AJ1090" s="3" t="s">
        <v>83</v>
      </c>
      <c r="AK1090" s="3">
        <v>2</v>
      </c>
      <c r="AL1090" s="3" t="s">
        <v>84</v>
      </c>
    </row>
    <row r="1091" spans="1:38" x14ac:dyDescent="0.3">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v>4285</v>
      </c>
      <c r="S1091">
        <v>3031</v>
      </c>
      <c r="T1091">
        <v>1</v>
      </c>
      <c r="U1091" t="s">
        <v>43</v>
      </c>
      <c r="V1091">
        <v>17</v>
      </c>
      <c r="W1091">
        <v>3</v>
      </c>
      <c r="X1091">
        <v>1</v>
      </c>
      <c r="Y1091">
        <v>0</v>
      </c>
      <c r="Z1091">
        <v>10</v>
      </c>
      <c r="AA1091">
        <v>2</v>
      </c>
      <c r="AB1091">
        <v>3</v>
      </c>
      <c r="AC1091">
        <v>10</v>
      </c>
      <c r="AD1091">
        <v>8</v>
      </c>
      <c r="AE1091">
        <v>3</v>
      </c>
      <c r="AF1091">
        <v>7</v>
      </c>
      <c r="AG1091" t="s">
        <v>65</v>
      </c>
      <c r="AH1091">
        <v>0</v>
      </c>
      <c r="AI1091" t="s">
        <v>70</v>
      </c>
      <c r="AJ1091" s="3" t="s">
        <v>82</v>
      </c>
      <c r="AK1091" s="3">
        <v>0</v>
      </c>
      <c r="AL1091" s="3" t="s">
        <v>83</v>
      </c>
    </row>
    <row r="1092" spans="1:38" x14ac:dyDescent="0.3">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v>9715</v>
      </c>
      <c r="S1092">
        <v>7288</v>
      </c>
      <c r="T1092">
        <v>3</v>
      </c>
      <c r="U1092" t="s">
        <v>43</v>
      </c>
      <c r="V1092">
        <v>13</v>
      </c>
      <c r="W1092">
        <v>3</v>
      </c>
      <c r="X1092">
        <v>3</v>
      </c>
      <c r="Y1092">
        <v>1</v>
      </c>
      <c r="Z1092">
        <v>9</v>
      </c>
      <c r="AA1092">
        <v>3</v>
      </c>
      <c r="AB1092">
        <v>3</v>
      </c>
      <c r="AC1092">
        <v>7</v>
      </c>
      <c r="AD1092">
        <v>7</v>
      </c>
      <c r="AE1092">
        <v>0</v>
      </c>
      <c r="AF1092">
        <v>7</v>
      </c>
      <c r="AG1092" t="s">
        <v>65</v>
      </c>
      <c r="AH1092">
        <v>0</v>
      </c>
      <c r="AI1092" t="s">
        <v>71</v>
      </c>
      <c r="AJ1092" s="3" t="s">
        <v>83</v>
      </c>
      <c r="AK1092" s="3">
        <v>1</v>
      </c>
      <c r="AL1092" s="3" t="s">
        <v>83</v>
      </c>
    </row>
    <row r="1093" spans="1:38" x14ac:dyDescent="0.3">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v>4320</v>
      </c>
      <c r="S1093">
        <v>24152</v>
      </c>
      <c r="T1093">
        <v>1</v>
      </c>
      <c r="U1093" t="s">
        <v>43</v>
      </c>
      <c r="V1093">
        <v>13</v>
      </c>
      <c r="W1093">
        <v>3</v>
      </c>
      <c r="X1093">
        <v>4</v>
      </c>
      <c r="Y1093">
        <v>0</v>
      </c>
      <c r="Z1093">
        <v>5</v>
      </c>
      <c r="AA1093">
        <v>2</v>
      </c>
      <c r="AB1093">
        <v>3</v>
      </c>
      <c r="AC1093">
        <v>5</v>
      </c>
      <c r="AD1093">
        <v>3</v>
      </c>
      <c r="AE1093">
        <v>0</v>
      </c>
      <c r="AF1093">
        <v>2</v>
      </c>
      <c r="AG1093" t="s">
        <v>68</v>
      </c>
      <c r="AH1093">
        <v>0</v>
      </c>
      <c r="AI1093" t="s">
        <v>72</v>
      </c>
      <c r="AJ1093" s="3" t="s">
        <v>83</v>
      </c>
      <c r="AK1093" s="3">
        <v>1</v>
      </c>
      <c r="AL1093" s="3" t="s">
        <v>83</v>
      </c>
    </row>
    <row r="1094" spans="1:38" x14ac:dyDescent="0.3">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v>2132</v>
      </c>
      <c r="S1094">
        <v>4585</v>
      </c>
      <c r="T1094">
        <v>4</v>
      </c>
      <c r="U1094" t="s">
        <v>43</v>
      </c>
      <c r="V1094">
        <v>20</v>
      </c>
      <c r="W1094">
        <v>4</v>
      </c>
      <c r="X1094">
        <v>4</v>
      </c>
      <c r="Y1094">
        <v>1</v>
      </c>
      <c r="Z1094">
        <v>8</v>
      </c>
      <c r="AA1094">
        <v>3</v>
      </c>
      <c r="AB1094">
        <v>3</v>
      </c>
      <c r="AC1094">
        <v>5</v>
      </c>
      <c r="AD1094">
        <v>4</v>
      </c>
      <c r="AE1094">
        <v>0</v>
      </c>
      <c r="AF1094">
        <v>3</v>
      </c>
      <c r="AG1094" t="s">
        <v>68</v>
      </c>
      <c r="AH1094">
        <v>0</v>
      </c>
      <c r="AI1094" t="s">
        <v>71</v>
      </c>
      <c r="AJ1094" s="3" t="s">
        <v>82</v>
      </c>
      <c r="AK1094" s="3">
        <v>0</v>
      </c>
      <c r="AL1094" s="3" t="s">
        <v>83</v>
      </c>
    </row>
    <row r="1095" spans="1:38" x14ac:dyDescent="0.3">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v>10124</v>
      </c>
      <c r="S1095">
        <v>18611</v>
      </c>
      <c r="T1095">
        <v>2</v>
      </c>
      <c r="U1095" t="s">
        <v>35</v>
      </c>
      <c r="V1095">
        <v>14</v>
      </c>
      <c r="W1095">
        <v>3</v>
      </c>
      <c r="X1095">
        <v>3</v>
      </c>
      <c r="Y1095">
        <v>1</v>
      </c>
      <c r="Z1095">
        <v>24</v>
      </c>
      <c r="AA1095">
        <v>3</v>
      </c>
      <c r="AB1095">
        <v>1</v>
      </c>
      <c r="AC1095">
        <v>20</v>
      </c>
      <c r="AD1095">
        <v>8</v>
      </c>
      <c r="AE1095">
        <v>13</v>
      </c>
      <c r="AF1095">
        <v>9</v>
      </c>
      <c r="AG1095" t="s">
        <v>65</v>
      </c>
      <c r="AH1095">
        <v>0</v>
      </c>
      <c r="AI1095" t="s">
        <v>70</v>
      </c>
      <c r="AJ1095" s="3" t="s">
        <v>82</v>
      </c>
      <c r="AK1095" s="3">
        <v>1</v>
      </c>
      <c r="AL1095" s="3" t="s">
        <v>83</v>
      </c>
    </row>
    <row r="1096" spans="1:38" x14ac:dyDescent="0.3">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v>5473</v>
      </c>
      <c r="S1096">
        <v>19345</v>
      </c>
      <c r="T1096">
        <v>0</v>
      </c>
      <c r="U1096" t="s">
        <v>43</v>
      </c>
      <c r="V1096">
        <v>12</v>
      </c>
      <c r="W1096">
        <v>3</v>
      </c>
      <c r="X1096">
        <v>4</v>
      </c>
      <c r="Y1096">
        <v>0</v>
      </c>
      <c r="Z1096">
        <v>9</v>
      </c>
      <c r="AA1096">
        <v>5</v>
      </c>
      <c r="AB1096">
        <v>4</v>
      </c>
      <c r="AC1096">
        <v>8</v>
      </c>
      <c r="AD1096">
        <v>4</v>
      </c>
      <c r="AE1096">
        <v>7</v>
      </c>
      <c r="AF1096">
        <v>1</v>
      </c>
      <c r="AG1096" t="s">
        <v>65</v>
      </c>
      <c r="AH1096">
        <v>0</v>
      </c>
      <c r="AI1096" t="s">
        <v>70</v>
      </c>
      <c r="AJ1096" s="3" t="s">
        <v>83</v>
      </c>
      <c r="AK1096" s="3">
        <v>1</v>
      </c>
      <c r="AL1096" s="3" t="s">
        <v>83</v>
      </c>
    </row>
    <row r="1097" spans="1:38" x14ac:dyDescent="0.3">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v>5207</v>
      </c>
      <c r="S1097">
        <v>22949</v>
      </c>
      <c r="T1097">
        <v>1</v>
      </c>
      <c r="U1097" t="s">
        <v>35</v>
      </c>
      <c r="V1097">
        <v>12</v>
      </c>
      <c r="W1097">
        <v>3</v>
      </c>
      <c r="X1097">
        <v>2</v>
      </c>
      <c r="Y1097">
        <v>1</v>
      </c>
      <c r="Z1097">
        <v>15</v>
      </c>
      <c r="AA1097">
        <v>3</v>
      </c>
      <c r="AB1097">
        <v>3</v>
      </c>
      <c r="AC1097">
        <v>15</v>
      </c>
      <c r="AD1097">
        <v>14</v>
      </c>
      <c r="AE1097">
        <v>5</v>
      </c>
      <c r="AF1097">
        <v>7</v>
      </c>
      <c r="AG1097" t="s">
        <v>65</v>
      </c>
      <c r="AH1097">
        <v>0</v>
      </c>
      <c r="AI1097" t="s">
        <v>70</v>
      </c>
      <c r="AJ1097" s="3" t="s">
        <v>84</v>
      </c>
      <c r="AK1097" s="3">
        <v>1</v>
      </c>
      <c r="AL1097" s="3" t="s">
        <v>83</v>
      </c>
    </row>
    <row r="1098" spans="1:38" x14ac:dyDescent="0.3">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v>16437</v>
      </c>
      <c r="S1098">
        <v>17381</v>
      </c>
      <c r="T1098">
        <v>1</v>
      </c>
      <c r="U1098" t="s">
        <v>35</v>
      </c>
      <c r="V1098">
        <v>21</v>
      </c>
      <c r="W1098">
        <v>4</v>
      </c>
      <c r="X1098">
        <v>4</v>
      </c>
      <c r="Y1098">
        <v>0</v>
      </c>
      <c r="Z1098">
        <v>21</v>
      </c>
      <c r="AA1098">
        <v>2</v>
      </c>
      <c r="AB1098">
        <v>3</v>
      </c>
      <c r="AC1098">
        <v>21</v>
      </c>
      <c r="AD1098">
        <v>7</v>
      </c>
      <c r="AE1098">
        <v>7</v>
      </c>
      <c r="AF1098">
        <v>7</v>
      </c>
      <c r="AG1098" t="s">
        <v>65</v>
      </c>
      <c r="AH1098">
        <v>0</v>
      </c>
      <c r="AI1098" t="s">
        <v>71</v>
      </c>
      <c r="AJ1098" s="3" t="s">
        <v>82</v>
      </c>
      <c r="AK1098" s="3">
        <v>1</v>
      </c>
      <c r="AL1098" s="3" t="s">
        <v>83</v>
      </c>
    </row>
    <row r="1099" spans="1:38" x14ac:dyDescent="0.3">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v>2296</v>
      </c>
      <c r="S1099">
        <v>10036</v>
      </c>
      <c r="T1099">
        <v>0</v>
      </c>
      <c r="U1099" t="s">
        <v>43</v>
      </c>
      <c r="V1099">
        <v>14</v>
      </c>
      <c r="W1099">
        <v>3</v>
      </c>
      <c r="X1099">
        <v>2</v>
      </c>
      <c r="Y1099">
        <v>3</v>
      </c>
      <c r="Z1099">
        <v>2</v>
      </c>
      <c r="AA1099">
        <v>3</v>
      </c>
      <c r="AB1099">
        <v>3</v>
      </c>
      <c r="AC1099">
        <v>1</v>
      </c>
      <c r="AD1099">
        <v>1</v>
      </c>
      <c r="AE1099">
        <v>0</v>
      </c>
      <c r="AF1099">
        <v>0</v>
      </c>
      <c r="AG1099" t="s">
        <v>67</v>
      </c>
      <c r="AH1099">
        <v>0</v>
      </c>
      <c r="AI1099" t="s">
        <v>70</v>
      </c>
      <c r="AJ1099" s="3" t="s">
        <v>83</v>
      </c>
      <c r="AK1099" s="3">
        <v>2</v>
      </c>
      <c r="AL1099" s="3" t="s">
        <v>84</v>
      </c>
    </row>
    <row r="1100" spans="1:38" x14ac:dyDescent="0.3">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v>4069</v>
      </c>
      <c r="S1100">
        <v>8841</v>
      </c>
      <c r="T1100">
        <v>3</v>
      </c>
      <c r="U1100" t="s">
        <v>35</v>
      </c>
      <c r="V1100">
        <v>18</v>
      </c>
      <c r="W1100">
        <v>3</v>
      </c>
      <c r="X1100">
        <v>3</v>
      </c>
      <c r="Y1100">
        <v>0</v>
      </c>
      <c r="Z1100">
        <v>8</v>
      </c>
      <c r="AA1100">
        <v>2</v>
      </c>
      <c r="AB1100">
        <v>3</v>
      </c>
      <c r="AC1100">
        <v>2</v>
      </c>
      <c r="AD1100">
        <v>2</v>
      </c>
      <c r="AE1100">
        <v>2</v>
      </c>
      <c r="AF1100">
        <v>2</v>
      </c>
      <c r="AG1100" t="s">
        <v>67</v>
      </c>
      <c r="AH1100">
        <v>0</v>
      </c>
      <c r="AI1100" t="s">
        <v>72</v>
      </c>
      <c r="AJ1100" s="3" t="s">
        <v>82</v>
      </c>
      <c r="AK1100" s="3">
        <v>2</v>
      </c>
      <c r="AL1100" s="3" t="s">
        <v>84</v>
      </c>
    </row>
    <row r="1101" spans="1:38" x14ac:dyDescent="0.3">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v>7441</v>
      </c>
      <c r="S1101">
        <v>20933</v>
      </c>
      <c r="T1101">
        <v>1</v>
      </c>
      <c r="U1101" t="s">
        <v>43</v>
      </c>
      <c r="V1101">
        <v>12</v>
      </c>
      <c r="W1101">
        <v>3</v>
      </c>
      <c r="X1101">
        <v>1</v>
      </c>
      <c r="Y1101">
        <v>3</v>
      </c>
      <c r="Z1101">
        <v>10</v>
      </c>
      <c r="AA1101">
        <v>4</v>
      </c>
      <c r="AB1101">
        <v>3</v>
      </c>
      <c r="AC1101">
        <v>10</v>
      </c>
      <c r="AD1101">
        <v>8</v>
      </c>
      <c r="AE1101">
        <v>7</v>
      </c>
      <c r="AF1101">
        <v>7</v>
      </c>
      <c r="AG1101" t="s">
        <v>65</v>
      </c>
      <c r="AH1101">
        <v>0</v>
      </c>
      <c r="AI1101" t="s">
        <v>70</v>
      </c>
      <c r="AJ1101" s="3" t="s">
        <v>83</v>
      </c>
      <c r="AK1101" s="3">
        <v>1</v>
      </c>
      <c r="AL1101" s="3" t="s">
        <v>83</v>
      </c>
    </row>
    <row r="1102" spans="1:38" x14ac:dyDescent="0.3">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v>2430</v>
      </c>
      <c r="S1102">
        <v>26204</v>
      </c>
      <c r="T1102">
        <v>0</v>
      </c>
      <c r="U1102" t="s">
        <v>43</v>
      </c>
      <c r="V1102">
        <v>23</v>
      </c>
      <c r="W1102">
        <v>4</v>
      </c>
      <c r="X1102">
        <v>1</v>
      </c>
      <c r="Y1102">
        <v>2</v>
      </c>
      <c r="Z1102">
        <v>6</v>
      </c>
      <c r="AA1102">
        <v>5</v>
      </c>
      <c r="AB1102">
        <v>3</v>
      </c>
      <c r="AC1102">
        <v>5</v>
      </c>
      <c r="AD1102">
        <v>3</v>
      </c>
      <c r="AE1102">
        <v>4</v>
      </c>
      <c r="AF1102">
        <v>2</v>
      </c>
      <c r="AG1102" t="s">
        <v>68</v>
      </c>
      <c r="AH1102">
        <v>0</v>
      </c>
      <c r="AI1102" t="s">
        <v>70</v>
      </c>
      <c r="AJ1102" s="3" t="s">
        <v>84</v>
      </c>
      <c r="AK1102" s="3">
        <v>0</v>
      </c>
      <c r="AL1102" s="3" t="s">
        <v>83</v>
      </c>
    </row>
    <row r="1103" spans="1:38" x14ac:dyDescent="0.3">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v>5878</v>
      </c>
      <c r="S1103">
        <v>15624</v>
      </c>
      <c r="T1103">
        <v>3</v>
      </c>
      <c r="U1103" t="s">
        <v>43</v>
      </c>
      <c r="V1103">
        <v>12</v>
      </c>
      <c r="W1103">
        <v>3</v>
      </c>
      <c r="X1103">
        <v>1</v>
      </c>
      <c r="Y1103">
        <v>1</v>
      </c>
      <c r="Z1103">
        <v>12</v>
      </c>
      <c r="AA1103">
        <v>2</v>
      </c>
      <c r="AB1103">
        <v>3</v>
      </c>
      <c r="AC1103">
        <v>7</v>
      </c>
      <c r="AD1103">
        <v>1</v>
      </c>
      <c r="AE1103">
        <v>2</v>
      </c>
      <c r="AF1103">
        <v>5</v>
      </c>
      <c r="AG1103" t="s">
        <v>65</v>
      </c>
      <c r="AH1103">
        <v>0</v>
      </c>
      <c r="AI1103" t="s">
        <v>71</v>
      </c>
      <c r="AJ1103" s="3" t="s">
        <v>83</v>
      </c>
      <c r="AK1103" s="3">
        <v>1</v>
      </c>
      <c r="AL1103" s="3" t="s">
        <v>83</v>
      </c>
    </row>
    <row r="1104" spans="1:38" x14ac:dyDescent="0.3">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v>2644</v>
      </c>
      <c r="S1104">
        <v>17001</v>
      </c>
      <c r="T1104">
        <v>3</v>
      </c>
      <c r="U1104" t="s">
        <v>35</v>
      </c>
      <c r="V1104">
        <v>21</v>
      </c>
      <c r="W1104">
        <v>4</v>
      </c>
      <c r="X1104">
        <v>4</v>
      </c>
      <c r="Y1104">
        <v>0</v>
      </c>
      <c r="Z1104">
        <v>7</v>
      </c>
      <c r="AA1104">
        <v>3</v>
      </c>
      <c r="AB1104">
        <v>2</v>
      </c>
      <c r="AC1104">
        <v>3</v>
      </c>
      <c r="AD1104">
        <v>2</v>
      </c>
      <c r="AE1104">
        <v>1</v>
      </c>
      <c r="AF1104">
        <v>2</v>
      </c>
      <c r="AG1104" t="s">
        <v>67</v>
      </c>
      <c r="AH1104">
        <v>0</v>
      </c>
      <c r="AI1104" t="s">
        <v>71</v>
      </c>
      <c r="AJ1104" s="3" t="s">
        <v>82</v>
      </c>
      <c r="AK1104" s="3">
        <v>2</v>
      </c>
      <c r="AL1104" s="3" t="s">
        <v>84</v>
      </c>
    </row>
    <row r="1105" spans="1:38" x14ac:dyDescent="0.3">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v>6439</v>
      </c>
      <c r="S1105">
        <v>13693</v>
      </c>
      <c r="T1105">
        <v>8</v>
      </c>
      <c r="U1105" t="s">
        <v>43</v>
      </c>
      <c r="V1105">
        <v>14</v>
      </c>
      <c r="W1105">
        <v>3</v>
      </c>
      <c r="X1105">
        <v>3</v>
      </c>
      <c r="Y1105">
        <v>1</v>
      </c>
      <c r="Z1105">
        <v>18</v>
      </c>
      <c r="AA1105">
        <v>2</v>
      </c>
      <c r="AB1105">
        <v>3</v>
      </c>
      <c r="AC1105">
        <v>8</v>
      </c>
      <c r="AD1105">
        <v>7</v>
      </c>
      <c r="AE1105">
        <v>7</v>
      </c>
      <c r="AF1105">
        <v>7</v>
      </c>
      <c r="AG1105" t="s">
        <v>65</v>
      </c>
      <c r="AH1105">
        <v>0</v>
      </c>
      <c r="AI1105" t="s">
        <v>71</v>
      </c>
      <c r="AJ1105" s="3" t="s">
        <v>84</v>
      </c>
      <c r="AK1105" s="3">
        <v>0</v>
      </c>
      <c r="AL1105" s="3" t="s">
        <v>83</v>
      </c>
    </row>
    <row r="1106" spans="1:38" x14ac:dyDescent="0.3">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v>2451</v>
      </c>
      <c r="S1106">
        <v>22376</v>
      </c>
      <c r="T1106">
        <v>6</v>
      </c>
      <c r="U1106" t="s">
        <v>43</v>
      </c>
      <c r="V1106">
        <v>18</v>
      </c>
      <c r="W1106">
        <v>3</v>
      </c>
      <c r="X1106">
        <v>1</v>
      </c>
      <c r="Y1106">
        <v>2</v>
      </c>
      <c r="Z1106">
        <v>5</v>
      </c>
      <c r="AA1106">
        <v>2</v>
      </c>
      <c r="AB1106">
        <v>2</v>
      </c>
      <c r="AC1106">
        <v>1</v>
      </c>
      <c r="AD1106">
        <v>0</v>
      </c>
      <c r="AE1106">
        <v>0</v>
      </c>
      <c r="AF1106">
        <v>0</v>
      </c>
      <c r="AG1106" t="s">
        <v>67</v>
      </c>
      <c r="AH1106">
        <v>0</v>
      </c>
      <c r="AI1106" t="s">
        <v>70</v>
      </c>
      <c r="AJ1106" s="3" t="s">
        <v>84</v>
      </c>
      <c r="AK1106" s="3">
        <v>1</v>
      </c>
      <c r="AL1106" s="3" t="s">
        <v>83</v>
      </c>
    </row>
    <row r="1107" spans="1:38" x14ac:dyDescent="0.3">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v>6392</v>
      </c>
      <c r="S1107">
        <v>10589</v>
      </c>
      <c r="T1107">
        <v>2</v>
      </c>
      <c r="U1107" t="s">
        <v>43</v>
      </c>
      <c r="V1107">
        <v>13</v>
      </c>
      <c r="W1107">
        <v>3</v>
      </c>
      <c r="X1107">
        <v>4</v>
      </c>
      <c r="Y1107">
        <v>1</v>
      </c>
      <c r="Z1107">
        <v>8</v>
      </c>
      <c r="AA1107">
        <v>6</v>
      </c>
      <c r="AB1107">
        <v>1</v>
      </c>
      <c r="AC1107">
        <v>2</v>
      </c>
      <c r="AD1107">
        <v>2</v>
      </c>
      <c r="AE1107">
        <v>2</v>
      </c>
      <c r="AF1107">
        <v>2</v>
      </c>
      <c r="AG1107" t="s">
        <v>67</v>
      </c>
      <c r="AH1107">
        <v>0</v>
      </c>
      <c r="AI1107" t="s">
        <v>72</v>
      </c>
      <c r="AJ1107" s="3" t="s">
        <v>83</v>
      </c>
      <c r="AK1107" s="3">
        <v>2</v>
      </c>
      <c r="AL1107" s="3" t="s">
        <v>84</v>
      </c>
    </row>
    <row r="1108" spans="1:38" x14ac:dyDescent="0.3">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v>9714</v>
      </c>
      <c r="S1108">
        <v>5323</v>
      </c>
      <c r="T1108">
        <v>1</v>
      </c>
      <c r="U1108" t="s">
        <v>43</v>
      </c>
      <c r="V1108">
        <v>11</v>
      </c>
      <c r="W1108">
        <v>3</v>
      </c>
      <c r="X1108">
        <v>4</v>
      </c>
      <c r="Y1108">
        <v>1</v>
      </c>
      <c r="Z1108">
        <v>10</v>
      </c>
      <c r="AA1108">
        <v>4</v>
      </c>
      <c r="AB1108">
        <v>3</v>
      </c>
      <c r="AC1108">
        <v>10</v>
      </c>
      <c r="AD1108">
        <v>8</v>
      </c>
      <c r="AE1108">
        <v>6</v>
      </c>
      <c r="AF1108">
        <v>7</v>
      </c>
      <c r="AG1108" t="s">
        <v>65</v>
      </c>
      <c r="AH1108">
        <v>1</v>
      </c>
      <c r="AI1108" t="s">
        <v>71</v>
      </c>
      <c r="AJ1108" s="3" t="s">
        <v>83</v>
      </c>
      <c r="AK1108" s="3">
        <v>1</v>
      </c>
      <c r="AL1108" s="3" t="s">
        <v>83</v>
      </c>
    </row>
    <row r="1109" spans="1:38" x14ac:dyDescent="0.3">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v>6077</v>
      </c>
      <c r="S1109">
        <v>14814</v>
      </c>
      <c r="T1109">
        <v>3</v>
      </c>
      <c r="U1109" t="s">
        <v>43</v>
      </c>
      <c r="V1109">
        <v>11</v>
      </c>
      <c r="W1109">
        <v>3</v>
      </c>
      <c r="X1109">
        <v>3</v>
      </c>
      <c r="Y1109">
        <v>0</v>
      </c>
      <c r="Z1109">
        <v>10</v>
      </c>
      <c r="AA1109">
        <v>2</v>
      </c>
      <c r="AB1109">
        <v>3</v>
      </c>
      <c r="AC1109">
        <v>6</v>
      </c>
      <c r="AD1109">
        <v>3</v>
      </c>
      <c r="AE1109">
        <v>1</v>
      </c>
      <c r="AF1109">
        <v>2</v>
      </c>
      <c r="AG1109" t="s">
        <v>65</v>
      </c>
      <c r="AH1109">
        <v>0</v>
      </c>
      <c r="AI1109" t="s">
        <v>71</v>
      </c>
      <c r="AJ1109" s="3" t="s">
        <v>84</v>
      </c>
      <c r="AK1109" s="3">
        <v>0</v>
      </c>
      <c r="AL1109" s="3" t="s">
        <v>83</v>
      </c>
    </row>
    <row r="1110" spans="1:38" x14ac:dyDescent="0.3">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v>2450</v>
      </c>
      <c r="S1110">
        <v>21731</v>
      </c>
      <c r="T1110">
        <v>1</v>
      </c>
      <c r="U1110" t="s">
        <v>43</v>
      </c>
      <c r="V1110">
        <v>19</v>
      </c>
      <c r="W1110">
        <v>3</v>
      </c>
      <c r="X1110">
        <v>2</v>
      </c>
      <c r="Y1110">
        <v>0</v>
      </c>
      <c r="Z1110">
        <v>3</v>
      </c>
      <c r="AA1110">
        <v>3</v>
      </c>
      <c r="AB1110">
        <v>3</v>
      </c>
      <c r="AC1110">
        <v>3</v>
      </c>
      <c r="AD1110">
        <v>0</v>
      </c>
      <c r="AE1110">
        <v>1</v>
      </c>
      <c r="AF1110">
        <v>2</v>
      </c>
      <c r="AG1110" t="s">
        <v>67</v>
      </c>
      <c r="AH1110">
        <v>0</v>
      </c>
      <c r="AI1110" t="s">
        <v>71</v>
      </c>
      <c r="AJ1110" s="3" t="s">
        <v>83</v>
      </c>
      <c r="AK1110" s="3">
        <v>2</v>
      </c>
      <c r="AL1110" s="3" t="s">
        <v>84</v>
      </c>
    </row>
    <row r="1111" spans="1:38" x14ac:dyDescent="0.3">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v>9250</v>
      </c>
      <c r="S1111">
        <v>17799</v>
      </c>
      <c r="T1111">
        <v>3</v>
      </c>
      <c r="U1111" t="s">
        <v>43</v>
      </c>
      <c r="V1111">
        <v>12</v>
      </c>
      <c r="W1111">
        <v>3</v>
      </c>
      <c r="X1111">
        <v>2</v>
      </c>
      <c r="Y1111">
        <v>1</v>
      </c>
      <c r="Z1111">
        <v>9</v>
      </c>
      <c r="AA1111">
        <v>3</v>
      </c>
      <c r="AB1111">
        <v>3</v>
      </c>
      <c r="AC1111">
        <v>4</v>
      </c>
      <c r="AD1111">
        <v>2</v>
      </c>
      <c r="AE1111">
        <v>1</v>
      </c>
      <c r="AF1111">
        <v>3</v>
      </c>
      <c r="AG1111" t="s">
        <v>68</v>
      </c>
      <c r="AH1111">
        <v>0</v>
      </c>
      <c r="AI1111" t="s">
        <v>71</v>
      </c>
      <c r="AJ1111" s="3" t="s">
        <v>83</v>
      </c>
      <c r="AK1111" s="3">
        <v>1</v>
      </c>
      <c r="AL1111" s="3" t="s">
        <v>83</v>
      </c>
    </row>
    <row r="1112" spans="1:38" x14ac:dyDescent="0.3">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v>2074</v>
      </c>
      <c r="S1112">
        <v>26619</v>
      </c>
      <c r="T1112">
        <v>1</v>
      </c>
      <c r="U1112" t="s">
        <v>35</v>
      </c>
      <c r="V1112">
        <v>12</v>
      </c>
      <c r="W1112">
        <v>3</v>
      </c>
      <c r="X1112">
        <v>4</v>
      </c>
      <c r="Y1112">
        <v>1</v>
      </c>
      <c r="Z1112">
        <v>1</v>
      </c>
      <c r="AA1112">
        <v>2</v>
      </c>
      <c r="AB1112">
        <v>3</v>
      </c>
      <c r="AC1112">
        <v>1</v>
      </c>
      <c r="AD1112">
        <v>0</v>
      </c>
      <c r="AE1112">
        <v>0</v>
      </c>
      <c r="AF1112">
        <v>0</v>
      </c>
      <c r="AG1112" t="s">
        <v>67</v>
      </c>
      <c r="AH1112">
        <v>1</v>
      </c>
      <c r="AI1112" t="s">
        <v>71</v>
      </c>
      <c r="AJ1112" s="3" t="s">
        <v>83</v>
      </c>
      <c r="AK1112" s="3">
        <v>3</v>
      </c>
      <c r="AL1112" s="3" t="s">
        <v>82</v>
      </c>
    </row>
    <row r="1113" spans="1:38" x14ac:dyDescent="0.3">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v>10169</v>
      </c>
      <c r="S1113">
        <v>14618</v>
      </c>
      <c r="T1113">
        <v>0</v>
      </c>
      <c r="U1113" t="s">
        <v>43</v>
      </c>
      <c r="V1113">
        <v>16</v>
      </c>
      <c r="W1113">
        <v>3</v>
      </c>
      <c r="X1113">
        <v>2</v>
      </c>
      <c r="Y1113">
        <v>1</v>
      </c>
      <c r="Z1113">
        <v>34</v>
      </c>
      <c r="AA1113">
        <v>4</v>
      </c>
      <c r="AB1113">
        <v>3</v>
      </c>
      <c r="AC1113">
        <v>33</v>
      </c>
      <c r="AD1113">
        <v>7</v>
      </c>
      <c r="AE1113">
        <v>1</v>
      </c>
      <c r="AF1113">
        <v>9</v>
      </c>
      <c r="AG1113" t="s">
        <v>65</v>
      </c>
      <c r="AH1113">
        <v>1</v>
      </c>
      <c r="AI1113" t="s">
        <v>71</v>
      </c>
      <c r="AJ1113" s="3" t="s">
        <v>82</v>
      </c>
      <c r="AK1113" s="3">
        <v>0</v>
      </c>
      <c r="AL1113" s="3" t="s">
        <v>83</v>
      </c>
    </row>
    <row r="1114" spans="1:38" x14ac:dyDescent="0.3">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v>4855</v>
      </c>
      <c r="S1114">
        <v>7653</v>
      </c>
      <c r="T1114">
        <v>4</v>
      </c>
      <c r="U1114" t="s">
        <v>43</v>
      </c>
      <c r="V1114">
        <v>11</v>
      </c>
      <c r="W1114">
        <v>3</v>
      </c>
      <c r="X1114">
        <v>1</v>
      </c>
      <c r="Y1114">
        <v>2</v>
      </c>
      <c r="Z1114">
        <v>7</v>
      </c>
      <c r="AA1114">
        <v>2</v>
      </c>
      <c r="AB1114">
        <v>3</v>
      </c>
      <c r="AC1114">
        <v>5</v>
      </c>
      <c r="AD1114">
        <v>2</v>
      </c>
      <c r="AE1114">
        <v>1</v>
      </c>
      <c r="AF1114">
        <v>4</v>
      </c>
      <c r="AG1114" t="s">
        <v>68</v>
      </c>
      <c r="AH1114">
        <v>1</v>
      </c>
      <c r="AI1114" t="s">
        <v>69</v>
      </c>
      <c r="AJ1114" s="3" t="s">
        <v>83</v>
      </c>
      <c r="AK1114" s="3">
        <v>1</v>
      </c>
      <c r="AL1114" s="3" t="s">
        <v>83</v>
      </c>
    </row>
    <row r="1115" spans="1:38" x14ac:dyDescent="0.3">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v>4087</v>
      </c>
      <c r="S1115">
        <v>25174</v>
      </c>
      <c r="T1115">
        <v>4</v>
      </c>
      <c r="U1115" t="s">
        <v>43</v>
      </c>
      <c r="V1115">
        <v>14</v>
      </c>
      <c r="W1115">
        <v>3</v>
      </c>
      <c r="X1115">
        <v>2</v>
      </c>
      <c r="Y1115">
        <v>1</v>
      </c>
      <c r="Z1115">
        <v>9</v>
      </c>
      <c r="AA1115">
        <v>3</v>
      </c>
      <c r="AB1115">
        <v>2</v>
      </c>
      <c r="AC1115">
        <v>6</v>
      </c>
      <c r="AD1115">
        <v>5</v>
      </c>
      <c r="AE1115">
        <v>1</v>
      </c>
      <c r="AF1115">
        <v>2</v>
      </c>
      <c r="AG1115" t="s">
        <v>65</v>
      </c>
      <c r="AH1115">
        <v>0</v>
      </c>
      <c r="AI1115" t="s">
        <v>71</v>
      </c>
      <c r="AJ1115" s="3" t="s">
        <v>83</v>
      </c>
      <c r="AK1115" s="3">
        <v>1</v>
      </c>
      <c r="AL1115" s="3" t="s">
        <v>83</v>
      </c>
    </row>
    <row r="1116" spans="1:38" x14ac:dyDescent="0.3">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v>2367</v>
      </c>
      <c r="S1116">
        <v>16530</v>
      </c>
      <c r="T1116">
        <v>8</v>
      </c>
      <c r="U1116" t="s">
        <v>43</v>
      </c>
      <c r="V1116">
        <v>12</v>
      </c>
      <c r="W1116">
        <v>3</v>
      </c>
      <c r="X1116">
        <v>4</v>
      </c>
      <c r="Y1116">
        <v>1</v>
      </c>
      <c r="Z1116">
        <v>10</v>
      </c>
      <c r="AA1116">
        <v>3</v>
      </c>
      <c r="AB1116">
        <v>2</v>
      </c>
      <c r="AC1116">
        <v>8</v>
      </c>
      <c r="AD1116">
        <v>2</v>
      </c>
      <c r="AE1116">
        <v>7</v>
      </c>
      <c r="AF1116">
        <v>6</v>
      </c>
      <c r="AG1116" t="s">
        <v>65</v>
      </c>
      <c r="AH1116">
        <v>0</v>
      </c>
      <c r="AI1116" t="s">
        <v>71</v>
      </c>
      <c r="AJ1116" s="3" t="s">
        <v>83</v>
      </c>
      <c r="AK1116" s="3">
        <v>1</v>
      </c>
      <c r="AL1116" s="3" t="s">
        <v>83</v>
      </c>
    </row>
    <row r="1117" spans="1:38" x14ac:dyDescent="0.3">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v>2972</v>
      </c>
      <c r="S1117">
        <v>22061</v>
      </c>
      <c r="T1117">
        <v>1</v>
      </c>
      <c r="U1117" t="s">
        <v>43</v>
      </c>
      <c r="V1117">
        <v>13</v>
      </c>
      <c r="W1117">
        <v>3</v>
      </c>
      <c r="X1117">
        <v>3</v>
      </c>
      <c r="Y1117">
        <v>0</v>
      </c>
      <c r="Z1117">
        <v>1</v>
      </c>
      <c r="AA1117">
        <v>4</v>
      </c>
      <c r="AB1117">
        <v>1</v>
      </c>
      <c r="AC1117">
        <v>1</v>
      </c>
      <c r="AD1117">
        <v>0</v>
      </c>
      <c r="AE1117">
        <v>0</v>
      </c>
      <c r="AF1117">
        <v>0</v>
      </c>
      <c r="AG1117" t="s">
        <v>67</v>
      </c>
      <c r="AH1117">
        <v>0</v>
      </c>
      <c r="AI1117" t="s">
        <v>70</v>
      </c>
      <c r="AJ1117" s="3" t="s">
        <v>82</v>
      </c>
      <c r="AK1117" s="3">
        <v>1</v>
      </c>
      <c r="AL1117" s="3" t="s">
        <v>83</v>
      </c>
    </row>
    <row r="1118" spans="1:38" x14ac:dyDescent="0.3">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v>19586</v>
      </c>
      <c r="S1118">
        <v>23037</v>
      </c>
      <c r="T1118">
        <v>1</v>
      </c>
      <c r="U1118" t="s">
        <v>43</v>
      </c>
      <c r="V1118">
        <v>21</v>
      </c>
      <c r="W1118">
        <v>4</v>
      </c>
      <c r="X1118">
        <v>3</v>
      </c>
      <c r="Y1118">
        <v>1</v>
      </c>
      <c r="Z1118">
        <v>36</v>
      </c>
      <c r="AA1118">
        <v>3</v>
      </c>
      <c r="AB1118">
        <v>3</v>
      </c>
      <c r="AC1118">
        <v>36</v>
      </c>
      <c r="AD1118">
        <v>6</v>
      </c>
      <c r="AE1118">
        <v>2</v>
      </c>
      <c r="AF1118">
        <v>13</v>
      </c>
      <c r="AG1118" t="s">
        <v>65</v>
      </c>
      <c r="AH1118">
        <v>0</v>
      </c>
      <c r="AI1118" t="s">
        <v>71</v>
      </c>
      <c r="AJ1118" s="3" t="s">
        <v>82</v>
      </c>
      <c r="AK1118" s="3">
        <v>0</v>
      </c>
      <c r="AL1118" s="3" t="s">
        <v>83</v>
      </c>
    </row>
    <row r="1119" spans="1:38" x14ac:dyDescent="0.3">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v>5484</v>
      </c>
      <c r="S1119">
        <v>13008</v>
      </c>
      <c r="T1119">
        <v>9</v>
      </c>
      <c r="U1119" t="s">
        <v>43</v>
      </c>
      <c r="V1119">
        <v>17</v>
      </c>
      <c r="W1119">
        <v>3</v>
      </c>
      <c r="X1119">
        <v>2</v>
      </c>
      <c r="Y1119">
        <v>1</v>
      </c>
      <c r="Z1119">
        <v>9</v>
      </c>
      <c r="AA1119">
        <v>3</v>
      </c>
      <c r="AB1119">
        <v>2</v>
      </c>
      <c r="AC1119">
        <v>2</v>
      </c>
      <c r="AD1119">
        <v>2</v>
      </c>
      <c r="AE1119">
        <v>2</v>
      </c>
      <c r="AF1119">
        <v>1</v>
      </c>
      <c r="AG1119" t="s">
        <v>67</v>
      </c>
      <c r="AH1119">
        <v>0</v>
      </c>
      <c r="AI1119" t="s">
        <v>69</v>
      </c>
      <c r="AJ1119" s="3" t="s">
        <v>82</v>
      </c>
      <c r="AK1119" s="3">
        <v>1</v>
      </c>
      <c r="AL1119" s="3" t="s">
        <v>83</v>
      </c>
    </row>
    <row r="1120" spans="1:38" x14ac:dyDescent="0.3">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v>2061</v>
      </c>
      <c r="S1120">
        <v>11133</v>
      </c>
      <c r="T1120">
        <v>1</v>
      </c>
      <c r="U1120" t="s">
        <v>43</v>
      </c>
      <c r="V1120">
        <v>21</v>
      </c>
      <c r="W1120">
        <v>4</v>
      </c>
      <c r="X1120">
        <v>1</v>
      </c>
      <c r="Y1120">
        <v>0</v>
      </c>
      <c r="Z1120">
        <v>1</v>
      </c>
      <c r="AA1120">
        <v>5</v>
      </c>
      <c r="AB1120">
        <v>3</v>
      </c>
      <c r="AC1120">
        <v>1</v>
      </c>
      <c r="AD1120">
        <v>0</v>
      </c>
      <c r="AE1120">
        <v>0</v>
      </c>
      <c r="AF1120">
        <v>0</v>
      </c>
      <c r="AG1120" t="s">
        <v>67</v>
      </c>
      <c r="AH1120">
        <v>0</v>
      </c>
      <c r="AI1120" t="s">
        <v>71</v>
      </c>
      <c r="AJ1120" s="3" t="s">
        <v>82</v>
      </c>
      <c r="AK1120" s="3">
        <v>1</v>
      </c>
      <c r="AL1120" s="3" t="s">
        <v>83</v>
      </c>
    </row>
    <row r="1121" spans="1:38" x14ac:dyDescent="0.3">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v>9924</v>
      </c>
      <c r="S1121">
        <v>12355</v>
      </c>
      <c r="T1121">
        <v>0</v>
      </c>
      <c r="U1121" t="s">
        <v>43</v>
      </c>
      <c r="V1121">
        <v>11</v>
      </c>
      <c r="W1121">
        <v>3</v>
      </c>
      <c r="X1121">
        <v>4</v>
      </c>
      <c r="Y1121">
        <v>1</v>
      </c>
      <c r="Z1121">
        <v>10</v>
      </c>
      <c r="AA1121">
        <v>3</v>
      </c>
      <c r="AB1121">
        <v>3</v>
      </c>
      <c r="AC1121">
        <v>9</v>
      </c>
      <c r="AD1121">
        <v>8</v>
      </c>
      <c r="AE1121">
        <v>7</v>
      </c>
      <c r="AF1121">
        <v>7</v>
      </c>
      <c r="AG1121" t="s">
        <v>65</v>
      </c>
      <c r="AH1121">
        <v>0</v>
      </c>
      <c r="AI1121" t="s">
        <v>72</v>
      </c>
      <c r="AJ1121" s="3" t="s">
        <v>83</v>
      </c>
      <c r="AK1121" s="3">
        <v>1</v>
      </c>
      <c r="AL1121" s="3" t="s">
        <v>83</v>
      </c>
    </row>
    <row r="1122" spans="1:38" x14ac:dyDescent="0.3">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v>4198</v>
      </c>
      <c r="S1122">
        <v>16379</v>
      </c>
      <c r="T1122">
        <v>2</v>
      </c>
      <c r="U1122" t="s">
        <v>43</v>
      </c>
      <c r="V1122">
        <v>12</v>
      </c>
      <c r="W1122">
        <v>3</v>
      </c>
      <c r="X1122">
        <v>2</v>
      </c>
      <c r="Y1122">
        <v>0</v>
      </c>
      <c r="Z1122">
        <v>8</v>
      </c>
      <c r="AA1122">
        <v>5</v>
      </c>
      <c r="AB1122">
        <v>4</v>
      </c>
      <c r="AC1122">
        <v>3</v>
      </c>
      <c r="AD1122">
        <v>2</v>
      </c>
      <c r="AE1122">
        <v>1</v>
      </c>
      <c r="AF1122">
        <v>2</v>
      </c>
      <c r="AG1122" t="s">
        <v>67</v>
      </c>
      <c r="AH1122">
        <v>0</v>
      </c>
      <c r="AI1122" t="s">
        <v>71</v>
      </c>
      <c r="AJ1122" s="3" t="s">
        <v>83</v>
      </c>
      <c r="AK1122" s="3">
        <v>2</v>
      </c>
      <c r="AL1122" s="3" t="s">
        <v>84</v>
      </c>
    </row>
    <row r="1123" spans="1:38" x14ac:dyDescent="0.3">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v>6815</v>
      </c>
      <c r="S1123">
        <v>21447</v>
      </c>
      <c r="T1123">
        <v>6</v>
      </c>
      <c r="U1123" t="s">
        <v>43</v>
      </c>
      <c r="V1123">
        <v>13</v>
      </c>
      <c r="W1123">
        <v>3</v>
      </c>
      <c r="X1123">
        <v>1</v>
      </c>
      <c r="Y1123">
        <v>0</v>
      </c>
      <c r="Z1123">
        <v>15</v>
      </c>
      <c r="AA1123">
        <v>5</v>
      </c>
      <c r="AB1123">
        <v>3</v>
      </c>
      <c r="AC1123">
        <v>1</v>
      </c>
      <c r="AD1123">
        <v>0</v>
      </c>
      <c r="AE1123">
        <v>0</v>
      </c>
      <c r="AF1123">
        <v>0</v>
      </c>
      <c r="AG1123" t="s">
        <v>67</v>
      </c>
      <c r="AH1123">
        <v>0</v>
      </c>
      <c r="AI1123" t="s">
        <v>71</v>
      </c>
      <c r="AJ1123" s="3" t="s">
        <v>84</v>
      </c>
      <c r="AK1123" s="3">
        <v>1</v>
      </c>
      <c r="AL1123" s="3" t="s">
        <v>83</v>
      </c>
    </row>
    <row r="1124" spans="1:38" x14ac:dyDescent="0.3">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v>4723</v>
      </c>
      <c r="S1124">
        <v>16213</v>
      </c>
      <c r="T1124">
        <v>1</v>
      </c>
      <c r="U1124" t="s">
        <v>35</v>
      </c>
      <c r="V1124">
        <v>18</v>
      </c>
      <c r="W1124">
        <v>3</v>
      </c>
      <c r="X1124">
        <v>4</v>
      </c>
      <c r="Y1124">
        <v>0</v>
      </c>
      <c r="Z1124">
        <v>10</v>
      </c>
      <c r="AA1124">
        <v>3</v>
      </c>
      <c r="AB1124">
        <v>3</v>
      </c>
      <c r="AC1124">
        <v>10</v>
      </c>
      <c r="AD1124">
        <v>9</v>
      </c>
      <c r="AE1124">
        <v>1</v>
      </c>
      <c r="AF1124">
        <v>5</v>
      </c>
      <c r="AG1124" t="s">
        <v>65</v>
      </c>
      <c r="AH1124">
        <v>0</v>
      </c>
      <c r="AI1124" t="s">
        <v>71</v>
      </c>
      <c r="AJ1124" s="3" t="s">
        <v>83</v>
      </c>
      <c r="AK1124" s="3">
        <v>2</v>
      </c>
      <c r="AL1124" s="3" t="s">
        <v>84</v>
      </c>
    </row>
    <row r="1125" spans="1:38" x14ac:dyDescent="0.3">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v>6142</v>
      </c>
      <c r="S1125">
        <v>4223</v>
      </c>
      <c r="T1125">
        <v>3</v>
      </c>
      <c r="U1125" t="s">
        <v>35</v>
      </c>
      <c r="V1125">
        <v>16</v>
      </c>
      <c r="W1125">
        <v>3</v>
      </c>
      <c r="X1125">
        <v>3</v>
      </c>
      <c r="Y1125">
        <v>0</v>
      </c>
      <c r="Z1125">
        <v>10</v>
      </c>
      <c r="AA1125">
        <v>4</v>
      </c>
      <c r="AB1125">
        <v>3</v>
      </c>
      <c r="AC1125">
        <v>5</v>
      </c>
      <c r="AD1125">
        <v>2</v>
      </c>
      <c r="AE1125">
        <v>0</v>
      </c>
      <c r="AF1125">
        <v>4</v>
      </c>
      <c r="AG1125" t="s">
        <v>68</v>
      </c>
      <c r="AH1125">
        <v>0</v>
      </c>
      <c r="AI1125" t="s">
        <v>72</v>
      </c>
      <c r="AJ1125" s="3" t="s">
        <v>84</v>
      </c>
      <c r="AK1125" s="3">
        <v>1</v>
      </c>
      <c r="AL1125" s="3" t="s">
        <v>83</v>
      </c>
    </row>
    <row r="1126" spans="1:38" x14ac:dyDescent="0.3">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v>8237</v>
      </c>
      <c r="S1126">
        <v>4658</v>
      </c>
      <c r="T1126">
        <v>2</v>
      </c>
      <c r="U1126" t="s">
        <v>43</v>
      </c>
      <c r="V1126">
        <v>11</v>
      </c>
      <c r="W1126">
        <v>3</v>
      </c>
      <c r="X1126">
        <v>1</v>
      </c>
      <c r="Y1126">
        <v>1</v>
      </c>
      <c r="Z1126">
        <v>11</v>
      </c>
      <c r="AA1126">
        <v>3</v>
      </c>
      <c r="AB1126">
        <v>3</v>
      </c>
      <c r="AC1126">
        <v>7</v>
      </c>
      <c r="AD1126">
        <v>6</v>
      </c>
      <c r="AE1126">
        <v>7</v>
      </c>
      <c r="AF1126">
        <v>6</v>
      </c>
      <c r="AG1126" t="s">
        <v>65</v>
      </c>
      <c r="AH1126">
        <v>0</v>
      </c>
      <c r="AI1126" t="s">
        <v>71</v>
      </c>
      <c r="AJ1126" s="3" t="s">
        <v>84</v>
      </c>
      <c r="AK1126" s="3">
        <v>0</v>
      </c>
      <c r="AL1126" s="3" t="s">
        <v>83</v>
      </c>
    </row>
    <row r="1127" spans="1:38" x14ac:dyDescent="0.3">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v>8853</v>
      </c>
      <c r="S1127">
        <v>24483</v>
      </c>
      <c r="T1127">
        <v>1</v>
      </c>
      <c r="U1127" t="s">
        <v>43</v>
      </c>
      <c r="V1127">
        <v>19</v>
      </c>
      <c r="W1127">
        <v>3</v>
      </c>
      <c r="X1127">
        <v>4</v>
      </c>
      <c r="Y1127">
        <v>1</v>
      </c>
      <c r="Z1127">
        <v>6</v>
      </c>
      <c r="AA1127">
        <v>0</v>
      </c>
      <c r="AB1127">
        <v>4</v>
      </c>
      <c r="AC1127">
        <v>6</v>
      </c>
      <c r="AD1127">
        <v>4</v>
      </c>
      <c r="AE1127">
        <v>1</v>
      </c>
      <c r="AF1127">
        <v>3</v>
      </c>
      <c r="AG1127" t="s">
        <v>65</v>
      </c>
      <c r="AH1127">
        <v>0</v>
      </c>
      <c r="AI1127" t="s">
        <v>71</v>
      </c>
      <c r="AJ1127" s="3" t="s">
        <v>82</v>
      </c>
      <c r="AK1127" s="3">
        <v>0</v>
      </c>
      <c r="AL1127" s="3" t="s">
        <v>83</v>
      </c>
    </row>
    <row r="1128" spans="1:38" x14ac:dyDescent="0.3">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v>19331</v>
      </c>
      <c r="S1128">
        <v>19519</v>
      </c>
      <c r="T1128">
        <v>4</v>
      </c>
      <c r="U1128" t="s">
        <v>35</v>
      </c>
      <c r="V1128">
        <v>16</v>
      </c>
      <c r="W1128">
        <v>3</v>
      </c>
      <c r="X1128">
        <v>3</v>
      </c>
      <c r="Y1128">
        <v>1</v>
      </c>
      <c r="Z1128">
        <v>27</v>
      </c>
      <c r="AA1128">
        <v>2</v>
      </c>
      <c r="AB1128">
        <v>3</v>
      </c>
      <c r="AC1128">
        <v>1</v>
      </c>
      <c r="AD1128">
        <v>0</v>
      </c>
      <c r="AE1128">
        <v>0</v>
      </c>
      <c r="AF1128">
        <v>0</v>
      </c>
      <c r="AG1128" t="s">
        <v>67</v>
      </c>
      <c r="AH1128">
        <v>0</v>
      </c>
      <c r="AI1128" t="s">
        <v>72</v>
      </c>
      <c r="AJ1128" s="3" t="s">
        <v>84</v>
      </c>
      <c r="AK1128" s="3">
        <v>2</v>
      </c>
      <c r="AL1128" s="3" t="s">
        <v>84</v>
      </c>
    </row>
    <row r="1129" spans="1:38" x14ac:dyDescent="0.3">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v>2073</v>
      </c>
      <c r="S1129">
        <v>12826</v>
      </c>
      <c r="T1129">
        <v>2</v>
      </c>
      <c r="U1129" t="s">
        <v>43</v>
      </c>
      <c r="V1129">
        <v>16</v>
      </c>
      <c r="W1129">
        <v>3</v>
      </c>
      <c r="X1129">
        <v>4</v>
      </c>
      <c r="Y1129">
        <v>1</v>
      </c>
      <c r="Z1129">
        <v>4</v>
      </c>
      <c r="AA1129">
        <v>2</v>
      </c>
      <c r="AB1129">
        <v>3</v>
      </c>
      <c r="AC1129">
        <v>2</v>
      </c>
      <c r="AD1129">
        <v>2</v>
      </c>
      <c r="AE1129">
        <v>2</v>
      </c>
      <c r="AF1129">
        <v>2</v>
      </c>
      <c r="AG1129" t="s">
        <v>67</v>
      </c>
      <c r="AH1129">
        <v>0</v>
      </c>
      <c r="AI1129" t="s">
        <v>69</v>
      </c>
      <c r="AJ1129" s="3" t="s">
        <v>84</v>
      </c>
      <c r="AK1129" s="3">
        <v>1</v>
      </c>
      <c r="AL1129" s="3" t="s">
        <v>83</v>
      </c>
    </row>
    <row r="1130" spans="1:38" x14ac:dyDescent="0.3">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v>5562</v>
      </c>
      <c r="S1130">
        <v>19711</v>
      </c>
      <c r="T1130">
        <v>3</v>
      </c>
      <c r="U1130" t="s">
        <v>35</v>
      </c>
      <c r="V1130">
        <v>13</v>
      </c>
      <c r="W1130">
        <v>3</v>
      </c>
      <c r="X1130">
        <v>4</v>
      </c>
      <c r="Y1130">
        <v>1</v>
      </c>
      <c r="Z1130">
        <v>9</v>
      </c>
      <c r="AA1130">
        <v>3</v>
      </c>
      <c r="AB1130">
        <v>3</v>
      </c>
      <c r="AC1130">
        <v>3</v>
      </c>
      <c r="AD1130">
        <v>2</v>
      </c>
      <c r="AE1130">
        <v>0</v>
      </c>
      <c r="AF1130">
        <v>2</v>
      </c>
      <c r="AG1130" t="s">
        <v>67</v>
      </c>
      <c r="AH1130">
        <v>0</v>
      </c>
      <c r="AI1130" t="s">
        <v>72</v>
      </c>
      <c r="AJ1130" s="3" t="s">
        <v>83</v>
      </c>
      <c r="AK1130" s="3">
        <v>3</v>
      </c>
      <c r="AL1130" s="3" t="s">
        <v>82</v>
      </c>
    </row>
    <row r="1131" spans="1:38" x14ac:dyDescent="0.3">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v>19613</v>
      </c>
      <c r="S1131">
        <v>26362</v>
      </c>
      <c r="T1131">
        <v>8</v>
      </c>
      <c r="U1131" t="s">
        <v>43</v>
      </c>
      <c r="V1131">
        <v>22</v>
      </c>
      <c r="W1131">
        <v>4</v>
      </c>
      <c r="X1131">
        <v>4</v>
      </c>
      <c r="Y1131">
        <v>0</v>
      </c>
      <c r="Z1131">
        <v>24</v>
      </c>
      <c r="AA1131">
        <v>2</v>
      </c>
      <c r="AB1131">
        <v>3</v>
      </c>
      <c r="AC1131">
        <v>1</v>
      </c>
      <c r="AD1131">
        <v>0</v>
      </c>
      <c r="AE1131">
        <v>0</v>
      </c>
      <c r="AF1131">
        <v>1</v>
      </c>
      <c r="AG1131" t="s">
        <v>67</v>
      </c>
      <c r="AH1131">
        <v>0</v>
      </c>
      <c r="AI1131" t="s">
        <v>71</v>
      </c>
      <c r="AJ1131" s="3" t="s">
        <v>82</v>
      </c>
      <c r="AK1131" s="3">
        <v>1</v>
      </c>
      <c r="AL1131" s="3" t="s">
        <v>83</v>
      </c>
    </row>
    <row r="1132" spans="1:38" x14ac:dyDescent="0.3">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v>3407</v>
      </c>
      <c r="S1132">
        <v>25348</v>
      </c>
      <c r="T1132">
        <v>1</v>
      </c>
      <c r="U1132" t="s">
        <v>43</v>
      </c>
      <c r="V1132">
        <v>17</v>
      </c>
      <c r="W1132">
        <v>3</v>
      </c>
      <c r="X1132">
        <v>4</v>
      </c>
      <c r="Y1132">
        <v>2</v>
      </c>
      <c r="Z1132">
        <v>10</v>
      </c>
      <c r="AA1132">
        <v>3</v>
      </c>
      <c r="AB1132">
        <v>2</v>
      </c>
      <c r="AC1132">
        <v>10</v>
      </c>
      <c r="AD1132">
        <v>9</v>
      </c>
      <c r="AE1132">
        <v>6</v>
      </c>
      <c r="AF1132">
        <v>8</v>
      </c>
      <c r="AG1132" t="s">
        <v>65</v>
      </c>
      <c r="AH1132">
        <v>0</v>
      </c>
      <c r="AI1132" t="s">
        <v>70</v>
      </c>
      <c r="AJ1132" s="3" t="s">
        <v>84</v>
      </c>
      <c r="AK1132" s="3">
        <v>0</v>
      </c>
      <c r="AL1132" s="3" t="s">
        <v>83</v>
      </c>
    </row>
    <row r="1133" spans="1:38" x14ac:dyDescent="0.3">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v>5063</v>
      </c>
      <c r="S1133">
        <v>15332</v>
      </c>
      <c r="T1133">
        <v>1</v>
      </c>
      <c r="U1133" t="s">
        <v>43</v>
      </c>
      <c r="V1133">
        <v>14</v>
      </c>
      <c r="W1133">
        <v>3</v>
      </c>
      <c r="X1133">
        <v>2</v>
      </c>
      <c r="Y1133">
        <v>1</v>
      </c>
      <c r="Z1133">
        <v>8</v>
      </c>
      <c r="AA1133">
        <v>3</v>
      </c>
      <c r="AB1133">
        <v>2</v>
      </c>
      <c r="AC1133">
        <v>8</v>
      </c>
      <c r="AD1133">
        <v>2</v>
      </c>
      <c r="AE1133">
        <v>7</v>
      </c>
      <c r="AF1133">
        <v>7</v>
      </c>
      <c r="AG1133" t="s">
        <v>65</v>
      </c>
      <c r="AH1133">
        <v>0</v>
      </c>
      <c r="AI1133" t="s">
        <v>71</v>
      </c>
      <c r="AJ1133" s="3" t="s">
        <v>84</v>
      </c>
      <c r="AK1133" s="3">
        <v>0</v>
      </c>
      <c r="AL1133" s="3" t="s">
        <v>83</v>
      </c>
    </row>
    <row r="1134" spans="1:38" x14ac:dyDescent="0.3">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v>4639</v>
      </c>
      <c r="S1134">
        <v>11262</v>
      </c>
      <c r="T1134">
        <v>1</v>
      </c>
      <c r="U1134" t="s">
        <v>43</v>
      </c>
      <c r="V1134">
        <v>15</v>
      </c>
      <c r="W1134">
        <v>3</v>
      </c>
      <c r="X1134">
        <v>3</v>
      </c>
      <c r="Y1134">
        <v>1</v>
      </c>
      <c r="Z1134">
        <v>5</v>
      </c>
      <c r="AA1134">
        <v>2</v>
      </c>
      <c r="AB1134">
        <v>3</v>
      </c>
      <c r="AC1134">
        <v>5</v>
      </c>
      <c r="AD1134">
        <v>4</v>
      </c>
      <c r="AE1134">
        <v>1</v>
      </c>
      <c r="AF1134">
        <v>2</v>
      </c>
      <c r="AG1134" t="s">
        <v>68</v>
      </c>
      <c r="AH1134">
        <v>0</v>
      </c>
      <c r="AI1134" t="s">
        <v>71</v>
      </c>
      <c r="AJ1134" s="3" t="s">
        <v>83</v>
      </c>
      <c r="AK1134" s="3">
        <v>1</v>
      </c>
      <c r="AL1134" s="3" t="s">
        <v>83</v>
      </c>
    </row>
    <row r="1135" spans="1:38" x14ac:dyDescent="0.3">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v>4876</v>
      </c>
      <c r="S1135">
        <v>5855</v>
      </c>
      <c r="T1135">
        <v>5</v>
      </c>
      <c r="U1135" t="s">
        <v>43</v>
      </c>
      <c r="V1135">
        <v>12</v>
      </c>
      <c r="W1135">
        <v>3</v>
      </c>
      <c r="X1135">
        <v>3</v>
      </c>
      <c r="Y1135">
        <v>1</v>
      </c>
      <c r="Z1135">
        <v>8</v>
      </c>
      <c r="AA1135">
        <v>0</v>
      </c>
      <c r="AB1135">
        <v>3</v>
      </c>
      <c r="AC1135">
        <v>6</v>
      </c>
      <c r="AD1135">
        <v>4</v>
      </c>
      <c r="AE1135">
        <v>0</v>
      </c>
      <c r="AF1135">
        <v>2</v>
      </c>
      <c r="AG1135" t="s">
        <v>65</v>
      </c>
      <c r="AH1135">
        <v>0</v>
      </c>
      <c r="AI1135" t="s">
        <v>70</v>
      </c>
      <c r="AJ1135" s="3" t="s">
        <v>83</v>
      </c>
      <c r="AK1135" s="3">
        <v>1</v>
      </c>
      <c r="AL1135" s="3" t="s">
        <v>83</v>
      </c>
    </row>
    <row r="1136" spans="1:38" x14ac:dyDescent="0.3">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v>2690</v>
      </c>
      <c r="S1136">
        <v>7713</v>
      </c>
      <c r="T1136">
        <v>1</v>
      </c>
      <c r="U1136" t="s">
        <v>43</v>
      </c>
      <c r="V1136">
        <v>18</v>
      </c>
      <c r="W1136">
        <v>3</v>
      </c>
      <c r="X1136">
        <v>4</v>
      </c>
      <c r="Y1136">
        <v>1</v>
      </c>
      <c r="Z1136">
        <v>1</v>
      </c>
      <c r="AA1136">
        <v>5</v>
      </c>
      <c r="AB1136">
        <v>2</v>
      </c>
      <c r="AC1136">
        <v>1</v>
      </c>
      <c r="AD1136">
        <v>0</v>
      </c>
      <c r="AE1136">
        <v>0</v>
      </c>
      <c r="AF1136">
        <v>1</v>
      </c>
      <c r="AG1136" t="s">
        <v>67</v>
      </c>
      <c r="AH1136">
        <v>0</v>
      </c>
      <c r="AI1136" t="s">
        <v>70</v>
      </c>
      <c r="AJ1136" s="3" t="s">
        <v>82</v>
      </c>
      <c r="AK1136" s="3">
        <v>1</v>
      </c>
      <c r="AL1136" s="3" t="s">
        <v>83</v>
      </c>
    </row>
    <row r="1137" spans="1:38" x14ac:dyDescent="0.3">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v>17567</v>
      </c>
      <c r="S1137">
        <v>3156</v>
      </c>
      <c r="T1137">
        <v>1</v>
      </c>
      <c r="U1137" t="s">
        <v>43</v>
      </c>
      <c r="V1137">
        <v>15</v>
      </c>
      <c r="W1137">
        <v>3</v>
      </c>
      <c r="X1137">
        <v>2</v>
      </c>
      <c r="Y1137">
        <v>0</v>
      </c>
      <c r="Z1137">
        <v>27</v>
      </c>
      <c r="AA1137">
        <v>5</v>
      </c>
      <c r="AB1137">
        <v>1</v>
      </c>
      <c r="AC1137">
        <v>26</v>
      </c>
      <c r="AD1137">
        <v>0</v>
      </c>
      <c r="AE1137">
        <v>0</v>
      </c>
      <c r="AF1137">
        <v>12</v>
      </c>
      <c r="AG1137" t="s">
        <v>65</v>
      </c>
      <c r="AH1137">
        <v>0</v>
      </c>
      <c r="AI1137" t="s">
        <v>71</v>
      </c>
      <c r="AJ1137" s="3" t="s">
        <v>83</v>
      </c>
      <c r="AK1137" s="3">
        <v>1</v>
      </c>
      <c r="AL1137" s="3" t="s">
        <v>83</v>
      </c>
    </row>
    <row r="1138" spans="1:38" x14ac:dyDescent="0.3">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v>2408</v>
      </c>
      <c r="S1138">
        <v>7324</v>
      </c>
      <c r="T1138">
        <v>1</v>
      </c>
      <c r="U1138" t="s">
        <v>35</v>
      </c>
      <c r="V1138">
        <v>17</v>
      </c>
      <c r="W1138">
        <v>3</v>
      </c>
      <c r="X1138">
        <v>3</v>
      </c>
      <c r="Y1138">
        <v>3</v>
      </c>
      <c r="Z1138">
        <v>1</v>
      </c>
      <c r="AA1138">
        <v>3</v>
      </c>
      <c r="AB1138">
        <v>3</v>
      </c>
      <c r="AC1138">
        <v>1</v>
      </c>
      <c r="AD1138">
        <v>1</v>
      </c>
      <c r="AE1138">
        <v>0</v>
      </c>
      <c r="AF1138">
        <v>0</v>
      </c>
      <c r="AG1138" t="s">
        <v>67</v>
      </c>
      <c r="AH1138">
        <v>1</v>
      </c>
      <c r="AI1138" t="s">
        <v>70</v>
      </c>
      <c r="AJ1138" s="3" t="s">
        <v>83</v>
      </c>
      <c r="AK1138" s="3">
        <v>3</v>
      </c>
      <c r="AL1138" s="3" t="s">
        <v>82</v>
      </c>
    </row>
    <row r="1139" spans="1:38" x14ac:dyDescent="0.3">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v>2814</v>
      </c>
      <c r="S1139">
        <v>10293</v>
      </c>
      <c r="T1139">
        <v>1</v>
      </c>
      <c r="U1139" t="s">
        <v>35</v>
      </c>
      <c r="V1139">
        <v>14</v>
      </c>
      <c r="W1139">
        <v>3</v>
      </c>
      <c r="X1139">
        <v>2</v>
      </c>
      <c r="Y1139">
        <v>0</v>
      </c>
      <c r="Z1139">
        <v>4</v>
      </c>
      <c r="AA1139">
        <v>2</v>
      </c>
      <c r="AB1139">
        <v>2</v>
      </c>
      <c r="AC1139">
        <v>4</v>
      </c>
      <c r="AD1139">
        <v>2</v>
      </c>
      <c r="AE1139">
        <v>1</v>
      </c>
      <c r="AF1139">
        <v>3</v>
      </c>
      <c r="AG1139" t="s">
        <v>68</v>
      </c>
      <c r="AH1139">
        <v>0</v>
      </c>
      <c r="AI1139" t="s">
        <v>72</v>
      </c>
      <c r="AJ1139" s="3" t="s">
        <v>84</v>
      </c>
      <c r="AK1139" s="3">
        <v>1</v>
      </c>
      <c r="AL1139" s="3" t="s">
        <v>83</v>
      </c>
    </row>
    <row r="1140" spans="1:38" x14ac:dyDescent="0.3">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v>11245</v>
      </c>
      <c r="S1140">
        <v>20689</v>
      </c>
      <c r="T1140">
        <v>2</v>
      </c>
      <c r="U1140" t="s">
        <v>35</v>
      </c>
      <c r="V1140">
        <v>15</v>
      </c>
      <c r="W1140">
        <v>3</v>
      </c>
      <c r="X1140">
        <v>3</v>
      </c>
      <c r="Y1140">
        <v>1</v>
      </c>
      <c r="Z1140">
        <v>32</v>
      </c>
      <c r="AA1140">
        <v>3</v>
      </c>
      <c r="AB1140">
        <v>3</v>
      </c>
      <c r="AC1140">
        <v>30</v>
      </c>
      <c r="AD1140">
        <v>8</v>
      </c>
      <c r="AE1140">
        <v>12</v>
      </c>
      <c r="AF1140">
        <v>13</v>
      </c>
      <c r="AG1140" t="s">
        <v>65</v>
      </c>
      <c r="AH1140">
        <v>0</v>
      </c>
      <c r="AI1140" t="s">
        <v>72</v>
      </c>
      <c r="AJ1140" s="3" t="s">
        <v>84</v>
      </c>
      <c r="AK1140" s="3">
        <v>1</v>
      </c>
      <c r="AL1140" s="3" t="s">
        <v>83</v>
      </c>
    </row>
    <row r="1141" spans="1:38" x14ac:dyDescent="0.3">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v>3312</v>
      </c>
      <c r="S1141">
        <v>18783</v>
      </c>
      <c r="T1141">
        <v>3</v>
      </c>
      <c r="U1141" t="s">
        <v>43</v>
      </c>
      <c r="V1141">
        <v>17</v>
      </c>
      <c r="W1141">
        <v>3</v>
      </c>
      <c r="X1141">
        <v>4</v>
      </c>
      <c r="Y1141">
        <v>2</v>
      </c>
      <c r="Z1141">
        <v>6</v>
      </c>
      <c r="AA1141">
        <v>3</v>
      </c>
      <c r="AB1141">
        <v>3</v>
      </c>
      <c r="AC1141">
        <v>3</v>
      </c>
      <c r="AD1141">
        <v>2</v>
      </c>
      <c r="AE1141">
        <v>0</v>
      </c>
      <c r="AF1141">
        <v>2</v>
      </c>
      <c r="AG1141" t="s">
        <v>67</v>
      </c>
      <c r="AH1141">
        <v>0</v>
      </c>
      <c r="AI1141" t="s">
        <v>69</v>
      </c>
      <c r="AJ1141" s="3" t="s">
        <v>82</v>
      </c>
      <c r="AK1141" s="3">
        <v>1</v>
      </c>
      <c r="AL1141" s="3" t="s">
        <v>83</v>
      </c>
    </row>
    <row r="1142" spans="1:38" x14ac:dyDescent="0.3">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v>19049</v>
      </c>
      <c r="S1142">
        <v>3549</v>
      </c>
      <c r="T1142">
        <v>0</v>
      </c>
      <c r="U1142" t="s">
        <v>35</v>
      </c>
      <c r="V1142">
        <v>14</v>
      </c>
      <c r="W1142">
        <v>3</v>
      </c>
      <c r="X1142">
        <v>4</v>
      </c>
      <c r="Y1142">
        <v>1</v>
      </c>
      <c r="Z1142">
        <v>23</v>
      </c>
      <c r="AA1142">
        <v>4</v>
      </c>
      <c r="AB1142">
        <v>2</v>
      </c>
      <c r="AC1142">
        <v>22</v>
      </c>
      <c r="AD1142">
        <v>7</v>
      </c>
      <c r="AE1142">
        <v>1</v>
      </c>
      <c r="AF1142">
        <v>10</v>
      </c>
      <c r="AG1142" t="s">
        <v>65</v>
      </c>
      <c r="AH1142">
        <v>0</v>
      </c>
      <c r="AI1142" t="s">
        <v>71</v>
      </c>
      <c r="AJ1142" s="3" t="s">
        <v>82</v>
      </c>
      <c r="AK1142" s="3">
        <v>1</v>
      </c>
      <c r="AL1142" s="3" t="s">
        <v>83</v>
      </c>
    </row>
    <row r="1143" spans="1:38" x14ac:dyDescent="0.3">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v>2141</v>
      </c>
      <c r="S1143">
        <v>5348</v>
      </c>
      <c r="T1143">
        <v>1</v>
      </c>
      <c r="U1143" t="s">
        <v>43</v>
      </c>
      <c r="V1143">
        <v>12</v>
      </c>
      <c r="W1143">
        <v>3</v>
      </c>
      <c r="X1143">
        <v>2</v>
      </c>
      <c r="Y1143">
        <v>1</v>
      </c>
      <c r="Z1143">
        <v>6</v>
      </c>
      <c r="AA1143">
        <v>3</v>
      </c>
      <c r="AB1143">
        <v>2</v>
      </c>
      <c r="AC1143">
        <v>6</v>
      </c>
      <c r="AD1143">
        <v>4</v>
      </c>
      <c r="AE1143">
        <v>1</v>
      </c>
      <c r="AF1143">
        <v>1</v>
      </c>
      <c r="AG1143" t="s">
        <v>65</v>
      </c>
      <c r="AH1143">
        <v>0</v>
      </c>
      <c r="AI1143" t="s">
        <v>70</v>
      </c>
      <c r="AJ1143" s="3" t="s">
        <v>83</v>
      </c>
      <c r="AK1143" s="3">
        <v>1</v>
      </c>
      <c r="AL1143" s="3" t="s">
        <v>83</v>
      </c>
    </row>
    <row r="1144" spans="1:38" x14ac:dyDescent="0.3">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v>5769</v>
      </c>
      <c r="S1144">
        <v>23447</v>
      </c>
      <c r="T1144">
        <v>1</v>
      </c>
      <c r="U1144" t="s">
        <v>35</v>
      </c>
      <c r="V1144">
        <v>14</v>
      </c>
      <c r="W1144">
        <v>3</v>
      </c>
      <c r="X1144">
        <v>1</v>
      </c>
      <c r="Y1144">
        <v>0</v>
      </c>
      <c r="Z1144">
        <v>10</v>
      </c>
      <c r="AA1144">
        <v>3</v>
      </c>
      <c r="AB1144">
        <v>3</v>
      </c>
      <c r="AC1144">
        <v>10</v>
      </c>
      <c r="AD1144">
        <v>7</v>
      </c>
      <c r="AE1144">
        <v>1</v>
      </c>
      <c r="AF1144">
        <v>4</v>
      </c>
      <c r="AG1144" t="s">
        <v>65</v>
      </c>
      <c r="AH1144">
        <v>0</v>
      </c>
      <c r="AI1144" t="s">
        <v>71</v>
      </c>
      <c r="AJ1144" s="3" t="s">
        <v>83</v>
      </c>
      <c r="AK1144" s="3">
        <v>2</v>
      </c>
      <c r="AL1144" s="3" t="s">
        <v>84</v>
      </c>
    </row>
    <row r="1145" spans="1:38" x14ac:dyDescent="0.3">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v>4385</v>
      </c>
      <c r="S1145">
        <v>24162</v>
      </c>
      <c r="T1145">
        <v>1</v>
      </c>
      <c r="U1145" t="s">
        <v>43</v>
      </c>
      <c r="V1145">
        <v>15</v>
      </c>
      <c r="W1145">
        <v>3</v>
      </c>
      <c r="X1145">
        <v>1</v>
      </c>
      <c r="Y1145">
        <v>1</v>
      </c>
      <c r="Z1145">
        <v>10</v>
      </c>
      <c r="AA1145">
        <v>2</v>
      </c>
      <c r="AB1145">
        <v>3</v>
      </c>
      <c r="AC1145">
        <v>10</v>
      </c>
      <c r="AD1145">
        <v>7</v>
      </c>
      <c r="AE1145">
        <v>4</v>
      </c>
      <c r="AF1145">
        <v>5</v>
      </c>
      <c r="AG1145" t="s">
        <v>65</v>
      </c>
      <c r="AH1145">
        <v>0</v>
      </c>
      <c r="AI1145" t="s">
        <v>70</v>
      </c>
      <c r="AJ1145" s="3" t="s">
        <v>83</v>
      </c>
      <c r="AK1145" s="3">
        <v>1</v>
      </c>
      <c r="AL1145" s="3" t="s">
        <v>83</v>
      </c>
    </row>
    <row r="1146" spans="1:38" x14ac:dyDescent="0.3">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v>5332</v>
      </c>
      <c r="S1146">
        <v>21602</v>
      </c>
      <c r="T1146">
        <v>7</v>
      </c>
      <c r="U1146" t="s">
        <v>43</v>
      </c>
      <c r="V1146">
        <v>13</v>
      </c>
      <c r="W1146">
        <v>3</v>
      </c>
      <c r="X1146">
        <v>4</v>
      </c>
      <c r="Y1146">
        <v>0</v>
      </c>
      <c r="Z1146">
        <v>10</v>
      </c>
      <c r="AA1146">
        <v>3</v>
      </c>
      <c r="AB1146">
        <v>3</v>
      </c>
      <c r="AC1146">
        <v>5</v>
      </c>
      <c r="AD1146">
        <v>2</v>
      </c>
      <c r="AE1146">
        <v>0</v>
      </c>
      <c r="AF1146">
        <v>3</v>
      </c>
      <c r="AG1146" t="s">
        <v>68</v>
      </c>
      <c r="AH1146">
        <v>0</v>
      </c>
      <c r="AI1146" t="s">
        <v>70</v>
      </c>
      <c r="AJ1146" s="3" t="s">
        <v>83</v>
      </c>
      <c r="AK1146" s="3">
        <v>1</v>
      </c>
      <c r="AL1146" s="3" t="s">
        <v>83</v>
      </c>
    </row>
    <row r="1147" spans="1:38" x14ac:dyDescent="0.3">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v>4663</v>
      </c>
      <c r="S1147">
        <v>12421</v>
      </c>
      <c r="T1147">
        <v>9</v>
      </c>
      <c r="U1147" t="s">
        <v>35</v>
      </c>
      <c r="V1147">
        <v>12</v>
      </c>
      <c r="W1147">
        <v>3</v>
      </c>
      <c r="X1147">
        <v>2</v>
      </c>
      <c r="Y1147">
        <v>2</v>
      </c>
      <c r="Z1147">
        <v>7</v>
      </c>
      <c r="AA1147">
        <v>2</v>
      </c>
      <c r="AB1147">
        <v>3</v>
      </c>
      <c r="AC1147">
        <v>3</v>
      </c>
      <c r="AD1147">
        <v>2</v>
      </c>
      <c r="AE1147">
        <v>1</v>
      </c>
      <c r="AF1147">
        <v>1</v>
      </c>
      <c r="AG1147" t="s">
        <v>67</v>
      </c>
      <c r="AH1147">
        <v>0</v>
      </c>
      <c r="AI1147" t="s">
        <v>71</v>
      </c>
      <c r="AJ1147" s="3" t="s">
        <v>84</v>
      </c>
      <c r="AK1147" s="3">
        <v>2</v>
      </c>
      <c r="AL1147" s="3" t="s">
        <v>84</v>
      </c>
    </row>
    <row r="1148" spans="1:38" x14ac:dyDescent="0.3">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v>4724</v>
      </c>
      <c r="S1148">
        <v>17000</v>
      </c>
      <c r="T1148">
        <v>1</v>
      </c>
      <c r="U1148" t="s">
        <v>43</v>
      </c>
      <c r="V1148">
        <v>13</v>
      </c>
      <c r="W1148">
        <v>3</v>
      </c>
      <c r="X1148">
        <v>1</v>
      </c>
      <c r="Y1148">
        <v>1</v>
      </c>
      <c r="Z1148">
        <v>9</v>
      </c>
      <c r="AA1148">
        <v>3</v>
      </c>
      <c r="AB1148">
        <v>3</v>
      </c>
      <c r="AC1148">
        <v>9</v>
      </c>
      <c r="AD1148">
        <v>7</v>
      </c>
      <c r="AE1148">
        <v>7</v>
      </c>
      <c r="AF1148">
        <v>2</v>
      </c>
      <c r="AG1148" t="s">
        <v>65</v>
      </c>
      <c r="AH1148">
        <v>0</v>
      </c>
      <c r="AI1148" t="s">
        <v>71</v>
      </c>
      <c r="AJ1148" s="3" t="s">
        <v>82</v>
      </c>
      <c r="AK1148" s="3">
        <v>0</v>
      </c>
      <c r="AL1148" s="3" t="s">
        <v>83</v>
      </c>
    </row>
    <row r="1149" spans="1:38" x14ac:dyDescent="0.3">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v>3211</v>
      </c>
      <c r="S1149">
        <v>22102</v>
      </c>
      <c r="T1149">
        <v>1</v>
      </c>
      <c r="U1149" t="s">
        <v>43</v>
      </c>
      <c r="V1149">
        <v>14</v>
      </c>
      <c r="W1149">
        <v>3</v>
      </c>
      <c r="X1149">
        <v>4</v>
      </c>
      <c r="Y1149">
        <v>1</v>
      </c>
      <c r="Z1149">
        <v>10</v>
      </c>
      <c r="AA1149">
        <v>3</v>
      </c>
      <c r="AB1149">
        <v>2</v>
      </c>
      <c r="AC1149">
        <v>9</v>
      </c>
      <c r="AD1149">
        <v>6</v>
      </c>
      <c r="AE1149">
        <v>1</v>
      </c>
      <c r="AF1149">
        <v>4</v>
      </c>
      <c r="AG1149" t="s">
        <v>65</v>
      </c>
      <c r="AH1149">
        <v>0</v>
      </c>
      <c r="AI1149" t="s">
        <v>71</v>
      </c>
      <c r="AJ1149" s="3" t="s">
        <v>83</v>
      </c>
      <c r="AK1149" s="3">
        <v>1</v>
      </c>
      <c r="AL1149" s="3" t="s">
        <v>83</v>
      </c>
    </row>
    <row r="1150" spans="1:38" x14ac:dyDescent="0.3">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v>5377</v>
      </c>
      <c r="S1150">
        <v>3835</v>
      </c>
      <c r="T1150">
        <v>2</v>
      </c>
      <c r="U1150" t="s">
        <v>43</v>
      </c>
      <c r="V1150">
        <v>13</v>
      </c>
      <c r="W1150">
        <v>3</v>
      </c>
      <c r="X1150">
        <v>4</v>
      </c>
      <c r="Y1150">
        <v>3</v>
      </c>
      <c r="Z1150">
        <v>10</v>
      </c>
      <c r="AA1150">
        <v>3</v>
      </c>
      <c r="AB1150">
        <v>3</v>
      </c>
      <c r="AC1150">
        <v>7</v>
      </c>
      <c r="AD1150">
        <v>7</v>
      </c>
      <c r="AE1150">
        <v>7</v>
      </c>
      <c r="AF1150">
        <v>7</v>
      </c>
      <c r="AG1150" t="s">
        <v>65</v>
      </c>
      <c r="AH1150">
        <v>0</v>
      </c>
      <c r="AI1150" t="s">
        <v>70</v>
      </c>
      <c r="AJ1150" s="3" t="s">
        <v>83</v>
      </c>
      <c r="AK1150" s="3">
        <v>1</v>
      </c>
      <c r="AL1150" s="3" t="s">
        <v>83</v>
      </c>
    </row>
    <row r="1151" spans="1:38" x14ac:dyDescent="0.3">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v>4066</v>
      </c>
      <c r="S1151">
        <v>16290</v>
      </c>
      <c r="T1151">
        <v>1</v>
      </c>
      <c r="U1151" t="s">
        <v>43</v>
      </c>
      <c r="V1151">
        <v>11</v>
      </c>
      <c r="W1151">
        <v>3</v>
      </c>
      <c r="X1151">
        <v>1</v>
      </c>
      <c r="Y1151">
        <v>2</v>
      </c>
      <c r="Z1151">
        <v>7</v>
      </c>
      <c r="AA1151">
        <v>3</v>
      </c>
      <c r="AB1151">
        <v>3</v>
      </c>
      <c r="AC1151">
        <v>7</v>
      </c>
      <c r="AD1151">
        <v>7</v>
      </c>
      <c r="AE1151">
        <v>0</v>
      </c>
      <c r="AF1151">
        <v>7</v>
      </c>
      <c r="AG1151" t="s">
        <v>65</v>
      </c>
      <c r="AH1151">
        <v>0</v>
      </c>
      <c r="AI1151" t="s">
        <v>71</v>
      </c>
      <c r="AJ1151" s="3" t="s">
        <v>83</v>
      </c>
      <c r="AK1151" s="3">
        <v>1</v>
      </c>
      <c r="AL1151" s="3" t="s">
        <v>83</v>
      </c>
    </row>
    <row r="1152" spans="1:38" x14ac:dyDescent="0.3">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v>5208</v>
      </c>
      <c r="S1152">
        <v>26312</v>
      </c>
      <c r="T1152">
        <v>1</v>
      </c>
      <c r="U1152" t="s">
        <v>43</v>
      </c>
      <c r="V1152">
        <v>11</v>
      </c>
      <c r="W1152">
        <v>3</v>
      </c>
      <c r="X1152">
        <v>4</v>
      </c>
      <c r="Y1152">
        <v>0</v>
      </c>
      <c r="Z1152">
        <v>16</v>
      </c>
      <c r="AA1152">
        <v>2</v>
      </c>
      <c r="AB1152">
        <v>3</v>
      </c>
      <c r="AC1152">
        <v>16</v>
      </c>
      <c r="AD1152">
        <v>15</v>
      </c>
      <c r="AE1152">
        <v>1</v>
      </c>
      <c r="AF1152">
        <v>10</v>
      </c>
      <c r="AG1152" t="s">
        <v>65</v>
      </c>
      <c r="AH1152">
        <v>0</v>
      </c>
      <c r="AI1152" t="s">
        <v>72</v>
      </c>
      <c r="AJ1152" s="3" t="s">
        <v>83</v>
      </c>
      <c r="AK1152" s="3">
        <v>1</v>
      </c>
      <c r="AL1152" s="3" t="s">
        <v>83</v>
      </c>
    </row>
    <row r="1153" spans="1:38" x14ac:dyDescent="0.3">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v>4877</v>
      </c>
      <c r="S1153">
        <v>20460</v>
      </c>
      <c r="T1153">
        <v>0</v>
      </c>
      <c r="U1153" t="s">
        <v>43</v>
      </c>
      <c r="V1153">
        <v>21</v>
      </c>
      <c r="W1153">
        <v>4</v>
      </c>
      <c r="X1153">
        <v>2</v>
      </c>
      <c r="Y1153">
        <v>1</v>
      </c>
      <c r="Z1153">
        <v>6</v>
      </c>
      <c r="AA1153">
        <v>5</v>
      </c>
      <c r="AB1153">
        <v>2</v>
      </c>
      <c r="AC1153">
        <v>5</v>
      </c>
      <c r="AD1153">
        <v>3</v>
      </c>
      <c r="AE1153">
        <v>0</v>
      </c>
      <c r="AF1153">
        <v>0</v>
      </c>
      <c r="AG1153" t="s">
        <v>68</v>
      </c>
      <c r="AH1153">
        <v>0</v>
      </c>
      <c r="AI1153" t="s">
        <v>71</v>
      </c>
      <c r="AJ1153" s="3" t="s">
        <v>83</v>
      </c>
      <c r="AK1153" s="3">
        <v>1</v>
      </c>
      <c r="AL1153" s="3" t="s">
        <v>83</v>
      </c>
    </row>
    <row r="1154" spans="1:38" x14ac:dyDescent="0.3">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v>3117</v>
      </c>
      <c r="S1154">
        <v>26009</v>
      </c>
      <c r="T1154">
        <v>1</v>
      </c>
      <c r="U1154" t="s">
        <v>43</v>
      </c>
      <c r="V1154">
        <v>18</v>
      </c>
      <c r="W1154">
        <v>3</v>
      </c>
      <c r="X1154">
        <v>3</v>
      </c>
      <c r="Y1154">
        <v>0</v>
      </c>
      <c r="Z1154">
        <v>3</v>
      </c>
      <c r="AA1154">
        <v>2</v>
      </c>
      <c r="AB1154">
        <v>3</v>
      </c>
      <c r="AC1154">
        <v>2</v>
      </c>
      <c r="AD1154">
        <v>2</v>
      </c>
      <c r="AE1154">
        <v>2</v>
      </c>
      <c r="AF1154">
        <v>2</v>
      </c>
      <c r="AG1154" t="s">
        <v>67</v>
      </c>
      <c r="AH1154">
        <v>0</v>
      </c>
      <c r="AI1154" t="s">
        <v>72</v>
      </c>
      <c r="AJ1154" s="3" t="s">
        <v>82</v>
      </c>
      <c r="AK1154" s="3">
        <v>1</v>
      </c>
      <c r="AL1154" s="3" t="s">
        <v>83</v>
      </c>
    </row>
    <row r="1155" spans="1:38" x14ac:dyDescent="0.3">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v>1569</v>
      </c>
      <c r="S1155">
        <v>18420</v>
      </c>
      <c r="T1155">
        <v>1</v>
      </c>
      <c r="U1155" t="s">
        <v>35</v>
      </c>
      <c r="V1155">
        <v>12</v>
      </c>
      <c r="W1155">
        <v>3</v>
      </c>
      <c r="X1155">
        <v>3</v>
      </c>
      <c r="Y1155">
        <v>0</v>
      </c>
      <c r="Z1155">
        <v>0</v>
      </c>
      <c r="AA1155">
        <v>2</v>
      </c>
      <c r="AB1155">
        <v>4</v>
      </c>
      <c r="AC1155">
        <v>0</v>
      </c>
      <c r="AD1155">
        <v>0</v>
      </c>
      <c r="AE1155">
        <v>0</v>
      </c>
      <c r="AF1155">
        <v>0</v>
      </c>
      <c r="AG1155" t="s">
        <v>66</v>
      </c>
      <c r="AH1155">
        <v>1</v>
      </c>
      <c r="AI1155" t="s">
        <v>72</v>
      </c>
      <c r="AJ1155" s="3" t="s">
        <v>82</v>
      </c>
      <c r="AK1155" s="3">
        <v>2</v>
      </c>
      <c r="AL1155" s="3" t="s">
        <v>84</v>
      </c>
    </row>
    <row r="1156" spans="1:38" x14ac:dyDescent="0.3">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v>19658</v>
      </c>
      <c r="S1156">
        <v>5220</v>
      </c>
      <c r="T1156">
        <v>3</v>
      </c>
      <c r="U1156" t="s">
        <v>43</v>
      </c>
      <c r="V1156">
        <v>11</v>
      </c>
      <c r="W1156">
        <v>3</v>
      </c>
      <c r="X1156">
        <v>3</v>
      </c>
      <c r="Y1156">
        <v>1</v>
      </c>
      <c r="Z1156">
        <v>27</v>
      </c>
      <c r="AA1156">
        <v>2</v>
      </c>
      <c r="AB1156">
        <v>3</v>
      </c>
      <c r="AC1156">
        <v>5</v>
      </c>
      <c r="AD1156">
        <v>2</v>
      </c>
      <c r="AE1156">
        <v>1</v>
      </c>
      <c r="AF1156">
        <v>0</v>
      </c>
      <c r="AG1156" t="s">
        <v>68</v>
      </c>
      <c r="AH1156">
        <v>0</v>
      </c>
      <c r="AI1156" t="s">
        <v>72</v>
      </c>
      <c r="AJ1156" s="3" t="s">
        <v>84</v>
      </c>
      <c r="AK1156" s="3">
        <v>0</v>
      </c>
      <c r="AL1156" s="3" t="s">
        <v>83</v>
      </c>
    </row>
    <row r="1157" spans="1:38" x14ac:dyDescent="0.3">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v>3069</v>
      </c>
      <c r="S1157">
        <v>10302</v>
      </c>
      <c r="T1157">
        <v>0</v>
      </c>
      <c r="U1157" t="s">
        <v>43</v>
      </c>
      <c r="V1157">
        <v>15</v>
      </c>
      <c r="W1157">
        <v>3</v>
      </c>
      <c r="X1157">
        <v>4</v>
      </c>
      <c r="Y1157">
        <v>1</v>
      </c>
      <c r="Z1157">
        <v>11</v>
      </c>
      <c r="AA1157">
        <v>3</v>
      </c>
      <c r="AB1157">
        <v>3</v>
      </c>
      <c r="AC1157">
        <v>10</v>
      </c>
      <c r="AD1157">
        <v>8</v>
      </c>
      <c r="AE1157">
        <v>0</v>
      </c>
      <c r="AF1157">
        <v>7</v>
      </c>
      <c r="AG1157" t="s">
        <v>65</v>
      </c>
      <c r="AH1157">
        <v>0</v>
      </c>
      <c r="AI1157" t="s">
        <v>70</v>
      </c>
      <c r="AJ1157" s="3" t="s">
        <v>84</v>
      </c>
      <c r="AK1157" s="3">
        <v>0</v>
      </c>
      <c r="AL1157" s="3" t="s">
        <v>83</v>
      </c>
    </row>
    <row r="1158" spans="1:38" x14ac:dyDescent="0.3">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v>10435</v>
      </c>
      <c r="S1158">
        <v>25800</v>
      </c>
      <c r="T1158">
        <v>1</v>
      </c>
      <c r="U1158" t="s">
        <v>43</v>
      </c>
      <c r="V1158">
        <v>13</v>
      </c>
      <c r="W1158">
        <v>3</v>
      </c>
      <c r="X1158">
        <v>4</v>
      </c>
      <c r="Y1158">
        <v>2</v>
      </c>
      <c r="Z1158">
        <v>18</v>
      </c>
      <c r="AA1158">
        <v>2</v>
      </c>
      <c r="AB1158">
        <v>3</v>
      </c>
      <c r="AC1158">
        <v>18</v>
      </c>
      <c r="AD1158">
        <v>15</v>
      </c>
      <c r="AE1158">
        <v>14</v>
      </c>
      <c r="AF1158">
        <v>12</v>
      </c>
      <c r="AG1158" t="s">
        <v>65</v>
      </c>
      <c r="AH1158">
        <v>0</v>
      </c>
      <c r="AI1158" t="s">
        <v>71</v>
      </c>
      <c r="AJ1158" s="3" t="s">
        <v>84</v>
      </c>
      <c r="AK1158" s="3">
        <v>0</v>
      </c>
      <c r="AL1158" s="3" t="s">
        <v>83</v>
      </c>
    </row>
    <row r="1159" spans="1:38" x14ac:dyDescent="0.3">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v>4148</v>
      </c>
      <c r="S1159">
        <v>12250</v>
      </c>
      <c r="T1159">
        <v>1</v>
      </c>
      <c r="U1159" t="s">
        <v>43</v>
      </c>
      <c r="V1159">
        <v>12</v>
      </c>
      <c r="W1159">
        <v>3</v>
      </c>
      <c r="X1159">
        <v>4</v>
      </c>
      <c r="Y1159">
        <v>1</v>
      </c>
      <c r="Z1159">
        <v>15</v>
      </c>
      <c r="AA1159">
        <v>5</v>
      </c>
      <c r="AB1159">
        <v>3</v>
      </c>
      <c r="AC1159">
        <v>14</v>
      </c>
      <c r="AD1159">
        <v>11</v>
      </c>
      <c r="AE1159">
        <v>2</v>
      </c>
      <c r="AF1159">
        <v>9</v>
      </c>
      <c r="AG1159" t="s">
        <v>65</v>
      </c>
      <c r="AH1159">
        <v>0</v>
      </c>
      <c r="AI1159" t="s">
        <v>70</v>
      </c>
      <c r="AJ1159" s="3" t="s">
        <v>84</v>
      </c>
      <c r="AK1159" s="3">
        <v>0</v>
      </c>
      <c r="AL1159" s="3" t="s">
        <v>83</v>
      </c>
    </row>
    <row r="1160" spans="1:38" x14ac:dyDescent="0.3">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v>5768</v>
      </c>
      <c r="S1160">
        <v>26493</v>
      </c>
      <c r="T1160">
        <v>3</v>
      </c>
      <c r="U1160" t="s">
        <v>43</v>
      </c>
      <c r="V1160">
        <v>17</v>
      </c>
      <c r="W1160">
        <v>3</v>
      </c>
      <c r="X1160">
        <v>1</v>
      </c>
      <c r="Y1160">
        <v>3</v>
      </c>
      <c r="Z1160">
        <v>9</v>
      </c>
      <c r="AA1160">
        <v>2</v>
      </c>
      <c r="AB1160">
        <v>2</v>
      </c>
      <c r="AC1160">
        <v>4</v>
      </c>
      <c r="AD1160">
        <v>3</v>
      </c>
      <c r="AE1160">
        <v>0</v>
      </c>
      <c r="AF1160">
        <v>2</v>
      </c>
      <c r="AG1160" t="s">
        <v>68</v>
      </c>
      <c r="AH1160">
        <v>0</v>
      </c>
      <c r="AI1160" t="s">
        <v>71</v>
      </c>
      <c r="AJ1160" s="3" t="s">
        <v>84</v>
      </c>
      <c r="AK1160" s="3">
        <v>0</v>
      </c>
      <c r="AL1160" s="3" t="s">
        <v>83</v>
      </c>
    </row>
    <row r="1161" spans="1:38" x14ac:dyDescent="0.3">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v>5042</v>
      </c>
      <c r="S1161">
        <v>3140</v>
      </c>
      <c r="T1161">
        <v>0</v>
      </c>
      <c r="U1161" t="s">
        <v>43</v>
      </c>
      <c r="V1161">
        <v>13</v>
      </c>
      <c r="W1161">
        <v>3</v>
      </c>
      <c r="X1161">
        <v>4</v>
      </c>
      <c r="Y1161">
        <v>0</v>
      </c>
      <c r="Z1161">
        <v>10</v>
      </c>
      <c r="AA1161">
        <v>2</v>
      </c>
      <c r="AB1161">
        <v>1</v>
      </c>
      <c r="AC1161">
        <v>9</v>
      </c>
      <c r="AD1161">
        <v>2</v>
      </c>
      <c r="AE1161">
        <v>3</v>
      </c>
      <c r="AF1161">
        <v>8</v>
      </c>
      <c r="AG1161" t="s">
        <v>65</v>
      </c>
      <c r="AH1161">
        <v>0</v>
      </c>
      <c r="AI1161" t="s">
        <v>71</v>
      </c>
      <c r="AJ1161" s="3" t="s">
        <v>84</v>
      </c>
      <c r="AK1161" s="3">
        <v>0</v>
      </c>
      <c r="AL1161" s="3" t="s">
        <v>83</v>
      </c>
    </row>
    <row r="1162" spans="1:38" x14ac:dyDescent="0.3">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v>5770</v>
      </c>
      <c r="S1162">
        <v>5388</v>
      </c>
      <c r="T1162">
        <v>1</v>
      </c>
      <c r="U1162" t="s">
        <v>43</v>
      </c>
      <c r="V1162">
        <v>19</v>
      </c>
      <c r="W1162">
        <v>3</v>
      </c>
      <c r="X1162">
        <v>1</v>
      </c>
      <c r="Y1162">
        <v>2</v>
      </c>
      <c r="Z1162">
        <v>10</v>
      </c>
      <c r="AA1162">
        <v>3</v>
      </c>
      <c r="AB1162">
        <v>3</v>
      </c>
      <c r="AC1162">
        <v>10</v>
      </c>
      <c r="AD1162">
        <v>7</v>
      </c>
      <c r="AE1162">
        <v>3</v>
      </c>
      <c r="AF1162">
        <v>9</v>
      </c>
      <c r="AG1162" t="s">
        <v>65</v>
      </c>
      <c r="AH1162">
        <v>0</v>
      </c>
      <c r="AI1162" t="s">
        <v>71</v>
      </c>
      <c r="AJ1162" s="3" t="s">
        <v>82</v>
      </c>
      <c r="AK1162" s="3">
        <v>0</v>
      </c>
      <c r="AL1162" s="3" t="s">
        <v>83</v>
      </c>
    </row>
    <row r="1163" spans="1:38" x14ac:dyDescent="0.3">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v>7756</v>
      </c>
      <c r="S1163">
        <v>14199</v>
      </c>
      <c r="T1163">
        <v>3</v>
      </c>
      <c r="U1163" t="s">
        <v>35</v>
      </c>
      <c r="V1163">
        <v>19</v>
      </c>
      <c r="W1163">
        <v>3</v>
      </c>
      <c r="X1163">
        <v>4</v>
      </c>
      <c r="Y1163">
        <v>1</v>
      </c>
      <c r="Z1163">
        <v>10</v>
      </c>
      <c r="AA1163">
        <v>6</v>
      </c>
      <c r="AB1163">
        <v>4</v>
      </c>
      <c r="AC1163">
        <v>5</v>
      </c>
      <c r="AD1163">
        <v>4</v>
      </c>
      <c r="AE1163">
        <v>0</v>
      </c>
      <c r="AF1163">
        <v>2</v>
      </c>
      <c r="AG1163" t="s">
        <v>68</v>
      </c>
      <c r="AH1163">
        <v>0</v>
      </c>
      <c r="AI1163" t="s">
        <v>70</v>
      </c>
      <c r="AJ1163" s="3" t="s">
        <v>84</v>
      </c>
      <c r="AK1163" s="3">
        <v>1</v>
      </c>
      <c r="AL1163" s="3" t="s">
        <v>83</v>
      </c>
    </row>
    <row r="1164" spans="1:38" x14ac:dyDescent="0.3">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v>10306</v>
      </c>
      <c r="S1164">
        <v>21530</v>
      </c>
      <c r="T1164">
        <v>9</v>
      </c>
      <c r="U1164" t="s">
        <v>43</v>
      </c>
      <c r="V1164">
        <v>17</v>
      </c>
      <c r="W1164">
        <v>3</v>
      </c>
      <c r="X1164">
        <v>3</v>
      </c>
      <c r="Y1164">
        <v>0</v>
      </c>
      <c r="Z1164">
        <v>15</v>
      </c>
      <c r="AA1164">
        <v>3</v>
      </c>
      <c r="AB1164">
        <v>3</v>
      </c>
      <c r="AC1164">
        <v>13</v>
      </c>
      <c r="AD1164">
        <v>12</v>
      </c>
      <c r="AE1164">
        <v>6</v>
      </c>
      <c r="AF1164">
        <v>0</v>
      </c>
      <c r="AG1164" t="s">
        <v>65</v>
      </c>
      <c r="AH1164">
        <v>1</v>
      </c>
      <c r="AI1164" t="s">
        <v>71</v>
      </c>
      <c r="AJ1164" s="3" t="s">
        <v>83</v>
      </c>
      <c r="AK1164" s="3">
        <v>1</v>
      </c>
      <c r="AL1164" s="3" t="s">
        <v>83</v>
      </c>
    </row>
    <row r="1165" spans="1:38" x14ac:dyDescent="0.3">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v>3936</v>
      </c>
      <c r="S1165">
        <v>9953</v>
      </c>
      <c r="T1165">
        <v>1</v>
      </c>
      <c r="U1165" t="s">
        <v>43</v>
      </c>
      <c r="V1165">
        <v>11</v>
      </c>
      <c r="W1165">
        <v>3</v>
      </c>
      <c r="X1165">
        <v>1</v>
      </c>
      <c r="Y1165">
        <v>1</v>
      </c>
      <c r="Z1165">
        <v>8</v>
      </c>
      <c r="AA1165">
        <v>2</v>
      </c>
      <c r="AB1165">
        <v>1</v>
      </c>
      <c r="AC1165">
        <v>8</v>
      </c>
      <c r="AD1165">
        <v>4</v>
      </c>
      <c r="AE1165">
        <v>7</v>
      </c>
      <c r="AF1165">
        <v>7</v>
      </c>
      <c r="AG1165" t="s">
        <v>65</v>
      </c>
      <c r="AH1165">
        <v>0</v>
      </c>
      <c r="AI1165" t="s">
        <v>71</v>
      </c>
      <c r="AJ1165" s="3" t="s">
        <v>83</v>
      </c>
      <c r="AK1165" s="3">
        <v>1</v>
      </c>
      <c r="AL1165" s="3" t="s">
        <v>83</v>
      </c>
    </row>
    <row r="1166" spans="1:38" x14ac:dyDescent="0.3">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v>7945</v>
      </c>
      <c r="S1166">
        <v>19948</v>
      </c>
      <c r="T1166">
        <v>6</v>
      </c>
      <c r="U1166" t="s">
        <v>35</v>
      </c>
      <c r="V1166">
        <v>15</v>
      </c>
      <c r="W1166">
        <v>3</v>
      </c>
      <c r="X1166">
        <v>4</v>
      </c>
      <c r="Y1166">
        <v>0</v>
      </c>
      <c r="Z1166">
        <v>18</v>
      </c>
      <c r="AA1166">
        <v>2</v>
      </c>
      <c r="AB1166">
        <v>2</v>
      </c>
      <c r="AC1166">
        <v>4</v>
      </c>
      <c r="AD1166">
        <v>2</v>
      </c>
      <c r="AE1166">
        <v>3</v>
      </c>
      <c r="AF1166">
        <v>3</v>
      </c>
      <c r="AG1166" t="s">
        <v>68</v>
      </c>
      <c r="AH1166">
        <v>0</v>
      </c>
      <c r="AI1166" t="s">
        <v>71</v>
      </c>
      <c r="AJ1166" s="3" t="s">
        <v>82</v>
      </c>
      <c r="AK1166" s="3">
        <v>1</v>
      </c>
      <c r="AL1166" s="3" t="s">
        <v>83</v>
      </c>
    </row>
    <row r="1167" spans="1:38" x14ac:dyDescent="0.3">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v>5743</v>
      </c>
      <c r="S1167">
        <v>10503</v>
      </c>
      <c r="T1167">
        <v>4</v>
      </c>
      <c r="U1167" t="s">
        <v>35</v>
      </c>
      <c r="V1167">
        <v>11</v>
      </c>
      <c r="W1167">
        <v>3</v>
      </c>
      <c r="X1167">
        <v>3</v>
      </c>
      <c r="Y1167">
        <v>0</v>
      </c>
      <c r="Z1167">
        <v>14</v>
      </c>
      <c r="AA1167">
        <v>3</v>
      </c>
      <c r="AB1167">
        <v>3</v>
      </c>
      <c r="AC1167">
        <v>10</v>
      </c>
      <c r="AD1167">
        <v>7</v>
      </c>
      <c r="AE1167">
        <v>0</v>
      </c>
      <c r="AF1167">
        <v>2</v>
      </c>
      <c r="AG1167" t="s">
        <v>65</v>
      </c>
      <c r="AH1167">
        <v>0</v>
      </c>
      <c r="AI1167" t="s">
        <v>70</v>
      </c>
      <c r="AJ1167" s="3" t="s">
        <v>82</v>
      </c>
      <c r="AK1167" s="3">
        <v>1</v>
      </c>
      <c r="AL1167" s="3" t="s">
        <v>83</v>
      </c>
    </row>
    <row r="1168" spans="1:38" x14ac:dyDescent="0.3">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v>15202</v>
      </c>
      <c r="S1168">
        <v>5602</v>
      </c>
      <c r="T1168">
        <v>2</v>
      </c>
      <c r="U1168" t="s">
        <v>43</v>
      </c>
      <c r="V1168">
        <v>25</v>
      </c>
      <c r="W1168">
        <v>4</v>
      </c>
      <c r="X1168">
        <v>2</v>
      </c>
      <c r="Y1168">
        <v>1</v>
      </c>
      <c r="Z1168">
        <v>23</v>
      </c>
      <c r="AA1168">
        <v>3</v>
      </c>
      <c r="AB1168">
        <v>3</v>
      </c>
      <c r="AC1168">
        <v>2</v>
      </c>
      <c r="AD1168">
        <v>2</v>
      </c>
      <c r="AE1168">
        <v>2</v>
      </c>
      <c r="AF1168">
        <v>2</v>
      </c>
      <c r="AG1168" t="s">
        <v>67</v>
      </c>
      <c r="AH1168">
        <v>0</v>
      </c>
      <c r="AI1168" t="s">
        <v>70</v>
      </c>
      <c r="AJ1168" s="3" t="s">
        <v>82</v>
      </c>
      <c r="AK1168" s="3">
        <v>1</v>
      </c>
      <c r="AL1168" s="3" t="s">
        <v>83</v>
      </c>
    </row>
    <row r="1169" spans="1:38" x14ac:dyDescent="0.3">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v>5440</v>
      </c>
      <c r="S1169">
        <v>22098</v>
      </c>
      <c r="T1169">
        <v>6</v>
      </c>
      <c r="U1169" t="s">
        <v>35</v>
      </c>
      <c r="V1169">
        <v>14</v>
      </c>
      <c r="W1169">
        <v>3</v>
      </c>
      <c r="X1169">
        <v>4</v>
      </c>
      <c r="Y1169">
        <v>2</v>
      </c>
      <c r="Z1169">
        <v>7</v>
      </c>
      <c r="AA1169">
        <v>2</v>
      </c>
      <c r="AB1169">
        <v>2</v>
      </c>
      <c r="AC1169">
        <v>2</v>
      </c>
      <c r="AD1169">
        <v>2</v>
      </c>
      <c r="AE1169">
        <v>2</v>
      </c>
      <c r="AF1169">
        <v>2</v>
      </c>
      <c r="AG1169" t="s">
        <v>67</v>
      </c>
      <c r="AH1169">
        <v>1</v>
      </c>
      <c r="AI1169" t="s">
        <v>70</v>
      </c>
      <c r="AJ1169" s="3" t="s">
        <v>82</v>
      </c>
      <c r="AK1169" s="3">
        <v>2</v>
      </c>
      <c r="AL1169" s="3" t="s">
        <v>84</v>
      </c>
    </row>
    <row r="1170" spans="1:38" x14ac:dyDescent="0.3">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v>3760</v>
      </c>
      <c r="S1170">
        <v>17218</v>
      </c>
      <c r="T1170">
        <v>1</v>
      </c>
      <c r="U1170" t="s">
        <v>35</v>
      </c>
      <c r="V1170">
        <v>13</v>
      </c>
      <c r="W1170">
        <v>3</v>
      </c>
      <c r="X1170">
        <v>3</v>
      </c>
      <c r="Y1170">
        <v>0</v>
      </c>
      <c r="Z1170">
        <v>6</v>
      </c>
      <c r="AA1170">
        <v>2</v>
      </c>
      <c r="AB1170">
        <v>3</v>
      </c>
      <c r="AC1170">
        <v>6</v>
      </c>
      <c r="AD1170">
        <v>3</v>
      </c>
      <c r="AE1170">
        <v>1</v>
      </c>
      <c r="AF1170">
        <v>3</v>
      </c>
      <c r="AG1170" t="s">
        <v>65</v>
      </c>
      <c r="AH1170">
        <v>0</v>
      </c>
      <c r="AI1170" t="s">
        <v>71</v>
      </c>
      <c r="AJ1170" s="3" t="s">
        <v>82</v>
      </c>
      <c r="AK1170" s="3">
        <v>1</v>
      </c>
      <c r="AL1170" s="3" t="s">
        <v>83</v>
      </c>
    </row>
    <row r="1171" spans="1:38" x14ac:dyDescent="0.3">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v>3517</v>
      </c>
      <c r="S1171">
        <v>22490</v>
      </c>
      <c r="T1171">
        <v>7</v>
      </c>
      <c r="U1171" t="s">
        <v>43</v>
      </c>
      <c r="V1171">
        <v>17</v>
      </c>
      <c r="W1171">
        <v>3</v>
      </c>
      <c r="X1171">
        <v>1</v>
      </c>
      <c r="Y1171">
        <v>0</v>
      </c>
      <c r="Z1171">
        <v>5</v>
      </c>
      <c r="AA1171">
        <v>0</v>
      </c>
      <c r="AB1171">
        <v>3</v>
      </c>
      <c r="AC1171">
        <v>3</v>
      </c>
      <c r="AD1171">
        <v>2</v>
      </c>
      <c r="AE1171">
        <v>0</v>
      </c>
      <c r="AF1171">
        <v>2</v>
      </c>
      <c r="AG1171" t="s">
        <v>67</v>
      </c>
      <c r="AH1171">
        <v>0</v>
      </c>
      <c r="AI1171" t="s">
        <v>72</v>
      </c>
      <c r="AJ1171" s="3" t="s">
        <v>84</v>
      </c>
      <c r="AK1171" s="3">
        <v>1</v>
      </c>
      <c r="AL1171" s="3" t="s">
        <v>83</v>
      </c>
    </row>
    <row r="1172" spans="1:38" x14ac:dyDescent="0.3">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v>2580</v>
      </c>
      <c r="S1172">
        <v>6297</v>
      </c>
      <c r="T1172">
        <v>2</v>
      </c>
      <c r="U1172" t="s">
        <v>43</v>
      </c>
      <c r="V1172">
        <v>13</v>
      </c>
      <c r="W1172">
        <v>3</v>
      </c>
      <c r="X1172">
        <v>3</v>
      </c>
      <c r="Y1172">
        <v>0</v>
      </c>
      <c r="Z1172">
        <v>6</v>
      </c>
      <c r="AA1172">
        <v>0</v>
      </c>
      <c r="AB1172">
        <v>2</v>
      </c>
      <c r="AC1172">
        <v>4</v>
      </c>
      <c r="AD1172">
        <v>2</v>
      </c>
      <c r="AE1172">
        <v>1</v>
      </c>
      <c r="AF1172">
        <v>2</v>
      </c>
      <c r="AG1172" t="s">
        <v>68</v>
      </c>
      <c r="AH1172">
        <v>0</v>
      </c>
      <c r="AI1172" t="s">
        <v>72</v>
      </c>
      <c r="AJ1172" s="3" t="s">
        <v>82</v>
      </c>
      <c r="AK1172" s="3">
        <v>0</v>
      </c>
      <c r="AL1172" s="3" t="s">
        <v>83</v>
      </c>
    </row>
    <row r="1173" spans="1:38" x14ac:dyDescent="0.3">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v>2166</v>
      </c>
      <c r="S1173">
        <v>3339</v>
      </c>
      <c r="T1173">
        <v>3</v>
      </c>
      <c r="U1173" t="s">
        <v>35</v>
      </c>
      <c r="V1173">
        <v>14</v>
      </c>
      <c r="W1173">
        <v>3</v>
      </c>
      <c r="X1173">
        <v>2</v>
      </c>
      <c r="Y1173">
        <v>0</v>
      </c>
      <c r="Z1173">
        <v>10</v>
      </c>
      <c r="AA1173">
        <v>3</v>
      </c>
      <c r="AB1173">
        <v>1</v>
      </c>
      <c r="AC1173">
        <v>4</v>
      </c>
      <c r="AD1173">
        <v>2</v>
      </c>
      <c r="AE1173">
        <v>0</v>
      </c>
      <c r="AF1173">
        <v>3</v>
      </c>
      <c r="AG1173" t="s">
        <v>68</v>
      </c>
      <c r="AH1173">
        <v>1</v>
      </c>
      <c r="AI1173" t="s">
        <v>72</v>
      </c>
      <c r="AJ1173" s="3" t="s">
        <v>83</v>
      </c>
      <c r="AK1173" s="3">
        <v>2</v>
      </c>
      <c r="AL1173" s="3" t="s">
        <v>84</v>
      </c>
    </row>
    <row r="1174" spans="1:38" x14ac:dyDescent="0.3">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v>5869</v>
      </c>
      <c r="S1174">
        <v>23413</v>
      </c>
      <c r="T1174">
        <v>9</v>
      </c>
      <c r="U1174" t="s">
        <v>43</v>
      </c>
      <c r="V1174">
        <v>11</v>
      </c>
      <c r="W1174">
        <v>3</v>
      </c>
      <c r="X1174">
        <v>3</v>
      </c>
      <c r="Y1174">
        <v>0</v>
      </c>
      <c r="Z1174">
        <v>8</v>
      </c>
      <c r="AA1174">
        <v>2</v>
      </c>
      <c r="AB1174">
        <v>3</v>
      </c>
      <c r="AC1174">
        <v>5</v>
      </c>
      <c r="AD1174">
        <v>2</v>
      </c>
      <c r="AE1174">
        <v>1</v>
      </c>
      <c r="AF1174">
        <v>4</v>
      </c>
      <c r="AG1174" t="s">
        <v>68</v>
      </c>
      <c r="AH1174">
        <v>0</v>
      </c>
      <c r="AI1174" t="s">
        <v>70</v>
      </c>
      <c r="AJ1174" s="3" t="s">
        <v>84</v>
      </c>
      <c r="AK1174" s="3">
        <v>0</v>
      </c>
      <c r="AL1174" s="3" t="s">
        <v>83</v>
      </c>
    </row>
    <row r="1175" spans="1:38" x14ac:dyDescent="0.3">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v>8008</v>
      </c>
      <c r="S1175">
        <v>22792</v>
      </c>
      <c r="T1175">
        <v>4</v>
      </c>
      <c r="U1175" t="s">
        <v>43</v>
      </c>
      <c r="V1175">
        <v>12</v>
      </c>
      <c r="W1175">
        <v>3</v>
      </c>
      <c r="X1175">
        <v>3</v>
      </c>
      <c r="Y1175">
        <v>2</v>
      </c>
      <c r="Z1175">
        <v>9</v>
      </c>
      <c r="AA1175">
        <v>6</v>
      </c>
      <c r="AB1175">
        <v>3</v>
      </c>
      <c r="AC1175">
        <v>3</v>
      </c>
      <c r="AD1175">
        <v>2</v>
      </c>
      <c r="AE1175">
        <v>0</v>
      </c>
      <c r="AF1175">
        <v>2</v>
      </c>
      <c r="AG1175" t="s">
        <v>67</v>
      </c>
      <c r="AH1175">
        <v>0</v>
      </c>
      <c r="AI1175" t="s">
        <v>72</v>
      </c>
      <c r="AJ1175" s="3" t="s">
        <v>83</v>
      </c>
      <c r="AK1175" s="3">
        <v>2</v>
      </c>
      <c r="AL1175" s="3" t="s">
        <v>84</v>
      </c>
    </row>
    <row r="1176" spans="1:38" x14ac:dyDescent="0.3">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v>5206</v>
      </c>
      <c r="S1176">
        <v>4973</v>
      </c>
      <c r="T1176">
        <v>1</v>
      </c>
      <c r="U1176" t="s">
        <v>43</v>
      </c>
      <c r="V1176">
        <v>17</v>
      </c>
      <c r="W1176">
        <v>3</v>
      </c>
      <c r="X1176">
        <v>3</v>
      </c>
      <c r="Y1176">
        <v>2</v>
      </c>
      <c r="Z1176">
        <v>7</v>
      </c>
      <c r="AA1176">
        <v>6</v>
      </c>
      <c r="AB1176">
        <v>3</v>
      </c>
      <c r="AC1176">
        <v>7</v>
      </c>
      <c r="AD1176">
        <v>7</v>
      </c>
      <c r="AE1176">
        <v>0</v>
      </c>
      <c r="AF1176">
        <v>7</v>
      </c>
      <c r="AG1176" t="s">
        <v>65</v>
      </c>
      <c r="AH1176">
        <v>0</v>
      </c>
      <c r="AI1176" t="s">
        <v>71</v>
      </c>
      <c r="AJ1176" s="3" t="s">
        <v>84</v>
      </c>
      <c r="AK1176" s="3">
        <v>0</v>
      </c>
      <c r="AL1176" s="3" t="s">
        <v>83</v>
      </c>
    </row>
    <row r="1177" spans="1:38" x14ac:dyDescent="0.3">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v>5295</v>
      </c>
      <c r="S1177">
        <v>7693</v>
      </c>
      <c r="T1177">
        <v>4</v>
      </c>
      <c r="U1177" t="s">
        <v>43</v>
      </c>
      <c r="V1177">
        <v>21</v>
      </c>
      <c r="W1177">
        <v>4</v>
      </c>
      <c r="X1177">
        <v>3</v>
      </c>
      <c r="Y1177">
        <v>0</v>
      </c>
      <c r="Z1177">
        <v>7</v>
      </c>
      <c r="AA1177">
        <v>3</v>
      </c>
      <c r="AB1177">
        <v>3</v>
      </c>
      <c r="AC1177">
        <v>5</v>
      </c>
      <c r="AD1177">
        <v>4</v>
      </c>
      <c r="AE1177">
        <v>1</v>
      </c>
      <c r="AF1177">
        <v>0</v>
      </c>
      <c r="AG1177" t="s">
        <v>68</v>
      </c>
      <c r="AH1177">
        <v>0</v>
      </c>
      <c r="AI1177" t="s">
        <v>72</v>
      </c>
      <c r="AJ1177" s="3" t="s">
        <v>83</v>
      </c>
      <c r="AK1177" s="3">
        <v>1</v>
      </c>
      <c r="AL1177" s="3" t="s">
        <v>83</v>
      </c>
    </row>
    <row r="1178" spans="1:38" x14ac:dyDescent="0.3">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v>16413</v>
      </c>
      <c r="S1178">
        <v>3498</v>
      </c>
      <c r="T1178">
        <v>3</v>
      </c>
      <c r="U1178" t="s">
        <v>43</v>
      </c>
      <c r="V1178">
        <v>16</v>
      </c>
      <c r="W1178">
        <v>3</v>
      </c>
      <c r="X1178">
        <v>2</v>
      </c>
      <c r="Y1178">
        <v>2</v>
      </c>
      <c r="Z1178">
        <v>27</v>
      </c>
      <c r="AA1178">
        <v>2</v>
      </c>
      <c r="AB1178">
        <v>3</v>
      </c>
      <c r="AC1178">
        <v>4</v>
      </c>
      <c r="AD1178">
        <v>2</v>
      </c>
      <c r="AE1178">
        <v>1</v>
      </c>
      <c r="AF1178">
        <v>2</v>
      </c>
      <c r="AG1178" t="s">
        <v>68</v>
      </c>
      <c r="AH1178">
        <v>0</v>
      </c>
      <c r="AI1178" t="s">
        <v>71</v>
      </c>
      <c r="AJ1178" s="3" t="s">
        <v>83</v>
      </c>
      <c r="AK1178" s="3">
        <v>1</v>
      </c>
      <c r="AL1178" s="3" t="s">
        <v>83</v>
      </c>
    </row>
    <row r="1179" spans="1:38" x14ac:dyDescent="0.3">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v>13269</v>
      </c>
      <c r="S1179">
        <v>21981</v>
      </c>
      <c r="T1179">
        <v>5</v>
      </c>
      <c r="U1179" t="s">
        <v>43</v>
      </c>
      <c r="V1179">
        <v>15</v>
      </c>
      <c r="W1179">
        <v>3</v>
      </c>
      <c r="X1179">
        <v>3</v>
      </c>
      <c r="Y1179">
        <v>3</v>
      </c>
      <c r="Z1179">
        <v>19</v>
      </c>
      <c r="AA1179">
        <v>3</v>
      </c>
      <c r="AB1179">
        <v>3</v>
      </c>
      <c r="AC1179">
        <v>14</v>
      </c>
      <c r="AD1179">
        <v>11</v>
      </c>
      <c r="AE1179">
        <v>1</v>
      </c>
      <c r="AF1179">
        <v>11</v>
      </c>
      <c r="AG1179" t="s">
        <v>65</v>
      </c>
      <c r="AH1179">
        <v>0</v>
      </c>
      <c r="AI1179" t="s">
        <v>70</v>
      </c>
      <c r="AJ1179" s="3" t="s">
        <v>83</v>
      </c>
      <c r="AK1179" s="3">
        <v>1</v>
      </c>
      <c r="AL1179" s="3" t="s">
        <v>83</v>
      </c>
    </row>
    <row r="1180" spans="1:38" x14ac:dyDescent="0.3">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v>2783</v>
      </c>
      <c r="S1180">
        <v>13251</v>
      </c>
      <c r="T1180">
        <v>1</v>
      </c>
      <c r="U1180" t="s">
        <v>43</v>
      </c>
      <c r="V1180">
        <v>19</v>
      </c>
      <c r="W1180">
        <v>3</v>
      </c>
      <c r="X1180">
        <v>1</v>
      </c>
      <c r="Y1180">
        <v>0</v>
      </c>
      <c r="Z1180">
        <v>2</v>
      </c>
      <c r="AA1180">
        <v>3</v>
      </c>
      <c r="AB1180">
        <v>3</v>
      </c>
      <c r="AC1180">
        <v>2</v>
      </c>
      <c r="AD1180">
        <v>2</v>
      </c>
      <c r="AE1180">
        <v>2</v>
      </c>
      <c r="AF1180">
        <v>2</v>
      </c>
      <c r="AG1180" t="s">
        <v>67</v>
      </c>
      <c r="AH1180">
        <v>0</v>
      </c>
      <c r="AI1180" t="s">
        <v>69</v>
      </c>
      <c r="AJ1180" s="3" t="s">
        <v>84</v>
      </c>
      <c r="AK1180" s="3">
        <v>1</v>
      </c>
      <c r="AL1180" s="3" t="s">
        <v>83</v>
      </c>
    </row>
    <row r="1181" spans="1:38" x14ac:dyDescent="0.3">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v>5433</v>
      </c>
      <c r="S1181">
        <v>19332</v>
      </c>
      <c r="T1181">
        <v>1</v>
      </c>
      <c r="U1181" t="s">
        <v>43</v>
      </c>
      <c r="V1181">
        <v>12</v>
      </c>
      <c r="W1181">
        <v>3</v>
      </c>
      <c r="X1181">
        <v>3</v>
      </c>
      <c r="Y1181">
        <v>1</v>
      </c>
      <c r="Z1181">
        <v>11</v>
      </c>
      <c r="AA1181">
        <v>2</v>
      </c>
      <c r="AB1181">
        <v>3</v>
      </c>
      <c r="AC1181">
        <v>11</v>
      </c>
      <c r="AD1181">
        <v>8</v>
      </c>
      <c r="AE1181">
        <v>7</v>
      </c>
      <c r="AF1181">
        <v>9</v>
      </c>
      <c r="AG1181" t="s">
        <v>65</v>
      </c>
      <c r="AH1181">
        <v>0</v>
      </c>
      <c r="AI1181" t="s">
        <v>72</v>
      </c>
      <c r="AJ1181" s="3" t="s">
        <v>83</v>
      </c>
      <c r="AK1181" s="3">
        <v>1</v>
      </c>
      <c r="AL1181" s="3" t="s">
        <v>83</v>
      </c>
    </row>
    <row r="1182" spans="1:38" x14ac:dyDescent="0.3">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v>2013</v>
      </c>
      <c r="S1182">
        <v>10950</v>
      </c>
      <c r="T1182">
        <v>2</v>
      </c>
      <c r="U1182" t="s">
        <v>43</v>
      </c>
      <c r="V1182">
        <v>11</v>
      </c>
      <c r="W1182">
        <v>3</v>
      </c>
      <c r="X1182">
        <v>3</v>
      </c>
      <c r="Y1182">
        <v>0</v>
      </c>
      <c r="Z1182">
        <v>15</v>
      </c>
      <c r="AA1182">
        <v>4</v>
      </c>
      <c r="AB1182">
        <v>3</v>
      </c>
      <c r="AC1182">
        <v>4</v>
      </c>
      <c r="AD1182">
        <v>3</v>
      </c>
      <c r="AE1182">
        <v>1</v>
      </c>
      <c r="AF1182">
        <v>3</v>
      </c>
      <c r="AG1182" t="s">
        <v>68</v>
      </c>
      <c r="AH1182">
        <v>0</v>
      </c>
      <c r="AI1182" t="s">
        <v>71</v>
      </c>
      <c r="AJ1182" s="3" t="s">
        <v>83</v>
      </c>
      <c r="AK1182" s="3">
        <v>1</v>
      </c>
      <c r="AL1182" s="3" t="s">
        <v>83</v>
      </c>
    </row>
    <row r="1183" spans="1:38" x14ac:dyDescent="0.3">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v>13966</v>
      </c>
      <c r="S1183">
        <v>11652</v>
      </c>
      <c r="T1183">
        <v>2</v>
      </c>
      <c r="U1183" t="s">
        <v>35</v>
      </c>
      <c r="V1183">
        <v>19</v>
      </c>
      <c r="W1183">
        <v>3</v>
      </c>
      <c r="X1183">
        <v>2</v>
      </c>
      <c r="Y1183">
        <v>1</v>
      </c>
      <c r="Z1183">
        <v>30</v>
      </c>
      <c r="AA1183">
        <v>3</v>
      </c>
      <c r="AB1183">
        <v>3</v>
      </c>
      <c r="AC1183">
        <v>15</v>
      </c>
      <c r="AD1183">
        <v>11</v>
      </c>
      <c r="AE1183">
        <v>2</v>
      </c>
      <c r="AF1183">
        <v>12</v>
      </c>
      <c r="AG1183" t="s">
        <v>65</v>
      </c>
      <c r="AH1183">
        <v>0</v>
      </c>
      <c r="AI1183" t="s">
        <v>71</v>
      </c>
      <c r="AJ1183" s="3" t="s">
        <v>84</v>
      </c>
      <c r="AK1183" s="3">
        <v>1</v>
      </c>
      <c r="AL1183" s="3" t="s">
        <v>83</v>
      </c>
    </row>
    <row r="1184" spans="1:38" x14ac:dyDescent="0.3">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v>4374</v>
      </c>
      <c r="S1184">
        <v>15411</v>
      </c>
      <c r="T1184">
        <v>0</v>
      </c>
      <c r="U1184" t="s">
        <v>43</v>
      </c>
      <c r="V1184">
        <v>15</v>
      </c>
      <c r="W1184">
        <v>3</v>
      </c>
      <c r="X1184">
        <v>3</v>
      </c>
      <c r="Y1184">
        <v>0</v>
      </c>
      <c r="Z1184">
        <v>4</v>
      </c>
      <c r="AA1184">
        <v>6</v>
      </c>
      <c r="AB1184">
        <v>3</v>
      </c>
      <c r="AC1184">
        <v>3</v>
      </c>
      <c r="AD1184">
        <v>2</v>
      </c>
      <c r="AE1184">
        <v>1</v>
      </c>
      <c r="AF1184">
        <v>2</v>
      </c>
      <c r="AG1184" t="s">
        <v>67</v>
      </c>
      <c r="AH1184">
        <v>0</v>
      </c>
      <c r="AI1184" t="s">
        <v>70</v>
      </c>
      <c r="AJ1184" s="3" t="s">
        <v>84</v>
      </c>
      <c r="AK1184" s="3">
        <v>1</v>
      </c>
      <c r="AL1184" s="3" t="s">
        <v>83</v>
      </c>
    </row>
    <row r="1185" spans="1:38" x14ac:dyDescent="0.3">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v>6842</v>
      </c>
      <c r="S1185">
        <v>26308</v>
      </c>
      <c r="T1185">
        <v>6</v>
      </c>
      <c r="U1185" t="s">
        <v>43</v>
      </c>
      <c r="V1185">
        <v>20</v>
      </c>
      <c r="W1185">
        <v>4</v>
      </c>
      <c r="X1185">
        <v>1</v>
      </c>
      <c r="Y1185">
        <v>1</v>
      </c>
      <c r="Z1185">
        <v>13</v>
      </c>
      <c r="AA1185">
        <v>3</v>
      </c>
      <c r="AB1185">
        <v>3</v>
      </c>
      <c r="AC1185">
        <v>5</v>
      </c>
      <c r="AD1185">
        <v>4</v>
      </c>
      <c r="AE1185">
        <v>0</v>
      </c>
      <c r="AF1185">
        <v>4</v>
      </c>
      <c r="AG1185" t="s">
        <v>68</v>
      </c>
      <c r="AH1185">
        <v>0</v>
      </c>
      <c r="AI1185" t="s">
        <v>71</v>
      </c>
      <c r="AJ1185" s="3" t="s">
        <v>83</v>
      </c>
      <c r="AK1185" s="3">
        <v>1</v>
      </c>
      <c r="AL1185" s="3" t="s">
        <v>83</v>
      </c>
    </row>
    <row r="1186" spans="1:38" x14ac:dyDescent="0.3">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v>17426</v>
      </c>
      <c r="S1186">
        <v>18685</v>
      </c>
      <c r="T1186">
        <v>3</v>
      </c>
      <c r="U1186" t="s">
        <v>43</v>
      </c>
      <c r="V1186">
        <v>25</v>
      </c>
      <c r="W1186">
        <v>4</v>
      </c>
      <c r="X1186">
        <v>3</v>
      </c>
      <c r="Y1186">
        <v>1</v>
      </c>
      <c r="Z1186">
        <v>36</v>
      </c>
      <c r="AA1186">
        <v>6</v>
      </c>
      <c r="AB1186">
        <v>3</v>
      </c>
      <c r="AC1186">
        <v>10</v>
      </c>
      <c r="AD1186">
        <v>8</v>
      </c>
      <c r="AE1186">
        <v>4</v>
      </c>
      <c r="AF1186">
        <v>7</v>
      </c>
      <c r="AG1186" t="s">
        <v>65</v>
      </c>
      <c r="AH1186">
        <v>0</v>
      </c>
      <c r="AI1186" t="s">
        <v>71</v>
      </c>
      <c r="AJ1186" s="3" t="s">
        <v>84</v>
      </c>
      <c r="AK1186" s="3">
        <v>0</v>
      </c>
      <c r="AL1186" s="3" t="s">
        <v>83</v>
      </c>
    </row>
    <row r="1187" spans="1:38" x14ac:dyDescent="0.3">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v>17603</v>
      </c>
      <c r="S1187">
        <v>3525</v>
      </c>
      <c r="T1187">
        <v>1</v>
      </c>
      <c r="U1187" t="s">
        <v>43</v>
      </c>
      <c r="V1187">
        <v>24</v>
      </c>
      <c r="W1187">
        <v>4</v>
      </c>
      <c r="X1187">
        <v>1</v>
      </c>
      <c r="Y1187">
        <v>1</v>
      </c>
      <c r="Z1187">
        <v>14</v>
      </c>
      <c r="AA1187">
        <v>3</v>
      </c>
      <c r="AB1187">
        <v>3</v>
      </c>
      <c r="AC1187">
        <v>14</v>
      </c>
      <c r="AD1187">
        <v>10</v>
      </c>
      <c r="AE1187">
        <v>6</v>
      </c>
      <c r="AF1187">
        <v>11</v>
      </c>
      <c r="AG1187" t="s">
        <v>65</v>
      </c>
      <c r="AH1187">
        <v>0</v>
      </c>
      <c r="AI1187" t="s">
        <v>69</v>
      </c>
      <c r="AJ1187" s="3" t="s">
        <v>84</v>
      </c>
      <c r="AK1187" s="3">
        <v>0</v>
      </c>
      <c r="AL1187" s="3" t="s">
        <v>83</v>
      </c>
    </row>
    <row r="1188" spans="1:38" x14ac:dyDescent="0.3">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v>4581</v>
      </c>
      <c r="S1188">
        <v>10414</v>
      </c>
      <c r="T1188">
        <v>3</v>
      </c>
      <c r="U1188" t="s">
        <v>35</v>
      </c>
      <c r="V1188">
        <v>24</v>
      </c>
      <c r="W1188">
        <v>4</v>
      </c>
      <c r="X1188">
        <v>1</v>
      </c>
      <c r="Y1188">
        <v>0</v>
      </c>
      <c r="Z1188">
        <v>13</v>
      </c>
      <c r="AA1188">
        <v>2</v>
      </c>
      <c r="AB1188">
        <v>4</v>
      </c>
      <c r="AC1188">
        <v>11</v>
      </c>
      <c r="AD1188">
        <v>9</v>
      </c>
      <c r="AE1188">
        <v>6</v>
      </c>
      <c r="AF1188">
        <v>7</v>
      </c>
      <c r="AG1188" t="s">
        <v>65</v>
      </c>
      <c r="AH1188">
        <v>1</v>
      </c>
      <c r="AI1188" t="s">
        <v>70</v>
      </c>
      <c r="AJ1188" s="3" t="s">
        <v>82</v>
      </c>
      <c r="AK1188" s="3">
        <v>1</v>
      </c>
      <c r="AL1188" s="3" t="s">
        <v>83</v>
      </c>
    </row>
    <row r="1189" spans="1:38" x14ac:dyDescent="0.3">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v>4735</v>
      </c>
      <c r="S1189">
        <v>9867</v>
      </c>
      <c r="T1189">
        <v>7</v>
      </c>
      <c r="U1189" t="s">
        <v>43</v>
      </c>
      <c r="V1189">
        <v>15</v>
      </c>
      <c r="W1189">
        <v>3</v>
      </c>
      <c r="X1189">
        <v>4</v>
      </c>
      <c r="Y1189">
        <v>2</v>
      </c>
      <c r="Z1189">
        <v>19</v>
      </c>
      <c r="AA1189">
        <v>4</v>
      </c>
      <c r="AB1189">
        <v>4</v>
      </c>
      <c r="AC1189">
        <v>13</v>
      </c>
      <c r="AD1189">
        <v>11</v>
      </c>
      <c r="AE1189">
        <v>2</v>
      </c>
      <c r="AF1189">
        <v>9</v>
      </c>
      <c r="AG1189" t="s">
        <v>65</v>
      </c>
      <c r="AH1189">
        <v>0</v>
      </c>
      <c r="AI1189" t="s">
        <v>71</v>
      </c>
      <c r="AJ1189" s="3" t="s">
        <v>82</v>
      </c>
      <c r="AK1189" s="3">
        <v>0</v>
      </c>
      <c r="AL1189" s="3" t="s">
        <v>83</v>
      </c>
    </row>
    <row r="1190" spans="1:38" x14ac:dyDescent="0.3">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v>4187</v>
      </c>
      <c r="S1190">
        <v>3356</v>
      </c>
      <c r="T1190">
        <v>1</v>
      </c>
      <c r="U1190" t="s">
        <v>35</v>
      </c>
      <c r="V1190">
        <v>13</v>
      </c>
      <c r="W1190">
        <v>3</v>
      </c>
      <c r="X1190">
        <v>2</v>
      </c>
      <c r="Y1190">
        <v>1</v>
      </c>
      <c r="Z1190">
        <v>10</v>
      </c>
      <c r="AA1190">
        <v>3</v>
      </c>
      <c r="AB1190">
        <v>2</v>
      </c>
      <c r="AC1190">
        <v>10</v>
      </c>
      <c r="AD1190">
        <v>0</v>
      </c>
      <c r="AE1190">
        <v>0</v>
      </c>
      <c r="AF1190">
        <v>9</v>
      </c>
      <c r="AG1190" t="s">
        <v>65</v>
      </c>
      <c r="AH1190">
        <v>0</v>
      </c>
      <c r="AI1190" t="s">
        <v>71</v>
      </c>
      <c r="AJ1190" s="3" t="s">
        <v>83</v>
      </c>
      <c r="AK1190" s="3">
        <v>2</v>
      </c>
      <c r="AL1190" s="3" t="s">
        <v>84</v>
      </c>
    </row>
    <row r="1191" spans="1:38" x14ac:dyDescent="0.3">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v>5505</v>
      </c>
      <c r="S1191">
        <v>3921</v>
      </c>
      <c r="T1191">
        <v>1</v>
      </c>
      <c r="U1191" t="s">
        <v>43</v>
      </c>
      <c r="V1191">
        <v>14</v>
      </c>
      <c r="W1191">
        <v>3</v>
      </c>
      <c r="X1191">
        <v>3</v>
      </c>
      <c r="Y1191">
        <v>2</v>
      </c>
      <c r="Z1191">
        <v>6</v>
      </c>
      <c r="AA1191">
        <v>5</v>
      </c>
      <c r="AB1191">
        <v>3</v>
      </c>
      <c r="AC1191">
        <v>6</v>
      </c>
      <c r="AD1191">
        <v>2</v>
      </c>
      <c r="AE1191">
        <v>0</v>
      </c>
      <c r="AF1191">
        <v>4</v>
      </c>
      <c r="AG1191" t="s">
        <v>65</v>
      </c>
      <c r="AH1191">
        <v>0</v>
      </c>
      <c r="AI1191" t="s">
        <v>72</v>
      </c>
      <c r="AJ1191" s="3" t="s">
        <v>82</v>
      </c>
      <c r="AK1191" s="3">
        <v>0</v>
      </c>
      <c r="AL1191" s="3" t="s">
        <v>83</v>
      </c>
    </row>
    <row r="1192" spans="1:38" x14ac:dyDescent="0.3">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v>5470</v>
      </c>
      <c r="S1192">
        <v>25518</v>
      </c>
      <c r="T1192">
        <v>0</v>
      </c>
      <c r="U1192" t="s">
        <v>43</v>
      </c>
      <c r="V1192">
        <v>13</v>
      </c>
      <c r="W1192">
        <v>3</v>
      </c>
      <c r="X1192">
        <v>3</v>
      </c>
      <c r="Y1192">
        <v>2</v>
      </c>
      <c r="Z1192">
        <v>10</v>
      </c>
      <c r="AA1192">
        <v>4</v>
      </c>
      <c r="AB1192">
        <v>2</v>
      </c>
      <c r="AC1192">
        <v>9</v>
      </c>
      <c r="AD1192">
        <v>5</v>
      </c>
      <c r="AE1192">
        <v>1</v>
      </c>
      <c r="AF1192">
        <v>6</v>
      </c>
      <c r="AG1192" t="s">
        <v>65</v>
      </c>
      <c r="AH1192">
        <v>0</v>
      </c>
      <c r="AI1192" t="s">
        <v>71</v>
      </c>
      <c r="AJ1192" s="3" t="s">
        <v>83</v>
      </c>
      <c r="AK1192" s="3">
        <v>1</v>
      </c>
      <c r="AL1192" s="3" t="s">
        <v>83</v>
      </c>
    </row>
    <row r="1193" spans="1:38" x14ac:dyDescent="0.3">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v>5476</v>
      </c>
      <c r="S1193">
        <v>22589</v>
      </c>
      <c r="T1193">
        <v>1</v>
      </c>
      <c r="U1193" t="s">
        <v>43</v>
      </c>
      <c r="V1193">
        <v>11</v>
      </c>
      <c r="W1193">
        <v>3</v>
      </c>
      <c r="X1193">
        <v>1</v>
      </c>
      <c r="Y1193">
        <v>2</v>
      </c>
      <c r="Z1193">
        <v>10</v>
      </c>
      <c r="AA1193">
        <v>2</v>
      </c>
      <c r="AB1193">
        <v>3</v>
      </c>
      <c r="AC1193">
        <v>10</v>
      </c>
      <c r="AD1193">
        <v>0</v>
      </c>
      <c r="AE1193">
        <v>0</v>
      </c>
      <c r="AF1193">
        <v>2</v>
      </c>
      <c r="AG1193" t="s">
        <v>65</v>
      </c>
      <c r="AH1193">
        <v>0</v>
      </c>
      <c r="AI1193" t="s">
        <v>71</v>
      </c>
      <c r="AJ1193" s="3" t="s">
        <v>82</v>
      </c>
      <c r="AK1193" s="3">
        <v>0</v>
      </c>
      <c r="AL1193" s="3" t="s">
        <v>83</v>
      </c>
    </row>
    <row r="1194" spans="1:38" x14ac:dyDescent="0.3">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v>2587</v>
      </c>
      <c r="S1194">
        <v>24941</v>
      </c>
      <c r="T1194">
        <v>4</v>
      </c>
      <c r="U1194" t="s">
        <v>35</v>
      </c>
      <c r="V1194">
        <v>16</v>
      </c>
      <c r="W1194">
        <v>3</v>
      </c>
      <c r="X1194">
        <v>2</v>
      </c>
      <c r="Y1194">
        <v>1</v>
      </c>
      <c r="Z1194">
        <v>17</v>
      </c>
      <c r="AA1194">
        <v>2</v>
      </c>
      <c r="AB1194">
        <v>2</v>
      </c>
      <c r="AC1194">
        <v>2</v>
      </c>
      <c r="AD1194">
        <v>2</v>
      </c>
      <c r="AE1194">
        <v>2</v>
      </c>
      <c r="AF1194">
        <v>2</v>
      </c>
      <c r="AG1194" t="s">
        <v>67</v>
      </c>
      <c r="AH1194">
        <v>0</v>
      </c>
      <c r="AI1194" t="s">
        <v>71</v>
      </c>
      <c r="AJ1194" s="3" t="s">
        <v>83</v>
      </c>
      <c r="AK1194" s="3">
        <v>3</v>
      </c>
      <c r="AL1194" s="3" t="s">
        <v>82</v>
      </c>
    </row>
    <row r="1195" spans="1:38" x14ac:dyDescent="0.3">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v>2440</v>
      </c>
      <c r="S1195">
        <v>23826</v>
      </c>
      <c r="T1195">
        <v>1</v>
      </c>
      <c r="U1195" t="s">
        <v>43</v>
      </c>
      <c r="V1195">
        <v>22</v>
      </c>
      <c r="W1195">
        <v>4</v>
      </c>
      <c r="X1195">
        <v>2</v>
      </c>
      <c r="Y1195">
        <v>0</v>
      </c>
      <c r="Z1195">
        <v>4</v>
      </c>
      <c r="AA1195">
        <v>3</v>
      </c>
      <c r="AB1195">
        <v>3</v>
      </c>
      <c r="AC1195">
        <v>4</v>
      </c>
      <c r="AD1195">
        <v>3</v>
      </c>
      <c r="AE1195">
        <v>3</v>
      </c>
      <c r="AF1195">
        <v>3</v>
      </c>
      <c r="AG1195" t="s">
        <v>68</v>
      </c>
      <c r="AH1195">
        <v>0</v>
      </c>
      <c r="AI1195" t="s">
        <v>70</v>
      </c>
      <c r="AJ1195" s="3" t="s">
        <v>83</v>
      </c>
      <c r="AK1195" s="3">
        <v>1</v>
      </c>
      <c r="AL1195" s="3" t="s">
        <v>83</v>
      </c>
    </row>
    <row r="1196" spans="1:38" x14ac:dyDescent="0.3">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v>15972</v>
      </c>
      <c r="S1196">
        <v>21086</v>
      </c>
      <c r="T1196">
        <v>6</v>
      </c>
      <c r="U1196" t="s">
        <v>43</v>
      </c>
      <c r="V1196">
        <v>14</v>
      </c>
      <c r="W1196">
        <v>3</v>
      </c>
      <c r="X1196">
        <v>3</v>
      </c>
      <c r="Y1196">
        <v>3</v>
      </c>
      <c r="Z1196">
        <v>29</v>
      </c>
      <c r="AA1196">
        <v>2</v>
      </c>
      <c r="AB1196">
        <v>3</v>
      </c>
      <c r="AC1196">
        <v>3</v>
      </c>
      <c r="AD1196">
        <v>2</v>
      </c>
      <c r="AE1196">
        <v>1</v>
      </c>
      <c r="AF1196">
        <v>2</v>
      </c>
      <c r="AG1196" t="s">
        <v>67</v>
      </c>
      <c r="AH1196">
        <v>0</v>
      </c>
      <c r="AI1196" t="s">
        <v>71</v>
      </c>
      <c r="AJ1196" s="3" t="s">
        <v>83</v>
      </c>
      <c r="AK1196" s="3">
        <v>2</v>
      </c>
      <c r="AL1196" s="3" t="s">
        <v>84</v>
      </c>
    </row>
    <row r="1197" spans="1:38" x14ac:dyDescent="0.3">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v>15379</v>
      </c>
      <c r="S1197">
        <v>22384</v>
      </c>
      <c r="T1197">
        <v>4</v>
      </c>
      <c r="U1197" t="s">
        <v>43</v>
      </c>
      <c r="V1197">
        <v>14</v>
      </c>
      <c r="W1197">
        <v>3</v>
      </c>
      <c r="X1197">
        <v>1</v>
      </c>
      <c r="Y1197">
        <v>0</v>
      </c>
      <c r="Z1197">
        <v>23</v>
      </c>
      <c r="AA1197">
        <v>2</v>
      </c>
      <c r="AB1197">
        <v>3</v>
      </c>
      <c r="AC1197">
        <v>8</v>
      </c>
      <c r="AD1197">
        <v>7</v>
      </c>
      <c r="AE1197">
        <v>0</v>
      </c>
      <c r="AF1197">
        <v>0</v>
      </c>
      <c r="AG1197" t="s">
        <v>65</v>
      </c>
      <c r="AH1197">
        <v>0</v>
      </c>
      <c r="AI1197" t="s">
        <v>70</v>
      </c>
      <c r="AJ1197" s="3" t="s">
        <v>84</v>
      </c>
      <c r="AK1197" s="3">
        <v>0</v>
      </c>
      <c r="AL1197" s="3" t="s">
        <v>83</v>
      </c>
    </row>
    <row r="1198" spans="1:38" x14ac:dyDescent="0.3">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v>7082</v>
      </c>
      <c r="S1198">
        <v>11591</v>
      </c>
      <c r="T1198">
        <v>3</v>
      </c>
      <c r="U1198" t="s">
        <v>35</v>
      </c>
      <c r="V1198">
        <v>16</v>
      </c>
      <c r="W1198">
        <v>3</v>
      </c>
      <c r="X1198">
        <v>4</v>
      </c>
      <c r="Y1198">
        <v>0</v>
      </c>
      <c r="Z1198">
        <v>21</v>
      </c>
      <c r="AA1198">
        <v>2</v>
      </c>
      <c r="AB1198">
        <v>3</v>
      </c>
      <c r="AC1198">
        <v>2</v>
      </c>
      <c r="AD1198">
        <v>0</v>
      </c>
      <c r="AE1198">
        <v>0</v>
      </c>
      <c r="AF1198">
        <v>2</v>
      </c>
      <c r="AG1198" t="s">
        <v>67</v>
      </c>
      <c r="AH1198">
        <v>0</v>
      </c>
      <c r="AI1198" t="s">
        <v>70</v>
      </c>
      <c r="AJ1198" s="3" t="s">
        <v>84</v>
      </c>
      <c r="AK1198" s="3">
        <v>2</v>
      </c>
      <c r="AL1198" s="3" t="s">
        <v>84</v>
      </c>
    </row>
    <row r="1199" spans="1:38" x14ac:dyDescent="0.3">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v>2728</v>
      </c>
      <c r="S1199">
        <v>21082</v>
      </c>
      <c r="T1199">
        <v>1</v>
      </c>
      <c r="U1199" t="s">
        <v>43</v>
      </c>
      <c r="V1199">
        <v>11</v>
      </c>
      <c r="W1199">
        <v>3</v>
      </c>
      <c r="X1199">
        <v>1</v>
      </c>
      <c r="Y1199">
        <v>0</v>
      </c>
      <c r="Z1199">
        <v>2</v>
      </c>
      <c r="AA1199">
        <v>3</v>
      </c>
      <c r="AB1199">
        <v>3</v>
      </c>
      <c r="AC1199">
        <v>2</v>
      </c>
      <c r="AD1199">
        <v>2</v>
      </c>
      <c r="AE1199">
        <v>0</v>
      </c>
      <c r="AF1199">
        <v>2</v>
      </c>
      <c r="AG1199" t="s">
        <v>67</v>
      </c>
      <c r="AH1199">
        <v>0</v>
      </c>
      <c r="AI1199" t="s">
        <v>70</v>
      </c>
      <c r="AJ1199" s="3" t="s">
        <v>83</v>
      </c>
      <c r="AK1199" s="3">
        <v>2</v>
      </c>
      <c r="AL1199" s="3" t="s">
        <v>84</v>
      </c>
    </row>
    <row r="1200" spans="1:38" x14ac:dyDescent="0.3">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v>5368</v>
      </c>
      <c r="S1200">
        <v>16130</v>
      </c>
      <c r="T1200">
        <v>1</v>
      </c>
      <c r="U1200" t="s">
        <v>35</v>
      </c>
      <c r="V1200">
        <v>25</v>
      </c>
      <c r="W1200">
        <v>4</v>
      </c>
      <c r="X1200">
        <v>3</v>
      </c>
      <c r="Y1200">
        <v>1</v>
      </c>
      <c r="Z1200">
        <v>7</v>
      </c>
      <c r="AA1200">
        <v>2</v>
      </c>
      <c r="AB1200">
        <v>3</v>
      </c>
      <c r="AC1200">
        <v>6</v>
      </c>
      <c r="AD1200">
        <v>5</v>
      </c>
      <c r="AE1200">
        <v>1</v>
      </c>
      <c r="AF1200">
        <v>2</v>
      </c>
      <c r="AG1200" t="s">
        <v>65</v>
      </c>
      <c r="AH1200">
        <v>0</v>
      </c>
      <c r="AI1200" t="s">
        <v>72</v>
      </c>
      <c r="AJ1200" s="3" t="s">
        <v>82</v>
      </c>
      <c r="AK1200" s="3">
        <v>1</v>
      </c>
      <c r="AL1200" s="3" t="s">
        <v>83</v>
      </c>
    </row>
    <row r="1201" spans="1:38" x14ac:dyDescent="0.3">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v>5347</v>
      </c>
      <c r="S1201">
        <v>7419</v>
      </c>
      <c r="T1201">
        <v>6</v>
      </c>
      <c r="U1201" t="s">
        <v>43</v>
      </c>
      <c r="V1201">
        <v>14</v>
      </c>
      <c r="W1201">
        <v>3</v>
      </c>
      <c r="X1201">
        <v>2</v>
      </c>
      <c r="Y1201">
        <v>2</v>
      </c>
      <c r="Z1201">
        <v>10</v>
      </c>
      <c r="AA1201">
        <v>2</v>
      </c>
      <c r="AB1201">
        <v>2</v>
      </c>
      <c r="AC1201">
        <v>3</v>
      </c>
      <c r="AD1201">
        <v>2</v>
      </c>
      <c r="AE1201">
        <v>0</v>
      </c>
      <c r="AF1201">
        <v>2</v>
      </c>
      <c r="AG1201" t="s">
        <v>67</v>
      </c>
      <c r="AH1201">
        <v>0</v>
      </c>
      <c r="AI1201" t="s">
        <v>71</v>
      </c>
      <c r="AJ1201" s="3" t="s">
        <v>84</v>
      </c>
      <c r="AK1201" s="3">
        <v>1</v>
      </c>
      <c r="AL1201" s="3" t="s">
        <v>83</v>
      </c>
    </row>
    <row r="1202" spans="1:38" x14ac:dyDescent="0.3">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v>3195</v>
      </c>
      <c r="S1202">
        <v>4167</v>
      </c>
      <c r="T1202">
        <v>4</v>
      </c>
      <c r="U1202" t="s">
        <v>35</v>
      </c>
      <c r="V1202">
        <v>18</v>
      </c>
      <c r="W1202">
        <v>3</v>
      </c>
      <c r="X1202">
        <v>1</v>
      </c>
      <c r="Y1202">
        <v>3</v>
      </c>
      <c r="Z1202">
        <v>8</v>
      </c>
      <c r="AA1202">
        <v>2</v>
      </c>
      <c r="AB1202">
        <v>3</v>
      </c>
      <c r="AC1202">
        <v>2</v>
      </c>
      <c r="AD1202">
        <v>2</v>
      </c>
      <c r="AE1202">
        <v>2</v>
      </c>
      <c r="AF1202">
        <v>2</v>
      </c>
      <c r="AG1202" t="s">
        <v>67</v>
      </c>
      <c r="AH1202">
        <v>0</v>
      </c>
      <c r="AI1202" t="s">
        <v>71</v>
      </c>
      <c r="AJ1202" s="3" t="s">
        <v>82</v>
      </c>
      <c r="AK1202" s="3">
        <v>2</v>
      </c>
      <c r="AL1202" s="3" t="s">
        <v>84</v>
      </c>
    </row>
    <row r="1203" spans="1:38" x14ac:dyDescent="0.3">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v>3989</v>
      </c>
      <c r="S1203">
        <v>20586</v>
      </c>
      <c r="T1203">
        <v>1</v>
      </c>
      <c r="U1203" t="s">
        <v>35</v>
      </c>
      <c r="V1203">
        <v>11</v>
      </c>
      <c r="W1203">
        <v>3</v>
      </c>
      <c r="X1203">
        <v>1</v>
      </c>
      <c r="Y1203">
        <v>0</v>
      </c>
      <c r="Z1203">
        <v>5</v>
      </c>
      <c r="AA1203">
        <v>2</v>
      </c>
      <c r="AB1203">
        <v>3</v>
      </c>
      <c r="AC1203">
        <v>5</v>
      </c>
      <c r="AD1203">
        <v>4</v>
      </c>
      <c r="AE1203">
        <v>1</v>
      </c>
      <c r="AF1203">
        <v>2</v>
      </c>
      <c r="AG1203" t="s">
        <v>68</v>
      </c>
      <c r="AH1203">
        <v>1</v>
      </c>
      <c r="AI1203" t="s">
        <v>70</v>
      </c>
      <c r="AJ1203" s="3" t="s">
        <v>84</v>
      </c>
      <c r="AK1203" s="3">
        <v>1</v>
      </c>
      <c r="AL1203" s="3" t="s">
        <v>83</v>
      </c>
    </row>
    <row r="1204" spans="1:38" x14ac:dyDescent="0.3">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v>3306</v>
      </c>
      <c r="S1204">
        <v>26176</v>
      </c>
      <c r="T1204">
        <v>7</v>
      </c>
      <c r="U1204" t="s">
        <v>43</v>
      </c>
      <c r="V1204">
        <v>19</v>
      </c>
      <c r="W1204">
        <v>3</v>
      </c>
      <c r="X1204">
        <v>4</v>
      </c>
      <c r="Y1204">
        <v>1</v>
      </c>
      <c r="Z1204">
        <v>7</v>
      </c>
      <c r="AA1204">
        <v>5</v>
      </c>
      <c r="AB1204">
        <v>2</v>
      </c>
      <c r="AC1204">
        <v>0</v>
      </c>
      <c r="AD1204">
        <v>0</v>
      </c>
      <c r="AE1204">
        <v>0</v>
      </c>
      <c r="AF1204">
        <v>0</v>
      </c>
      <c r="AG1204" t="s">
        <v>66</v>
      </c>
      <c r="AH1204">
        <v>0</v>
      </c>
      <c r="AI1204" t="s">
        <v>72</v>
      </c>
      <c r="AJ1204" s="3" t="s">
        <v>84</v>
      </c>
      <c r="AK1204" s="3">
        <v>1</v>
      </c>
      <c r="AL1204" s="3" t="s">
        <v>83</v>
      </c>
    </row>
    <row r="1205" spans="1:38" x14ac:dyDescent="0.3">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v>7005</v>
      </c>
      <c r="S1205">
        <v>3458</v>
      </c>
      <c r="T1205">
        <v>3</v>
      </c>
      <c r="U1205" t="s">
        <v>43</v>
      </c>
      <c r="V1205">
        <v>15</v>
      </c>
      <c r="W1205">
        <v>3</v>
      </c>
      <c r="X1205">
        <v>3</v>
      </c>
      <c r="Y1205">
        <v>0</v>
      </c>
      <c r="Z1205">
        <v>11</v>
      </c>
      <c r="AA1205">
        <v>2</v>
      </c>
      <c r="AB1205">
        <v>3</v>
      </c>
      <c r="AC1205">
        <v>4</v>
      </c>
      <c r="AD1205">
        <v>3</v>
      </c>
      <c r="AE1205">
        <v>1</v>
      </c>
      <c r="AF1205">
        <v>2</v>
      </c>
      <c r="AG1205" t="s">
        <v>68</v>
      </c>
      <c r="AH1205">
        <v>0</v>
      </c>
      <c r="AI1205" t="s">
        <v>71</v>
      </c>
      <c r="AJ1205" s="3" t="s">
        <v>82</v>
      </c>
      <c r="AK1205" s="3">
        <v>0</v>
      </c>
      <c r="AL1205" s="3" t="s">
        <v>83</v>
      </c>
    </row>
    <row r="1206" spans="1:38" x14ac:dyDescent="0.3">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v>2655</v>
      </c>
      <c r="S1206">
        <v>11740</v>
      </c>
      <c r="T1206">
        <v>2</v>
      </c>
      <c r="U1206" t="s">
        <v>35</v>
      </c>
      <c r="V1206">
        <v>11</v>
      </c>
      <c r="W1206">
        <v>3</v>
      </c>
      <c r="X1206">
        <v>3</v>
      </c>
      <c r="Y1206">
        <v>2</v>
      </c>
      <c r="Z1206">
        <v>19</v>
      </c>
      <c r="AA1206">
        <v>3</v>
      </c>
      <c r="AB1206">
        <v>3</v>
      </c>
      <c r="AC1206">
        <v>9</v>
      </c>
      <c r="AD1206">
        <v>7</v>
      </c>
      <c r="AE1206">
        <v>7</v>
      </c>
      <c r="AF1206">
        <v>7</v>
      </c>
      <c r="AG1206" t="s">
        <v>65</v>
      </c>
      <c r="AH1206">
        <v>1</v>
      </c>
      <c r="AI1206" t="s">
        <v>69</v>
      </c>
      <c r="AJ1206" s="3" t="s">
        <v>84</v>
      </c>
      <c r="AK1206" s="3">
        <v>1</v>
      </c>
      <c r="AL1206" s="3" t="s">
        <v>83</v>
      </c>
    </row>
    <row r="1207" spans="1:38" x14ac:dyDescent="0.3">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v>1393</v>
      </c>
      <c r="S1207">
        <v>24852</v>
      </c>
      <c r="T1207">
        <v>1</v>
      </c>
      <c r="U1207" t="s">
        <v>43</v>
      </c>
      <c r="V1207">
        <v>12</v>
      </c>
      <c r="W1207">
        <v>3</v>
      </c>
      <c r="X1207">
        <v>1</v>
      </c>
      <c r="Y1207">
        <v>0</v>
      </c>
      <c r="Z1207">
        <v>1</v>
      </c>
      <c r="AA1207">
        <v>2</v>
      </c>
      <c r="AB1207">
        <v>3</v>
      </c>
      <c r="AC1207">
        <v>1</v>
      </c>
      <c r="AD1207">
        <v>0</v>
      </c>
      <c r="AE1207">
        <v>0</v>
      </c>
      <c r="AF1207">
        <v>0</v>
      </c>
      <c r="AG1207" t="s">
        <v>67</v>
      </c>
      <c r="AH1207">
        <v>1</v>
      </c>
      <c r="AI1207" t="s">
        <v>70</v>
      </c>
      <c r="AJ1207" s="3" t="s">
        <v>83</v>
      </c>
      <c r="AK1207" s="3">
        <v>2</v>
      </c>
      <c r="AL1207" s="3" t="s">
        <v>84</v>
      </c>
    </row>
    <row r="1208" spans="1:38" x14ac:dyDescent="0.3">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v>2570</v>
      </c>
      <c r="S1208">
        <v>11925</v>
      </c>
      <c r="T1208">
        <v>1</v>
      </c>
      <c r="U1208" t="s">
        <v>43</v>
      </c>
      <c r="V1208">
        <v>20</v>
      </c>
      <c r="W1208">
        <v>4</v>
      </c>
      <c r="X1208">
        <v>3</v>
      </c>
      <c r="Y1208">
        <v>0</v>
      </c>
      <c r="Z1208">
        <v>7</v>
      </c>
      <c r="AA1208">
        <v>5</v>
      </c>
      <c r="AB1208">
        <v>3</v>
      </c>
      <c r="AC1208">
        <v>7</v>
      </c>
      <c r="AD1208">
        <v>7</v>
      </c>
      <c r="AE1208">
        <v>5</v>
      </c>
      <c r="AF1208">
        <v>7</v>
      </c>
      <c r="AG1208" t="s">
        <v>65</v>
      </c>
      <c r="AH1208">
        <v>0</v>
      </c>
      <c r="AI1208" t="s">
        <v>71</v>
      </c>
      <c r="AJ1208" s="3" t="s">
        <v>82</v>
      </c>
      <c r="AK1208" s="3">
        <v>0</v>
      </c>
      <c r="AL1208" s="3" t="s">
        <v>83</v>
      </c>
    </row>
    <row r="1209" spans="1:38" x14ac:dyDescent="0.3">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v>3537</v>
      </c>
      <c r="S1209">
        <v>23737</v>
      </c>
      <c r="T1209">
        <v>5</v>
      </c>
      <c r="U1209" t="s">
        <v>43</v>
      </c>
      <c r="V1209">
        <v>12</v>
      </c>
      <c r="W1209">
        <v>3</v>
      </c>
      <c r="X1209">
        <v>4</v>
      </c>
      <c r="Y1209">
        <v>1</v>
      </c>
      <c r="Z1209">
        <v>8</v>
      </c>
      <c r="AA1209">
        <v>1</v>
      </c>
      <c r="AB1209">
        <v>3</v>
      </c>
      <c r="AC1209">
        <v>4</v>
      </c>
      <c r="AD1209">
        <v>2</v>
      </c>
      <c r="AE1209">
        <v>1</v>
      </c>
      <c r="AF1209">
        <v>2</v>
      </c>
      <c r="AG1209" t="s">
        <v>68</v>
      </c>
      <c r="AH1209">
        <v>0</v>
      </c>
      <c r="AI1209" t="s">
        <v>72</v>
      </c>
      <c r="AJ1209" s="3" t="s">
        <v>83</v>
      </c>
      <c r="AK1209" s="3">
        <v>1</v>
      </c>
      <c r="AL1209" s="3" t="s">
        <v>83</v>
      </c>
    </row>
    <row r="1210" spans="1:38" x14ac:dyDescent="0.3">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v>3986</v>
      </c>
      <c r="S1210">
        <v>11912</v>
      </c>
      <c r="T1210">
        <v>1</v>
      </c>
      <c r="U1210" t="s">
        <v>43</v>
      </c>
      <c r="V1210">
        <v>14</v>
      </c>
      <c r="W1210">
        <v>3</v>
      </c>
      <c r="X1210">
        <v>3</v>
      </c>
      <c r="Y1210">
        <v>1</v>
      </c>
      <c r="Z1210">
        <v>15</v>
      </c>
      <c r="AA1210">
        <v>3</v>
      </c>
      <c r="AB1210">
        <v>4</v>
      </c>
      <c r="AC1210">
        <v>15</v>
      </c>
      <c r="AD1210">
        <v>10</v>
      </c>
      <c r="AE1210">
        <v>4</v>
      </c>
      <c r="AF1210">
        <v>13</v>
      </c>
      <c r="AG1210" t="s">
        <v>65</v>
      </c>
      <c r="AH1210">
        <v>0</v>
      </c>
      <c r="AI1210" t="s">
        <v>69</v>
      </c>
      <c r="AJ1210" s="3" t="s">
        <v>82</v>
      </c>
      <c r="AK1210" s="3">
        <v>0</v>
      </c>
      <c r="AL1210" s="3" t="s">
        <v>83</v>
      </c>
    </row>
    <row r="1211" spans="1:38" x14ac:dyDescent="0.3">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v>10883</v>
      </c>
      <c r="S1211">
        <v>20467</v>
      </c>
      <c r="T1211">
        <v>3</v>
      </c>
      <c r="U1211" t="s">
        <v>43</v>
      </c>
      <c r="V1211">
        <v>20</v>
      </c>
      <c r="W1211">
        <v>4</v>
      </c>
      <c r="X1211">
        <v>3</v>
      </c>
      <c r="Y1211">
        <v>1</v>
      </c>
      <c r="Z1211">
        <v>19</v>
      </c>
      <c r="AA1211">
        <v>2</v>
      </c>
      <c r="AB1211">
        <v>4</v>
      </c>
      <c r="AC1211">
        <v>1</v>
      </c>
      <c r="AD1211">
        <v>0</v>
      </c>
      <c r="AE1211">
        <v>0</v>
      </c>
      <c r="AF1211">
        <v>0</v>
      </c>
      <c r="AG1211" t="s">
        <v>67</v>
      </c>
      <c r="AH1211">
        <v>0</v>
      </c>
      <c r="AI1211" t="s">
        <v>71</v>
      </c>
      <c r="AJ1211" s="3" t="s">
        <v>82</v>
      </c>
      <c r="AK1211" s="3">
        <v>1</v>
      </c>
      <c r="AL1211" s="3" t="s">
        <v>83</v>
      </c>
    </row>
    <row r="1212" spans="1:38" x14ac:dyDescent="0.3">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v>2028</v>
      </c>
      <c r="S1212">
        <v>13637</v>
      </c>
      <c r="T1212">
        <v>1</v>
      </c>
      <c r="U1212" t="s">
        <v>43</v>
      </c>
      <c r="V1212">
        <v>18</v>
      </c>
      <c r="W1212">
        <v>3</v>
      </c>
      <c r="X1212">
        <v>4</v>
      </c>
      <c r="Y1212">
        <v>3</v>
      </c>
      <c r="Z1212">
        <v>14</v>
      </c>
      <c r="AA1212">
        <v>6</v>
      </c>
      <c r="AB1212">
        <v>3</v>
      </c>
      <c r="AC1212">
        <v>14</v>
      </c>
      <c r="AD1212">
        <v>11</v>
      </c>
      <c r="AE1212">
        <v>2</v>
      </c>
      <c r="AF1212">
        <v>13</v>
      </c>
      <c r="AG1212" t="s">
        <v>65</v>
      </c>
      <c r="AH1212">
        <v>0</v>
      </c>
      <c r="AI1212" t="s">
        <v>69</v>
      </c>
      <c r="AJ1212" s="3" t="s">
        <v>83</v>
      </c>
      <c r="AK1212" s="3">
        <v>1</v>
      </c>
      <c r="AL1212" s="3" t="s">
        <v>83</v>
      </c>
    </row>
    <row r="1213" spans="1:38" x14ac:dyDescent="0.3">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v>9525</v>
      </c>
      <c r="S1213">
        <v>7677</v>
      </c>
      <c r="T1213">
        <v>1</v>
      </c>
      <c r="U1213" t="s">
        <v>43</v>
      </c>
      <c r="V1213">
        <v>14</v>
      </c>
      <c r="W1213">
        <v>3</v>
      </c>
      <c r="X1213">
        <v>3</v>
      </c>
      <c r="Y1213">
        <v>2</v>
      </c>
      <c r="Z1213">
        <v>6</v>
      </c>
      <c r="AA1213">
        <v>2</v>
      </c>
      <c r="AB1213">
        <v>2</v>
      </c>
      <c r="AC1213">
        <v>6</v>
      </c>
      <c r="AD1213">
        <v>3</v>
      </c>
      <c r="AE1213">
        <v>1</v>
      </c>
      <c r="AF1213">
        <v>3</v>
      </c>
      <c r="AG1213" t="s">
        <v>65</v>
      </c>
      <c r="AH1213">
        <v>0</v>
      </c>
      <c r="AI1213" t="s">
        <v>71</v>
      </c>
      <c r="AJ1213" s="3" t="s">
        <v>82</v>
      </c>
      <c r="AK1213" s="3">
        <v>0</v>
      </c>
      <c r="AL1213" s="3" t="s">
        <v>83</v>
      </c>
    </row>
    <row r="1214" spans="1:38" x14ac:dyDescent="0.3">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v>2929</v>
      </c>
      <c r="S1214">
        <v>20338</v>
      </c>
      <c r="T1214">
        <v>1</v>
      </c>
      <c r="U1214" t="s">
        <v>43</v>
      </c>
      <c r="V1214">
        <v>12</v>
      </c>
      <c r="W1214">
        <v>3</v>
      </c>
      <c r="X1214">
        <v>2</v>
      </c>
      <c r="Y1214">
        <v>0</v>
      </c>
      <c r="Z1214">
        <v>10</v>
      </c>
      <c r="AA1214">
        <v>3</v>
      </c>
      <c r="AB1214">
        <v>3</v>
      </c>
      <c r="AC1214">
        <v>10</v>
      </c>
      <c r="AD1214">
        <v>9</v>
      </c>
      <c r="AE1214">
        <v>8</v>
      </c>
      <c r="AF1214">
        <v>7</v>
      </c>
      <c r="AG1214" t="s">
        <v>65</v>
      </c>
      <c r="AH1214">
        <v>0</v>
      </c>
      <c r="AI1214" t="s">
        <v>71</v>
      </c>
      <c r="AJ1214" s="3" t="s">
        <v>82</v>
      </c>
      <c r="AK1214" s="3">
        <v>0</v>
      </c>
      <c r="AL1214" s="3" t="s">
        <v>83</v>
      </c>
    </row>
    <row r="1215" spans="1:38" x14ac:dyDescent="0.3">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v>2275</v>
      </c>
      <c r="S1215">
        <v>25103</v>
      </c>
      <c r="T1215">
        <v>1</v>
      </c>
      <c r="U1215" t="s">
        <v>35</v>
      </c>
      <c r="V1215">
        <v>21</v>
      </c>
      <c r="W1215">
        <v>4</v>
      </c>
      <c r="X1215">
        <v>2</v>
      </c>
      <c r="Y1215">
        <v>1</v>
      </c>
      <c r="Z1215">
        <v>3</v>
      </c>
      <c r="AA1215">
        <v>2</v>
      </c>
      <c r="AB1215">
        <v>3</v>
      </c>
      <c r="AC1215">
        <v>3</v>
      </c>
      <c r="AD1215">
        <v>2</v>
      </c>
      <c r="AE1215">
        <v>0</v>
      </c>
      <c r="AF1215">
        <v>2</v>
      </c>
      <c r="AG1215" t="s">
        <v>67</v>
      </c>
      <c r="AH1215">
        <v>1</v>
      </c>
      <c r="AI1215" t="s">
        <v>71</v>
      </c>
      <c r="AJ1215" s="3" t="s">
        <v>82</v>
      </c>
      <c r="AK1215" s="3">
        <v>2</v>
      </c>
      <c r="AL1215" s="3" t="s">
        <v>84</v>
      </c>
    </row>
    <row r="1216" spans="1:38" x14ac:dyDescent="0.3">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v>7879</v>
      </c>
      <c r="S1216">
        <v>14810</v>
      </c>
      <c r="T1216">
        <v>1</v>
      </c>
      <c r="U1216" t="s">
        <v>35</v>
      </c>
      <c r="V1216">
        <v>19</v>
      </c>
      <c r="W1216">
        <v>3</v>
      </c>
      <c r="X1216">
        <v>2</v>
      </c>
      <c r="Y1216">
        <v>1</v>
      </c>
      <c r="Z1216">
        <v>9</v>
      </c>
      <c r="AA1216">
        <v>2</v>
      </c>
      <c r="AB1216">
        <v>3</v>
      </c>
      <c r="AC1216">
        <v>8</v>
      </c>
      <c r="AD1216">
        <v>7</v>
      </c>
      <c r="AE1216">
        <v>6</v>
      </c>
      <c r="AF1216">
        <v>7</v>
      </c>
      <c r="AG1216" t="s">
        <v>65</v>
      </c>
      <c r="AH1216">
        <v>0</v>
      </c>
      <c r="AI1216" t="s">
        <v>72</v>
      </c>
      <c r="AJ1216" s="3" t="s">
        <v>82</v>
      </c>
      <c r="AK1216" s="3">
        <v>1</v>
      </c>
      <c r="AL1216" s="3" t="s">
        <v>83</v>
      </c>
    </row>
    <row r="1217" spans="1:38" x14ac:dyDescent="0.3">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v>4930</v>
      </c>
      <c r="S1217">
        <v>13970</v>
      </c>
      <c r="T1217">
        <v>0</v>
      </c>
      <c r="U1217" t="s">
        <v>35</v>
      </c>
      <c r="V1217">
        <v>14</v>
      </c>
      <c r="W1217">
        <v>3</v>
      </c>
      <c r="X1217">
        <v>3</v>
      </c>
      <c r="Y1217">
        <v>0</v>
      </c>
      <c r="Z1217">
        <v>6</v>
      </c>
      <c r="AA1217">
        <v>2</v>
      </c>
      <c r="AB1217">
        <v>4</v>
      </c>
      <c r="AC1217">
        <v>5</v>
      </c>
      <c r="AD1217">
        <v>4</v>
      </c>
      <c r="AE1217">
        <v>1</v>
      </c>
      <c r="AF1217">
        <v>4</v>
      </c>
      <c r="AG1217" t="s">
        <v>68</v>
      </c>
      <c r="AH1217">
        <v>0</v>
      </c>
      <c r="AI1217" t="s">
        <v>70</v>
      </c>
      <c r="AJ1217" s="3" t="s">
        <v>82</v>
      </c>
      <c r="AK1217" s="3">
        <v>1</v>
      </c>
      <c r="AL1217" s="3" t="s">
        <v>83</v>
      </c>
    </row>
    <row r="1218" spans="1:38" x14ac:dyDescent="0.3">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v>7847</v>
      </c>
      <c r="S1218">
        <v>6069</v>
      </c>
      <c r="T1218">
        <v>1</v>
      </c>
      <c r="U1218" t="s">
        <v>35</v>
      </c>
      <c r="V1218">
        <v>17</v>
      </c>
      <c r="W1218">
        <v>3</v>
      </c>
      <c r="X1218">
        <v>1</v>
      </c>
      <c r="Y1218">
        <v>1</v>
      </c>
      <c r="Z1218">
        <v>10</v>
      </c>
      <c r="AA1218">
        <v>3</v>
      </c>
      <c r="AB1218">
        <v>3</v>
      </c>
      <c r="AC1218">
        <v>10</v>
      </c>
      <c r="AD1218">
        <v>9</v>
      </c>
      <c r="AE1218">
        <v>8</v>
      </c>
      <c r="AF1218">
        <v>8</v>
      </c>
      <c r="AG1218" t="s">
        <v>65</v>
      </c>
      <c r="AH1218">
        <v>0</v>
      </c>
      <c r="AI1218" t="s">
        <v>71</v>
      </c>
      <c r="AJ1218" s="3" t="s">
        <v>82</v>
      </c>
      <c r="AK1218" s="3">
        <v>1</v>
      </c>
      <c r="AL1218" s="3" t="s">
        <v>83</v>
      </c>
    </row>
    <row r="1219" spans="1:38" x14ac:dyDescent="0.3">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v>4401</v>
      </c>
      <c r="S1219">
        <v>17616</v>
      </c>
      <c r="T1219">
        <v>1</v>
      </c>
      <c r="U1219" t="s">
        <v>43</v>
      </c>
      <c r="V1219">
        <v>16</v>
      </c>
      <c r="W1219">
        <v>3</v>
      </c>
      <c r="X1219">
        <v>4</v>
      </c>
      <c r="Y1219">
        <v>1</v>
      </c>
      <c r="Z1219">
        <v>5</v>
      </c>
      <c r="AA1219">
        <v>1</v>
      </c>
      <c r="AB1219">
        <v>3</v>
      </c>
      <c r="AC1219">
        <v>5</v>
      </c>
      <c r="AD1219">
        <v>3</v>
      </c>
      <c r="AE1219">
        <v>0</v>
      </c>
      <c r="AF1219">
        <v>4</v>
      </c>
      <c r="AG1219" t="s">
        <v>68</v>
      </c>
      <c r="AH1219">
        <v>0</v>
      </c>
      <c r="AI1219" t="s">
        <v>70</v>
      </c>
      <c r="AJ1219" s="3" t="s">
        <v>84</v>
      </c>
      <c r="AK1219" s="3">
        <v>0</v>
      </c>
      <c r="AL1219" s="3" t="s">
        <v>83</v>
      </c>
    </row>
    <row r="1220" spans="1:38" x14ac:dyDescent="0.3">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v>9241</v>
      </c>
      <c r="S1220">
        <v>15869</v>
      </c>
      <c r="T1220">
        <v>1</v>
      </c>
      <c r="U1220" t="s">
        <v>43</v>
      </c>
      <c r="V1220">
        <v>12</v>
      </c>
      <c r="W1220">
        <v>3</v>
      </c>
      <c r="X1220">
        <v>2</v>
      </c>
      <c r="Y1220">
        <v>0</v>
      </c>
      <c r="Z1220">
        <v>10</v>
      </c>
      <c r="AA1220">
        <v>3</v>
      </c>
      <c r="AB1220">
        <v>3</v>
      </c>
      <c r="AC1220">
        <v>10</v>
      </c>
      <c r="AD1220">
        <v>8</v>
      </c>
      <c r="AE1220">
        <v>8</v>
      </c>
      <c r="AF1220">
        <v>7</v>
      </c>
      <c r="AG1220" t="s">
        <v>65</v>
      </c>
      <c r="AH1220">
        <v>0</v>
      </c>
      <c r="AI1220" t="s">
        <v>72</v>
      </c>
      <c r="AJ1220" s="3" t="s">
        <v>84</v>
      </c>
      <c r="AK1220" s="3">
        <v>0</v>
      </c>
      <c r="AL1220" s="3" t="s">
        <v>83</v>
      </c>
    </row>
    <row r="1221" spans="1:38" x14ac:dyDescent="0.3">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v>2974</v>
      </c>
      <c r="S1221">
        <v>25412</v>
      </c>
      <c r="T1221">
        <v>9</v>
      </c>
      <c r="U1221" t="s">
        <v>43</v>
      </c>
      <c r="V1221">
        <v>17</v>
      </c>
      <c r="W1221">
        <v>3</v>
      </c>
      <c r="X1221">
        <v>3</v>
      </c>
      <c r="Y1221">
        <v>1</v>
      </c>
      <c r="Z1221">
        <v>9</v>
      </c>
      <c r="AA1221">
        <v>2</v>
      </c>
      <c r="AB1221">
        <v>3</v>
      </c>
      <c r="AC1221">
        <v>5</v>
      </c>
      <c r="AD1221">
        <v>3</v>
      </c>
      <c r="AE1221">
        <v>1</v>
      </c>
      <c r="AF1221">
        <v>2</v>
      </c>
      <c r="AG1221" t="s">
        <v>68</v>
      </c>
      <c r="AH1221">
        <v>0</v>
      </c>
      <c r="AI1221" t="s">
        <v>70</v>
      </c>
      <c r="AJ1221" s="3" t="s">
        <v>84</v>
      </c>
      <c r="AK1221" s="3">
        <v>0</v>
      </c>
      <c r="AL1221" s="3" t="s">
        <v>83</v>
      </c>
    </row>
    <row r="1222" spans="1:38" x14ac:dyDescent="0.3">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v>4502</v>
      </c>
      <c r="S1222">
        <v>7439</v>
      </c>
      <c r="T1222">
        <v>3</v>
      </c>
      <c r="U1222" t="s">
        <v>43</v>
      </c>
      <c r="V1222">
        <v>15</v>
      </c>
      <c r="W1222">
        <v>3</v>
      </c>
      <c r="X1222">
        <v>3</v>
      </c>
      <c r="Y1222">
        <v>0</v>
      </c>
      <c r="Z1222">
        <v>17</v>
      </c>
      <c r="AA1222">
        <v>2</v>
      </c>
      <c r="AB1222">
        <v>2</v>
      </c>
      <c r="AC1222">
        <v>13</v>
      </c>
      <c r="AD1222">
        <v>7</v>
      </c>
      <c r="AE1222">
        <v>6</v>
      </c>
      <c r="AF1222">
        <v>7</v>
      </c>
      <c r="AG1222" t="s">
        <v>65</v>
      </c>
      <c r="AH1222">
        <v>0</v>
      </c>
      <c r="AI1222" t="s">
        <v>72</v>
      </c>
      <c r="AJ1222" s="3" t="s">
        <v>82</v>
      </c>
      <c r="AK1222" s="3">
        <v>0</v>
      </c>
      <c r="AL1222" s="3" t="s">
        <v>83</v>
      </c>
    </row>
    <row r="1223" spans="1:38" x14ac:dyDescent="0.3">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v>10748</v>
      </c>
      <c r="S1223">
        <v>3395</v>
      </c>
      <c r="T1223">
        <v>3</v>
      </c>
      <c r="U1223" t="s">
        <v>43</v>
      </c>
      <c r="V1223">
        <v>23</v>
      </c>
      <c r="W1223">
        <v>4</v>
      </c>
      <c r="X1223">
        <v>4</v>
      </c>
      <c r="Y1223">
        <v>1</v>
      </c>
      <c r="Z1223">
        <v>25</v>
      </c>
      <c r="AA1223">
        <v>3</v>
      </c>
      <c r="AB1223">
        <v>2</v>
      </c>
      <c r="AC1223">
        <v>23</v>
      </c>
      <c r="AD1223">
        <v>15</v>
      </c>
      <c r="AE1223">
        <v>14</v>
      </c>
      <c r="AF1223">
        <v>4</v>
      </c>
      <c r="AG1223" t="s">
        <v>65</v>
      </c>
      <c r="AH1223">
        <v>0</v>
      </c>
      <c r="AI1223" t="s">
        <v>71</v>
      </c>
      <c r="AJ1223" s="3" t="s">
        <v>84</v>
      </c>
      <c r="AK1223" s="3">
        <v>0</v>
      </c>
      <c r="AL1223" s="3" t="s">
        <v>83</v>
      </c>
    </row>
    <row r="1224" spans="1:38" x14ac:dyDescent="0.3">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v>1555</v>
      </c>
      <c r="S1224">
        <v>11585</v>
      </c>
      <c r="T1224">
        <v>1</v>
      </c>
      <c r="U1224" t="s">
        <v>43</v>
      </c>
      <c r="V1224">
        <v>11</v>
      </c>
      <c r="W1224">
        <v>3</v>
      </c>
      <c r="X1224">
        <v>3</v>
      </c>
      <c r="Y1224">
        <v>1</v>
      </c>
      <c r="Z1224">
        <v>1</v>
      </c>
      <c r="AA1224">
        <v>2</v>
      </c>
      <c r="AB1224">
        <v>3</v>
      </c>
      <c r="AC1224">
        <v>1</v>
      </c>
      <c r="AD1224">
        <v>0</v>
      </c>
      <c r="AE1224">
        <v>0</v>
      </c>
      <c r="AF1224">
        <v>0</v>
      </c>
      <c r="AG1224" t="s">
        <v>67</v>
      </c>
      <c r="AH1224">
        <v>1</v>
      </c>
      <c r="AI1224" t="s">
        <v>70</v>
      </c>
      <c r="AJ1224" s="3" t="s">
        <v>84</v>
      </c>
      <c r="AK1224" s="3">
        <v>1</v>
      </c>
      <c r="AL1224" s="3" t="s">
        <v>83</v>
      </c>
    </row>
    <row r="1225" spans="1:38" x14ac:dyDescent="0.3">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v>12936</v>
      </c>
      <c r="S1225">
        <v>24164</v>
      </c>
      <c r="T1225">
        <v>7</v>
      </c>
      <c r="U1225" t="s">
        <v>43</v>
      </c>
      <c r="V1225">
        <v>11</v>
      </c>
      <c r="W1225">
        <v>3</v>
      </c>
      <c r="X1225">
        <v>3</v>
      </c>
      <c r="Y1225">
        <v>0</v>
      </c>
      <c r="Z1225">
        <v>25</v>
      </c>
      <c r="AA1225">
        <v>3</v>
      </c>
      <c r="AB1225">
        <v>1</v>
      </c>
      <c r="AC1225">
        <v>23</v>
      </c>
      <c r="AD1225">
        <v>5</v>
      </c>
      <c r="AE1225">
        <v>14</v>
      </c>
      <c r="AF1225">
        <v>10</v>
      </c>
      <c r="AG1225" t="s">
        <v>65</v>
      </c>
      <c r="AH1225">
        <v>1</v>
      </c>
      <c r="AI1225" t="s">
        <v>72</v>
      </c>
      <c r="AJ1225" s="3" t="s">
        <v>84</v>
      </c>
      <c r="AK1225" s="3">
        <v>0</v>
      </c>
      <c r="AL1225" s="3" t="s">
        <v>83</v>
      </c>
    </row>
    <row r="1226" spans="1:38" x14ac:dyDescent="0.3">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v>2305</v>
      </c>
      <c r="S1226">
        <v>6217</v>
      </c>
      <c r="T1226">
        <v>1</v>
      </c>
      <c r="U1226" t="s">
        <v>43</v>
      </c>
      <c r="V1226">
        <v>15</v>
      </c>
      <c r="W1226">
        <v>3</v>
      </c>
      <c r="X1226">
        <v>3</v>
      </c>
      <c r="Y1226">
        <v>3</v>
      </c>
      <c r="Z1226">
        <v>3</v>
      </c>
      <c r="AA1226">
        <v>3</v>
      </c>
      <c r="AB1226">
        <v>4</v>
      </c>
      <c r="AC1226">
        <v>3</v>
      </c>
      <c r="AD1226">
        <v>2</v>
      </c>
      <c r="AE1226">
        <v>0</v>
      </c>
      <c r="AF1226">
        <v>2</v>
      </c>
      <c r="AG1226" t="s">
        <v>67</v>
      </c>
      <c r="AH1226">
        <v>0</v>
      </c>
      <c r="AI1226" t="s">
        <v>70</v>
      </c>
      <c r="AJ1226" s="3" t="s">
        <v>84</v>
      </c>
      <c r="AK1226" s="3">
        <v>1</v>
      </c>
      <c r="AL1226" s="3" t="s">
        <v>83</v>
      </c>
    </row>
    <row r="1227" spans="1:38" x14ac:dyDescent="0.3">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v>16704</v>
      </c>
      <c r="S1227">
        <v>17119</v>
      </c>
      <c r="T1227">
        <v>1</v>
      </c>
      <c r="U1227" t="s">
        <v>43</v>
      </c>
      <c r="V1227">
        <v>11</v>
      </c>
      <c r="W1227">
        <v>3</v>
      </c>
      <c r="X1227">
        <v>3</v>
      </c>
      <c r="Y1227">
        <v>0</v>
      </c>
      <c r="Z1227">
        <v>21</v>
      </c>
      <c r="AA1227">
        <v>2</v>
      </c>
      <c r="AB1227">
        <v>3</v>
      </c>
      <c r="AC1227">
        <v>21</v>
      </c>
      <c r="AD1227">
        <v>6</v>
      </c>
      <c r="AE1227">
        <v>8</v>
      </c>
      <c r="AF1227">
        <v>6</v>
      </c>
      <c r="AG1227" t="s">
        <v>65</v>
      </c>
      <c r="AH1227">
        <v>0</v>
      </c>
      <c r="AI1227" t="s">
        <v>72</v>
      </c>
      <c r="AJ1227" s="3" t="s">
        <v>83</v>
      </c>
      <c r="AK1227" s="3">
        <v>1</v>
      </c>
      <c r="AL1227" s="3" t="s">
        <v>83</v>
      </c>
    </row>
    <row r="1228" spans="1:38" x14ac:dyDescent="0.3">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v>3433</v>
      </c>
      <c r="S1228">
        <v>17360</v>
      </c>
      <c r="T1228">
        <v>6</v>
      </c>
      <c r="U1228" t="s">
        <v>43</v>
      </c>
      <c r="V1228">
        <v>13</v>
      </c>
      <c r="W1228">
        <v>3</v>
      </c>
      <c r="X1228">
        <v>1</v>
      </c>
      <c r="Y1228">
        <v>1</v>
      </c>
      <c r="Z1228">
        <v>10</v>
      </c>
      <c r="AA1228">
        <v>3</v>
      </c>
      <c r="AB1228">
        <v>2</v>
      </c>
      <c r="AC1228">
        <v>5</v>
      </c>
      <c r="AD1228">
        <v>2</v>
      </c>
      <c r="AE1228">
        <v>1</v>
      </c>
      <c r="AF1228">
        <v>3</v>
      </c>
      <c r="AG1228" t="s">
        <v>68</v>
      </c>
      <c r="AH1228">
        <v>0</v>
      </c>
      <c r="AI1228" t="s">
        <v>70</v>
      </c>
      <c r="AJ1228" s="3" t="s">
        <v>84</v>
      </c>
      <c r="AK1228" s="3">
        <v>0</v>
      </c>
      <c r="AL1228" s="3" t="s">
        <v>83</v>
      </c>
    </row>
    <row r="1229" spans="1:38" x14ac:dyDescent="0.3">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v>3477</v>
      </c>
      <c r="S1229">
        <v>18103</v>
      </c>
      <c r="T1229">
        <v>1</v>
      </c>
      <c r="U1229" t="s">
        <v>43</v>
      </c>
      <c r="V1229">
        <v>14</v>
      </c>
      <c r="W1229">
        <v>3</v>
      </c>
      <c r="X1229">
        <v>4</v>
      </c>
      <c r="Y1229">
        <v>1</v>
      </c>
      <c r="Z1229">
        <v>6</v>
      </c>
      <c r="AA1229">
        <v>2</v>
      </c>
      <c r="AB1229">
        <v>4</v>
      </c>
      <c r="AC1229">
        <v>5</v>
      </c>
      <c r="AD1229">
        <v>2</v>
      </c>
      <c r="AE1229">
        <v>0</v>
      </c>
      <c r="AF1229">
        <v>3</v>
      </c>
      <c r="AG1229" t="s">
        <v>68</v>
      </c>
      <c r="AH1229">
        <v>0</v>
      </c>
      <c r="AI1229" t="s">
        <v>71</v>
      </c>
      <c r="AJ1229" s="3" t="s">
        <v>84</v>
      </c>
      <c r="AK1229" s="3">
        <v>0</v>
      </c>
      <c r="AL1229" s="3" t="s">
        <v>83</v>
      </c>
    </row>
    <row r="1230" spans="1:38" x14ac:dyDescent="0.3">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v>6430</v>
      </c>
      <c r="S1230">
        <v>20794</v>
      </c>
      <c r="T1230">
        <v>6</v>
      </c>
      <c r="U1230" t="s">
        <v>43</v>
      </c>
      <c r="V1230">
        <v>19</v>
      </c>
      <c r="W1230">
        <v>3</v>
      </c>
      <c r="X1230">
        <v>2</v>
      </c>
      <c r="Y1230">
        <v>1</v>
      </c>
      <c r="Z1230">
        <v>10</v>
      </c>
      <c r="AA1230">
        <v>4</v>
      </c>
      <c r="AB1230">
        <v>3</v>
      </c>
      <c r="AC1230">
        <v>3</v>
      </c>
      <c r="AD1230">
        <v>2</v>
      </c>
      <c r="AE1230">
        <v>1</v>
      </c>
      <c r="AF1230">
        <v>2</v>
      </c>
      <c r="AG1230" t="s">
        <v>67</v>
      </c>
      <c r="AH1230">
        <v>0</v>
      </c>
      <c r="AI1230" t="s">
        <v>71</v>
      </c>
      <c r="AJ1230" s="3" t="s">
        <v>83</v>
      </c>
      <c r="AK1230" s="3">
        <v>2</v>
      </c>
      <c r="AL1230" s="3" t="s">
        <v>84</v>
      </c>
    </row>
    <row r="1231" spans="1:38" x14ac:dyDescent="0.3">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v>6516</v>
      </c>
      <c r="S1231">
        <v>5041</v>
      </c>
      <c r="T1231">
        <v>2</v>
      </c>
      <c r="U1231" t="s">
        <v>35</v>
      </c>
      <c r="V1231">
        <v>16</v>
      </c>
      <c r="W1231">
        <v>3</v>
      </c>
      <c r="X1231">
        <v>2</v>
      </c>
      <c r="Y1231">
        <v>1</v>
      </c>
      <c r="Z1231">
        <v>18</v>
      </c>
      <c r="AA1231">
        <v>3</v>
      </c>
      <c r="AB1231">
        <v>3</v>
      </c>
      <c r="AC1231">
        <v>1</v>
      </c>
      <c r="AD1231">
        <v>0</v>
      </c>
      <c r="AE1231">
        <v>0</v>
      </c>
      <c r="AF1231">
        <v>0</v>
      </c>
      <c r="AG1231" t="s">
        <v>67</v>
      </c>
      <c r="AH1231">
        <v>0</v>
      </c>
      <c r="AI1231" t="s">
        <v>70</v>
      </c>
      <c r="AJ1231" s="3" t="s">
        <v>83</v>
      </c>
      <c r="AK1231" s="3">
        <v>3</v>
      </c>
      <c r="AL1231" s="3" t="s">
        <v>82</v>
      </c>
    </row>
    <row r="1232" spans="1:38" x14ac:dyDescent="0.3">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v>3907</v>
      </c>
      <c r="S1232">
        <v>3622</v>
      </c>
      <c r="T1232">
        <v>1</v>
      </c>
      <c r="U1232" t="s">
        <v>43</v>
      </c>
      <c r="V1232">
        <v>13</v>
      </c>
      <c r="W1232">
        <v>3</v>
      </c>
      <c r="X1232">
        <v>2</v>
      </c>
      <c r="Y1232">
        <v>3</v>
      </c>
      <c r="Z1232">
        <v>6</v>
      </c>
      <c r="AA1232">
        <v>2</v>
      </c>
      <c r="AB1232">
        <v>4</v>
      </c>
      <c r="AC1232">
        <v>6</v>
      </c>
      <c r="AD1232">
        <v>2</v>
      </c>
      <c r="AE1232">
        <v>1</v>
      </c>
      <c r="AF1232">
        <v>2</v>
      </c>
      <c r="AG1232" t="s">
        <v>65</v>
      </c>
      <c r="AH1232">
        <v>0</v>
      </c>
      <c r="AI1232" t="s">
        <v>70</v>
      </c>
      <c r="AJ1232" s="3" t="s">
        <v>83</v>
      </c>
      <c r="AK1232" s="3">
        <v>1</v>
      </c>
      <c r="AL1232" s="3" t="s">
        <v>83</v>
      </c>
    </row>
    <row r="1233" spans="1:38" x14ac:dyDescent="0.3">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v>5562</v>
      </c>
      <c r="S1233">
        <v>9697</v>
      </c>
      <c r="T1233">
        <v>6</v>
      </c>
      <c r="U1233" t="s">
        <v>43</v>
      </c>
      <c r="V1233">
        <v>14</v>
      </c>
      <c r="W1233">
        <v>3</v>
      </c>
      <c r="X1233">
        <v>4</v>
      </c>
      <c r="Y1233">
        <v>0</v>
      </c>
      <c r="Z1233">
        <v>19</v>
      </c>
      <c r="AA1233">
        <v>3</v>
      </c>
      <c r="AB1233">
        <v>3</v>
      </c>
      <c r="AC1233">
        <v>10</v>
      </c>
      <c r="AD1233">
        <v>7</v>
      </c>
      <c r="AE1233">
        <v>0</v>
      </c>
      <c r="AF1233">
        <v>9</v>
      </c>
      <c r="AG1233" t="s">
        <v>65</v>
      </c>
      <c r="AH1233">
        <v>0</v>
      </c>
      <c r="AI1233" t="s">
        <v>72</v>
      </c>
      <c r="AJ1233" s="3" t="s">
        <v>83</v>
      </c>
      <c r="AK1233" s="3">
        <v>1</v>
      </c>
      <c r="AL1233" s="3" t="s">
        <v>83</v>
      </c>
    </row>
    <row r="1234" spans="1:38" x14ac:dyDescent="0.3">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v>6883</v>
      </c>
      <c r="S1234">
        <v>5151</v>
      </c>
      <c r="T1234">
        <v>2</v>
      </c>
      <c r="U1234" t="s">
        <v>43</v>
      </c>
      <c r="V1234">
        <v>16</v>
      </c>
      <c r="W1234">
        <v>3</v>
      </c>
      <c r="X1234">
        <v>2</v>
      </c>
      <c r="Y1234">
        <v>1</v>
      </c>
      <c r="Z1234">
        <v>17</v>
      </c>
      <c r="AA1234">
        <v>3</v>
      </c>
      <c r="AB1234">
        <v>3</v>
      </c>
      <c r="AC1234">
        <v>7</v>
      </c>
      <c r="AD1234">
        <v>7</v>
      </c>
      <c r="AE1234">
        <v>0</v>
      </c>
      <c r="AF1234">
        <v>7</v>
      </c>
      <c r="AG1234" t="s">
        <v>65</v>
      </c>
      <c r="AH1234">
        <v>0</v>
      </c>
      <c r="AI1234" t="s">
        <v>70</v>
      </c>
      <c r="AJ1234" s="3" t="s">
        <v>84</v>
      </c>
      <c r="AK1234" s="3">
        <v>0</v>
      </c>
      <c r="AL1234" s="3" t="s">
        <v>83</v>
      </c>
    </row>
    <row r="1235" spans="1:38" x14ac:dyDescent="0.3">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v>2862</v>
      </c>
      <c r="S1235">
        <v>3811</v>
      </c>
      <c r="T1235">
        <v>1</v>
      </c>
      <c r="U1235" t="s">
        <v>43</v>
      </c>
      <c r="V1235">
        <v>12</v>
      </c>
      <c r="W1235">
        <v>3</v>
      </c>
      <c r="X1235">
        <v>2</v>
      </c>
      <c r="Y1235">
        <v>1</v>
      </c>
      <c r="Z1235">
        <v>10</v>
      </c>
      <c r="AA1235">
        <v>2</v>
      </c>
      <c r="AB1235">
        <v>2</v>
      </c>
      <c r="AC1235">
        <v>10</v>
      </c>
      <c r="AD1235">
        <v>0</v>
      </c>
      <c r="AE1235">
        <v>0</v>
      </c>
      <c r="AF1235">
        <v>8</v>
      </c>
      <c r="AG1235" t="s">
        <v>65</v>
      </c>
      <c r="AH1235">
        <v>0</v>
      </c>
      <c r="AI1235" t="s">
        <v>71</v>
      </c>
      <c r="AJ1235" s="3" t="s">
        <v>82</v>
      </c>
      <c r="AK1235" s="3">
        <v>0</v>
      </c>
      <c r="AL1235" s="3" t="s">
        <v>83</v>
      </c>
    </row>
    <row r="1236" spans="1:38" x14ac:dyDescent="0.3">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v>4978</v>
      </c>
      <c r="S1236">
        <v>3536</v>
      </c>
      <c r="T1236">
        <v>7</v>
      </c>
      <c r="U1236" t="s">
        <v>43</v>
      </c>
      <c r="V1236">
        <v>11</v>
      </c>
      <c r="W1236">
        <v>3</v>
      </c>
      <c r="X1236">
        <v>4</v>
      </c>
      <c r="Y1236">
        <v>1</v>
      </c>
      <c r="Z1236">
        <v>4</v>
      </c>
      <c r="AA1236">
        <v>3</v>
      </c>
      <c r="AB1236">
        <v>1</v>
      </c>
      <c r="AC1236">
        <v>1</v>
      </c>
      <c r="AD1236">
        <v>0</v>
      </c>
      <c r="AE1236">
        <v>0</v>
      </c>
      <c r="AF1236">
        <v>0</v>
      </c>
      <c r="AG1236" t="s">
        <v>67</v>
      </c>
      <c r="AH1236">
        <v>0</v>
      </c>
      <c r="AI1236" t="s">
        <v>71</v>
      </c>
      <c r="AJ1236" s="3" t="s">
        <v>83</v>
      </c>
      <c r="AK1236" s="3">
        <v>2</v>
      </c>
      <c r="AL1236" s="3" t="s">
        <v>84</v>
      </c>
    </row>
    <row r="1237" spans="1:38" x14ac:dyDescent="0.3">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v>10368</v>
      </c>
      <c r="S1237">
        <v>5596</v>
      </c>
      <c r="T1237">
        <v>4</v>
      </c>
      <c r="U1237" t="s">
        <v>35</v>
      </c>
      <c r="V1237">
        <v>12</v>
      </c>
      <c r="W1237">
        <v>3</v>
      </c>
      <c r="X1237">
        <v>2</v>
      </c>
      <c r="Y1237">
        <v>1</v>
      </c>
      <c r="Z1237">
        <v>13</v>
      </c>
      <c r="AA1237">
        <v>5</v>
      </c>
      <c r="AB1237">
        <v>2</v>
      </c>
      <c r="AC1237">
        <v>10</v>
      </c>
      <c r="AD1237">
        <v>6</v>
      </c>
      <c r="AE1237">
        <v>0</v>
      </c>
      <c r="AF1237">
        <v>3</v>
      </c>
      <c r="AG1237" t="s">
        <v>65</v>
      </c>
      <c r="AH1237">
        <v>0</v>
      </c>
      <c r="AI1237" t="s">
        <v>70</v>
      </c>
      <c r="AJ1237" s="3" t="s">
        <v>82</v>
      </c>
      <c r="AK1237" s="3">
        <v>1</v>
      </c>
      <c r="AL1237" s="3" t="s">
        <v>83</v>
      </c>
    </row>
    <row r="1238" spans="1:38" x14ac:dyDescent="0.3">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v>6134</v>
      </c>
      <c r="S1238">
        <v>8658</v>
      </c>
      <c r="T1238">
        <v>5</v>
      </c>
      <c r="U1238" t="s">
        <v>35</v>
      </c>
      <c r="V1238">
        <v>13</v>
      </c>
      <c r="W1238">
        <v>3</v>
      </c>
      <c r="X1238">
        <v>2</v>
      </c>
      <c r="Y1238">
        <v>3</v>
      </c>
      <c r="Z1238">
        <v>16</v>
      </c>
      <c r="AA1238">
        <v>3</v>
      </c>
      <c r="AB1238">
        <v>3</v>
      </c>
      <c r="AC1238">
        <v>2</v>
      </c>
      <c r="AD1238">
        <v>2</v>
      </c>
      <c r="AE1238">
        <v>2</v>
      </c>
      <c r="AF1238">
        <v>2</v>
      </c>
      <c r="AG1238" t="s">
        <v>67</v>
      </c>
      <c r="AH1238">
        <v>1</v>
      </c>
      <c r="AI1238" t="s">
        <v>70</v>
      </c>
      <c r="AJ1238" s="3" t="s">
        <v>83</v>
      </c>
      <c r="AK1238" s="3">
        <v>3</v>
      </c>
      <c r="AL1238" s="3" t="s">
        <v>82</v>
      </c>
    </row>
    <row r="1239" spans="1:38" x14ac:dyDescent="0.3">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v>6735</v>
      </c>
      <c r="S1239">
        <v>12147</v>
      </c>
      <c r="T1239">
        <v>6</v>
      </c>
      <c r="U1239" t="s">
        <v>43</v>
      </c>
      <c r="V1239">
        <v>15</v>
      </c>
      <c r="W1239">
        <v>3</v>
      </c>
      <c r="X1239">
        <v>2</v>
      </c>
      <c r="Y1239">
        <v>0</v>
      </c>
      <c r="Z1239">
        <v>10</v>
      </c>
      <c r="AA1239">
        <v>2</v>
      </c>
      <c r="AB1239">
        <v>3</v>
      </c>
      <c r="AC1239">
        <v>0</v>
      </c>
      <c r="AD1239">
        <v>0</v>
      </c>
      <c r="AE1239">
        <v>0</v>
      </c>
      <c r="AF1239">
        <v>0</v>
      </c>
      <c r="AG1239" t="s">
        <v>66</v>
      </c>
      <c r="AH1239">
        <v>1</v>
      </c>
      <c r="AI1239" t="s">
        <v>71</v>
      </c>
      <c r="AJ1239" s="3" t="s">
        <v>83</v>
      </c>
      <c r="AK1239" s="3">
        <v>2</v>
      </c>
      <c r="AL1239" s="3" t="s">
        <v>84</v>
      </c>
    </row>
    <row r="1240" spans="1:38" x14ac:dyDescent="0.3">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v>3295</v>
      </c>
      <c r="S1240">
        <v>12862</v>
      </c>
      <c r="T1240">
        <v>1</v>
      </c>
      <c r="U1240" t="s">
        <v>43</v>
      </c>
      <c r="V1240">
        <v>13</v>
      </c>
      <c r="W1240">
        <v>3</v>
      </c>
      <c r="X1240">
        <v>3</v>
      </c>
      <c r="Y1240">
        <v>0</v>
      </c>
      <c r="Z1240">
        <v>3</v>
      </c>
      <c r="AA1240">
        <v>3</v>
      </c>
      <c r="AB1240">
        <v>1</v>
      </c>
      <c r="AC1240">
        <v>3</v>
      </c>
      <c r="AD1240">
        <v>2</v>
      </c>
      <c r="AE1240">
        <v>1</v>
      </c>
      <c r="AF1240">
        <v>2</v>
      </c>
      <c r="AG1240" t="s">
        <v>67</v>
      </c>
      <c r="AH1240">
        <v>0</v>
      </c>
      <c r="AI1240" t="s">
        <v>71</v>
      </c>
      <c r="AJ1240" s="3" t="s">
        <v>83</v>
      </c>
      <c r="AK1240" s="3">
        <v>2</v>
      </c>
      <c r="AL1240" s="3" t="s">
        <v>84</v>
      </c>
    </row>
    <row r="1241" spans="1:38" x14ac:dyDescent="0.3">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v>5238</v>
      </c>
      <c r="S1241">
        <v>6670</v>
      </c>
      <c r="T1241">
        <v>2</v>
      </c>
      <c r="U1241" t="s">
        <v>43</v>
      </c>
      <c r="V1241">
        <v>20</v>
      </c>
      <c r="W1241">
        <v>4</v>
      </c>
      <c r="X1241">
        <v>4</v>
      </c>
      <c r="Y1241">
        <v>0</v>
      </c>
      <c r="Z1241">
        <v>9</v>
      </c>
      <c r="AA1241">
        <v>3</v>
      </c>
      <c r="AB1241">
        <v>2</v>
      </c>
      <c r="AC1241">
        <v>5</v>
      </c>
      <c r="AD1241">
        <v>4</v>
      </c>
      <c r="AE1241">
        <v>1</v>
      </c>
      <c r="AF1241">
        <v>4</v>
      </c>
      <c r="AG1241" t="s">
        <v>68</v>
      </c>
      <c r="AH1241">
        <v>0</v>
      </c>
      <c r="AI1241" t="s">
        <v>72</v>
      </c>
      <c r="AJ1241" s="3" t="s">
        <v>82</v>
      </c>
      <c r="AK1241" s="3">
        <v>0</v>
      </c>
      <c r="AL1241" s="3" t="s">
        <v>83</v>
      </c>
    </row>
    <row r="1242" spans="1:38" x14ac:dyDescent="0.3">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v>6472</v>
      </c>
      <c r="S1242">
        <v>8989</v>
      </c>
      <c r="T1242">
        <v>1</v>
      </c>
      <c r="U1242" t="s">
        <v>35</v>
      </c>
      <c r="V1242">
        <v>15</v>
      </c>
      <c r="W1242">
        <v>3</v>
      </c>
      <c r="X1242">
        <v>4</v>
      </c>
      <c r="Y1242">
        <v>1</v>
      </c>
      <c r="Z1242">
        <v>9</v>
      </c>
      <c r="AA1242">
        <v>2</v>
      </c>
      <c r="AB1242">
        <v>3</v>
      </c>
      <c r="AC1242">
        <v>9</v>
      </c>
      <c r="AD1242">
        <v>8</v>
      </c>
      <c r="AE1242">
        <v>5</v>
      </c>
      <c r="AF1242">
        <v>8</v>
      </c>
      <c r="AG1242" t="s">
        <v>65</v>
      </c>
      <c r="AH1242">
        <v>0</v>
      </c>
      <c r="AI1242" t="s">
        <v>71</v>
      </c>
      <c r="AJ1242" s="3" t="s">
        <v>82</v>
      </c>
      <c r="AK1242" s="3">
        <v>1</v>
      </c>
      <c r="AL1242" s="3" t="s">
        <v>83</v>
      </c>
    </row>
    <row r="1243" spans="1:38" x14ac:dyDescent="0.3">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v>9610</v>
      </c>
      <c r="S1243">
        <v>3840</v>
      </c>
      <c r="T1243">
        <v>3</v>
      </c>
      <c r="U1243" t="s">
        <v>43</v>
      </c>
      <c r="V1243">
        <v>13</v>
      </c>
      <c r="W1243">
        <v>3</v>
      </c>
      <c r="X1243">
        <v>3</v>
      </c>
      <c r="Y1243">
        <v>1</v>
      </c>
      <c r="Z1243">
        <v>10</v>
      </c>
      <c r="AA1243">
        <v>2</v>
      </c>
      <c r="AB1243">
        <v>1</v>
      </c>
      <c r="AC1243">
        <v>4</v>
      </c>
      <c r="AD1243">
        <v>3</v>
      </c>
      <c r="AE1243">
        <v>0</v>
      </c>
      <c r="AF1243">
        <v>2</v>
      </c>
      <c r="AG1243" t="s">
        <v>68</v>
      </c>
      <c r="AH1243">
        <v>0</v>
      </c>
      <c r="AI1243" t="s">
        <v>71</v>
      </c>
      <c r="AJ1243" s="3" t="s">
        <v>84</v>
      </c>
      <c r="AK1243" s="3">
        <v>0</v>
      </c>
      <c r="AL1243" s="3" t="s">
        <v>83</v>
      </c>
    </row>
    <row r="1244" spans="1:38" x14ac:dyDescent="0.3">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v>19833</v>
      </c>
      <c r="S1244">
        <v>4349</v>
      </c>
      <c r="T1244">
        <v>1</v>
      </c>
      <c r="U1244" t="s">
        <v>43</v>
      </c>
      <c r="V1244">
        <v>14</v>
      </c>
      <c r="W1244">
        <v>3</v>
      </c>
      <c r="X1244">
        <v>2</v>
      </c>
      <c r="Y1244">
        <v>0</v>
      </c>
      <c r="Z1244">
        <v>21</v>
      </c>
      <c r="AA1244">
        <v>3</v>
      </c>
      <c r="AB1244">
        <v>2</v>
      </c>
      <c r="AC1244">
        <v>21</v>
      </c>
      <c r="AD1244">
        <v>8</v>
      </c>
      <c r="AE1244">
        <v>12</v>
      </c>
      <c r="AF1244">
        <v>8</v>
      </c>
      <c r="AG1244" t="s">
        <v>65</v>
      </c>
      <c r="AH1244">
        <v>0</v>
      </c>
      <c r="AI1244" t="s">
        <v>71</v>
      </c>
      <c r="AJ1244" s="3" t="s">
        <v>83</v>
      </c>
      <c r="AK1244" s="3">
        <v>1</v>
      </c>
      <c r="AL1244" s="3" t="s">
        <v>83</v>
      </c>
    </row>
    <row r="1245" spans="1:38" x14ac:dyDescent="0.3">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v>9756</v>
      </c>
      <c r="S1245">
        <v>6595</v>
      </c>
      <c r="T1245">
        <v>4</v>
      </c>
      <c r="U1245" t="s">
        <v>43</v>
      </c>
      <c r="V1245">
        <v>21</v>
      </c>
      <c r="W1245">
        <v>4</v>
      </c>
      <c r="X1245">
        <v>3</v>
      </c>
      <c r="Y1245">
        <v>2</v>
      </c>
      <c r="Z1245">
        <v>9</v>
      </c>
      <c r="AA1245">
        <v>2</v>
      </c>
      <c r="AB1245">
        <v>4</v>
      </c>
      <c r="AC1245">
        <v>5</v>
      </c>
      <c r="AD1245">
        <v>0</v>
      </c>
      <c r="AE1245">
        <v>0</v>
      </c>
      <c r="AF1245">
        <v>3</v>
      </c>
      <c r="AG1245" t="s">
        <v>68</v>
      </c>
      <c r="AH1245">
        <v>0</v>
      </c>
      <c r="AI1245" t="s">
        <v>70</v>
      </c>
      <c r="AJ1245" s="3" t="s">
        <v>84</v>
      </c>
      <c r="AK1245" s="3">
        <v>0</v>
      </c>
      <c r="AL1245" s="3" t="s">
        <v>83</v>
      </c>
    </row>
    <row r="1246" spans="1:38" x14ac:dyDescent="0.3">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v>4968</v>
      </c>
      <c r="S1246">
        <v>26427</v>
      </c>
      <c r="T1246">
        <v>0</v>
      </c>
      <c r="U1246" t="s">
        <v>43</v>
      </c>
      <c r="V1246">
        <v>16</v>
      </c>
      <c r="W1246">
        <v>3</v>
      </c>
      <c r="X1246">
        <v>4</v>
      </c>
      <c r="Y1246">
        <v>0</v>
      </c>
      <c r="Z1246">
        <v>10</v>
      </c>
      <c r="AA1246">
        <v>2</v>
      </c>
      <c r="AB1246">
        <v>3</v>
      </c>
      <c r="AC1246">
        <v>9</v>
      </c>
      <c r="AD1246">
        <v>7</v>
      </c>
      <c r="AE1246">
        <v>0</v>
      </c>
      <c r="AF1246">
        <v>7</v>
      </c>
      <c r="AG1246" t="s">
        <v>65</v>
      </c>
      <c r="AH1246">
        <v>0</v>
      </c>
      <c r="AI1246" t="s">
        <v>70</v>
      </c>
      <c r="AJ1246" s="3" t="s">
        <v>83</v>
      </c>
      <c r="AK1246" s="3">
        <v>1</v>
      </c>
      <c r="AL1246" s="3" t="s">
        <v>83</v>
      </c>
    </row>
    <row r="1247" spans="1:38" x14ac:dyDescent="0.3">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v>2145</v>
      </c>
      <c r="S1247">
        <v>2097</v>
      </c>
      <c r="T1247">
        <v>0</v>
      </c>
      <c r="U1247" t="s">
        <v>43</v>
      </c>
      <c r="V1247">
        <v>14</v>
      </c>
      <c r="W1247">
        <v>3</v>
      </c>
      <c r="X1247">
        <v>4</v>
      </c>
      <c r="Y1247">
        <v>1</v>
      </c>
      <c r="Z1247">
        <v>3</v>
      </c>
      <c r="AA1247">
        <v>2</v>
      </c>
      <c r="AB1247">
        <v>3</v>
      </c>
      <c r="AC1247">
        <v>2</v>
      </c>
      <c r="AD1247">
        <v>2</v>
      </c>
      <c r="AE1247">
        <v>2</v>
      </c>
      <c r="AF1247">
        <v>1</v>
      </c>
      <c r="AG1247" t="s">
        <v>67</v>
      </c>
      <c r="AH1247">
        <v>0</v>
      </c>
      <c r="AI1247" t="s">
        <v>71</v>
      </c>
      <c r="AJ1247" s="3" t="s">
        <v>82</v>
      </c>
      <c r="AK1247" s="3">
        <v>1</v>
      </c>
      <c r="AL1247" s="3" t="s">
        <v>83</v>
      </c>
    </row>
    <row r="1248" spans="1:38" x14ac:dyDescent="0.3">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v>2180</v>
      </c>
      <c r="S1248">
        <v>9732</v>
      </c>
      <c r="T1248">
        <v>6</v>
      </c>
      <c r="U1248" t="s">
        <v>43</v>
      </c>
      <c r="V1248">
        <v>11</v>
      </c>
      <c r="W1248">
        <v>3</v>
      </c>
      <c r="X1248">
        <v>3</v>
      </c>
      <c r="Y1248">
        <v>1</v>
      </c>
      <c r="Z1248">
        <v>6</v>
      </c>
      <c r="AA1248">
        <v>0</v>
      </c>
      <c r="AB1248">
        <v>2</v>
      </c>
      <c r="AC1248">
        <v>4</v>
      </c>
      <c r="AD1248">
        <v>2</v>
      </c>
      <c r="AE1248">
        <v>1</v>
      </c>
      <c r="AF1248">
        <v>2</v>
      </c>
      <c r="AG1248" t="s">
        <v>68</v>
      </c>
      <c r="AH1248">
        <v>1</v>
      </c>
      <c r="AI1248" t="s">
        <v>72</v>
      </c>
      <c r="AJ1248" s="3" t="s">
        <v>82</v>
      </c>
      <c r="AK1248" s="3">
        <v>0</v>
      </c>
      <c r="AL1248" s="3" t="s">
        <v>83</v>
      </c>
    </row>
    <row r="1249" spans="1:38" x14ac:dyDescent="0.3">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v>8346</v>
      </c>
      <c r="S1249">
        <v>20943</v>
      </c>
      <c r="T1249">
        <v>1</v>
      </c>
      <c r="U1249" t="s">
        <v>43</v>
      </c>
      <c r="V1249">
        <v>19</v>
      </c>
      <c r="W1249">
        <v>3</v>
      </c>
      <c r="X1249">
        <v>3</v>
      </c>
      <c r="Y1249">
        <v>1</v>
      </c>
      <c r="Z1249">
        <v>6</v>
      </c>
      <c r="AA1249">
        <v>3</v>
      </c>
      <c r="AB1249">
        <v>3</v>
      </c>
      <c r="AC1249">
        <v>5</v>
      </c>
      <c r="AD1249">
        <v>2</v>
      </c>
      <c r="AE1249">
        <v>0</v>
      </c>
      <c r="AF1249">
        <v>2</v>
      </c>
      <c r="AG1249" t="s">
        <v>68</v>
      </c>
      <c r="AH1249">
        <v>0</v>
      </c>
      <c r="AI1249" t="s">
        <v>71</v>
      </c>
      <c r="AJ1249" s="3" t="s">
        <v>84</v>
      </c>
      <c r="AK1249" s="3">
        <v>0</v>
      </c>
      <c r="AL1249" s="3" t="s">
        <v>83</v>
      </c>
    </row>
    <row r="1250" spans="1:38" x14ac:dyDescent="0.3">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v>3445</v>
      </c>
      <c r="S1250">
        <v>6152</v>
      </c>
      <c r="T1250">
        <v>1</v>
      </c>
      <c r="U1250" t="s">
        <v>43</v>
      </c>
      <c r="V1250">
        <v>11</v>
      </c>
      <c r="W1250">
        <v>3</v>
      </c>
      <c r="X1250">
        <v>3</v>
      </c>
      <c r="Y1250">
        <v>0</v>
      </c>
      <c r="Z1250">
        <v>6</v>
      </c>
      <c r="AA1250">
        <v>5</v>
      </c>
      <c r="AB1250">
        <v>2</v>
      </c>
      <c r="AC1250">
        <v>6</v>
      </c>
      <c r="AD1250">
        <v>2</v>
      </c>
      <c r="AE1250">
        <v>1</v>
      </c>
      <c r="AF1250">
        <v>4</v>
      </c>
      <c r="AG1250" t="s">
        <v>65</v>
      </c>
      <c r="AH1250">
        <v>0</v>
      </c>
      <c r="AI1250" t="s">
        <v>71</v>
      </c>
      <c r="AJ1250" s="3" t="s">
        <v>82</v>
      </c>
      <c r="AK1250" s="3">
        <v>0</v>
      </c>
      <c r="AL1250" s="3" t="s">
        <v>83</v>
      </c>
    </row>
    <row r="1251" spans="1:38" x14ac:dyDescent="0.3">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v>2760</v>
      </c>
      <c r="S1251">
        <v>14630</v>
      </c>
      <c r="T1251">
        <v>1</v>
      </c>
      <c r="U1251" t="s">
        <v>43</v>
      </c>
      <c r="V1251">
        <v>13</v>
      </c>
      <c r="W1251">
        <v>3</v>
      </c>
      <c r="X1251">
        <v>3</v>
      </c>
      <c r="Y1251">
        <v>0</v>
      </c>
      <c r="Z1251">
        <v>2</v>
      </c>
      <c r="AA1251">
        <v>3</v>
      </c>
      <c r="AB1251">
        <v>3</v>
      </c>
      <c r="AC1251">
        <v>2</v>
      </c>
      <c r="AD1251">
        <v>2</v>
      </c>
      <c r="AE1251">
        <v>2</v>
      </c>
      <c r="AF1251">
        <v>2</v>
      </c>
      <c r="AG1251" t="s">
        <v>67</v>
      </c>
      <c r="AH1251">
        <v>1</v>
      </c>
      <c r="AI1251" t="s">
        <v>72</v>
      </c>
      <c r="AJ1251" s="3" t="s">
        <v>83</v>
      </c>
      <c r="AK1251" s="3">
        <v>2</v>
      </c>
      <c r="AL1251" s="3" t="s">
        <v>84</v>
      </c>
    </row>
    <row r="1252" spans="1:38" x14ac:dyDescent="0.3">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v>6294</v>
      </c>
      <c r="S1252">
        <v>23060</v>
      </c>
      <c r="T1252">
        <v>8</v>
      </c>
      <c r="U1252" t="s">
        <v>35</v>
      </c>
      <c r="V1252">
        <v>12</v>
      </c>
      <c r="W1252">
        <v>3</v>
      </c>
      <c r="X1252">
        <v>4</v>
      </c>
      <c r="Y1252">
        <v>0</v>
      </c>
      <c r="Z1252">
        <v>10</v>
      </c>
      <c r="AA1252">
        <v>5</v>
      </c>
      <c r="AB1252">
        <v>4</v>
      </c>
      <c r="AC1252">
        <v>3</v>
      </c>
      <c r="AD1252">
        <v>2</v>
      </c>
      <c r="AE1252">
        <v>0</v>
      </c>
      <c r="AF1252">
        <v>2</v>
      </c>
      <c r="AG1252" t="s">
        <v>67</v>
      </c>
      <c r="AH1252">
        <v>0</v>
      </c>
      <c r="AI1252" t="s">
        <v>72</v>
      </c>
      <c r="AJ1252" s="3" t="s">
        <v>84</v>
      </c>
      <c r="AK1252" s="3">
        <v>2</v>
      </c>
      <c r="AL1252" s="3" t="s">
        <v>84</v>
      </c>
    </row>
    <row r="1253" spans="1:38" x14ac:dyDescent="0.3">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v>7140</v>
      </c>
      <c r="S1253">
        <v>3088</v>
      </c>
      <c r="T1253">
        <v>2</v>
      </c>
      <c r="U1253" t="s">
        <v>43</v>
      </c>
      <c r="V1253">
        <v>11</v>
      </c>
      <c r="W1253">
        <v>3</v>
      </c>
      <c r="X1253">
        <v>1</v>
      </c>
      <c r="Y1253">
        <v>1</v>
      </c>
      <c r="Z1253">
        <v>12</v>
      </c>
      <c r="AA1253">
        <v>2</v>
      </c>
      <c r="AB1253">
        <v>3</v>
      </c>
      <c r="AC1253">
        <v>7</v>
      </c>
      <c r="AD1253">
        <v>7</v>
      </c>
      <c r="AE1253">
        <v>1</v>
      </c>
      <c r="AF1253">
        <v>7</v>
      </c>
      <c r="AG1253" t="s">
        <v>65</v>
      </c>
      <c r="AH1253">
        <v>0</v>
      </c>
      <c r="AI1253" t="s">
        <v>72</v>
      </c>
      <c r="AJ1253" s="3" t="s">
        <v>83</v>
      </c>
      <c r="AK1253" s="3">
        <v>1</v>
      </c>
      <c r="AL1253" s="3" t="s">
        <v>83</v>
      </c>
    </row>
    <row r="1254" spans="1:38" x14ac:dyDescent="0.3">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v>2932</v>
      </c>
      <c r="S1254">
        <v>5586</v>
      </c>
      <c r="T1254">
        <v>0</v>
      </c>
      <c r="U1254" t="s">
        <v>35</v>
      </c>
      <c r="V1254">
        <v>14</v>
      </c>
      <c r="W1254">
        <v>3</v>
      </c>
      <c r="X1254">
        <v>1</v>
      </c>
      <c r="Y1254">
        <v>3</v>
      </c>
      <c r="Z1254">
        <v>6</v>
      </c>
      <c r="AA1254">
        <v>3</v>
      </c>
      <c r="AB1254">
        <v>3</v>
      </c>
      <c r="AC1254">
        <v>5</v>
      </c>
      <c r="AD1254">
        <v>0</v>
      </c>
      <c r="AE1254">
        <v>1</v>
      </c>
      <c r="AF1254">
        <v>2</v>
      </c>
      <c r="AG1254" t="s">
        <v>68</v>
      </c>
      <c r="AH1254">
        <v>0</v>
      </c>
      <c r="AI1254" t="s">
        <v>71</v>
      </c>
      <c r="AJ1254" s="3" t="s">
        <v>82</v>
      </c>
      <c r="AK1254" s="3">
        <v>1</v>
      </c>
      <c r="AL1254" s="3" t="s">
        <v>83</v>
      </c>
    </row>
    <row r="1255" spans="1:38" x14ac:dyDescent="0.3">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v>5147</v>
      </c>
      <c r="S1255">
        <v>10697</v>
      </c>
      <c r="T1255">
        <v>8</v>
      </c>
      <c r="U1255" t="s">
        <v>43</v>
      </c>
      <c r="V1255">
        <v>15</v>
      </c>
      <c r="W1255">
        <v>3</v>
      </c>
      <c r="X1255">
        <v>4</v>
      </c>
      <c r="Y1255">
        <v>0</v>
      </c>
      <c r="Z1255">
        <v>13</v>
      </c>
      <c r="AA1255">
        <v>2</v>
      </c>
      <c r="AB1255">
        <v>2</v>
      </c>
      <c r="AC1255">
        <v>11</v>
      </c>
      <c r="AD1255">
        <v>7</v>
      </c>
      <c r="AE1255">
        <v>1</v>
      </c>
      <c r="AF1255">
        <v>7</v>
      </c>
      <c r="AG1255" t="s">
        <v>65</v>
      </c>
      <c r="AH1255">
        <v>0</v>
      </c>
      <c r="AI1255" t="s">
        <v>71</v>
      </c>
      <c r="AJ1255" s="3" t="s">
        <v>83</v>
      </c>
      <c r="AK1255" s="3">
        <v>1</v>
      </c>
      <c r="AL1255" s="3" t="s">
        <v>83</v>
      </c>
    </row>
    <row r="1256" spans="1:38" x14ac:dyDescent="0.3">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v>4507</v>
      </c>
      <c r="S1256">
        <v>8191</v>
      </c>
      <c r="T1256">
        <v>3</v>
      </c>
      <c r="U1256" t="s">
        <v>43</v>
      </c>
      <c r="V1256">
        <v>12</v>
      </c>
      <c r="W1256">
        <v>3</v>
      </c>
      <c r="X1256">
        <v>3</v>
      </c>
      <c r="Y1256">
        <v>0</v>
      </c>
      <c r="Z1256">
        <v>8</v>
      </c>
      <c r="AA1256">
        <v>1</v>
      </c>
      <c r="AB1256">
        <v>4</v>
      </c>
      <c r="AC1256">
        <v>5</v>
      </c>
      <c r="AD1256">
        <v>1</v>
      </c>
      <c r="AE1256">
        <v>0</v>
      </c>
      <c r="AF1256">
        <v>4</v>
      </c>
      <c r="AG1256" t="s">
        <v>68</v>
      </c>
      <c r="AH1256">
        <v>0</v>
      </c>
      <c r="AI1256" t="s">
        <v>71</v>
      </c>
      <c r="AJ1256" s="3" t="s">
        <v>82</v>
      </c>
      <c r="AK1256" s="3">
        <v>0</v>
      </c>
      <c r="AL1256" s="3" t="s">
        <v>83</v>
      </c>
    </row>
    <row r="1257" spans="1:38" x14ac:dyDescent="0.3">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v>8564</v>
      </c>
      <c r="S1257">
        <v>10092</v>
      </c>
      <c r="T1257">
        <v>2</v>
      </c>
      <c r="U1257" t="s">
        <v>35</v>
      </c>
      <c r="V1257">
        <v>20</v>
      </c>
      <c r="W1257">
        <v>4</v>
      </c>
      <c r="X1257">
        <v>3</v>
      </c>
      <c r="Y1257">
        <v>0</v>
      </c>
      <c r="Z1257">
        <v>11</v>
      </c>
      <c r="AA1257">
        <v>2</v>
      </c>
      <c r="AB1257">
        <v>2</v>
      </c>
      <c r="AC1257">
        <v>0</v>
      </c>
      <c r="AD1257">
        <v>0</v>
      </c>
      <c r="AE1257">
        <v>0</v>
      </c>
      <c r="AF1257">
        <v>0</v>
      </c>
      <c r="AG1257" t="s">
        <v>66</v>
      </c>
      <c r="AH1257">
        <v>1</v>
      </c>
      <c r="AI1257" t="s">
        <v>70</v>
      </c>
      <c r="AJ1257" s="3" t="s">
        <v>83</v>
      </c>
      <c r="AK1257" s="3">
        <v>3</v>
      </c>
      <c r="AL1257" s="3" t="s">
        <v>82</v>
      </c>
    </row>
    <row r="1258" spans="1:38" x14ac:dyDescent="0.3">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v>2468</v>
      </c>
      <c r="S1258">
        <v>15963</v>
      </c>
      <c r="T1258">
        <v>4</v>
      </c>
      <c r="U1258" t="s">
        <v>43</v>
      </c>
      <c r="V1258">
        <v>14</v>
      </c>
      <c r="W1258">
        <v>3</v>
      </c>
      <c r="X1258">
        <v>2</v>
      </c>
      <c r="Y1258">
        <v>1</v>
      </c>
      <c r="Z1258">
        <v>9</v>
      </c>
      <c r="AA1258">
        <v>4</v>
      </c>
      <c r="AB1258">
        <v>2</v>
      </c>
      <c r="AC1258">
        <v>6</v>
      </c>
      <c r="AD1258">
        <v>1</v>
      </c>
      <c r="AE1258">
        <v>0</v>
      </c>
      <c r="AF1258">
        <v>5</v>
      </c>
      <c r="AG1258" t="s">
        <v>65</v>
      </c>
      <c r="AH1258">
        <v>0</v>
      </c>
      <c r="AI1258" t="s">
        <v>71</v>
      </c>
      <c r="AJ1258" s="3" t="s">
        <v>83</v>
      </c>
      <c r="AK1258" s="3">
        <v>1</v>
      </c>
      <c r="AL1258" s="3" t="s">
        <v>83</v>
      </c>
    </row>
    <row r="1259" spans="1:38" x14ac:dyDescent="0.3">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v>8161</v>
      </c>
      <c r="S1259">
        <v>19002</v>
      </c>
      <c r="T1259">
        <v>2</v>
      </c>
      <c r="U1259" t="s">
        <v>43</v>
      </c>
      <c r="V1259">
        <v>13</v>
      </c>
      <c r="W1259">
        <v>3</v>
      </c>
      <c r="X1259">
        <v>1</v>
      </c>
      <c r="Y1259">
        <v>3</v>
      </c>
      <c r="Z1259">
        <v>10</v>
      </c>
      <c r="AA1259">
        <v>2</v>
      </c>
      <c r="AB1259">
        <v>3</v>
      </c>
      <c r="AC1259">
        <v>1</v>
      </c>
      <c r="AD1259">
        <v>0</v>
      </c>
      <c r="AE1259">
        <v>0</v>
      </c>
      <c r="AF1259">
        <v>0</v>
      </c>
      <c r="AG1259" t="s">
        <v>67</v>
      </c>
      <c r="AH1259">
        <v>1</v>
      </c>
      <c r="AI1259" t="s">
        <v>71</v>
      </c>
      <c r="AJ1259" s="3" t="s">
        <v>84</v>
      </c>
      <c r="AK1259" s="3">
        <v>1</v>
      </c>
      <c r="AL1259" s="3" t="s">
        <v>83</v>
      </c>
    </row>
    <row r="1260" spans="1:38" x14ac:dyDescent="0.3">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v>2109</v>
      </c>
      <c r="S1260">
        <v>10007</v>
      </c>
      <c r="T1260">
        <v>1</v>
      </c>
      <c r="U1260" t="s">
        <v>43</v>
      </c>
      <c r="V1260">
        <v>13</v>
      </c>
      <c r="W1260">
        <v>3</v>
      </c>
      <c r="X1260">
        <v>3</v>
      </c>
      <c r="Y1260">
        <v>1</v>
      </c>
      <c r="Z1260">
        <v>1</v>
      </c>
      <c r="AA1260">
        <v>2</v>
      </c>
      <c r="AB1260">
        <v>3</v>
      </c>
      <c r="AC1260">
        <v>1</v>
      </c>
      <c r="AD1260">
        <v>0</v>
      </c>
      <c r="AE1260">
        <v>0</v>
      </c>
      <c r="AF1260">
        <v>0</v>
      </c>
      <c r="AG1260" t="s">
        <v>67</v>
      </c>
      <c r="AH1260">
        <v>0</v>
      </c>
      <c r="AI1260" t="s">
        <v>71</v>
      </c>
      <c r="AJ1260" s="3" t="s">
        <v>83</v>
      </c>
      <c r="AK1260" s="3">
        <v>2</v>
      </c>
      <c r="AL1260" s="3" t="s">
        <v>84</v>
      </c>
    </row>
    <row r="1261" spans="1:38" x14ac:dyDescent="0.3">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v>5294</v>
      </c>
      <c r="S1261">
        <v>9128</v>
      </c>
      <c r="T1261">
        <v>3</v>
      </c>
      <c r="U1261" t="s">
        <v>43</v>
      </c>
      <c r="V1261">
        <v>16</v>
      </c>
      <c r="W1261">
        <v>3</v>
      </c>
      <c r="X1261">
        <v>3</v>
      </c>
      <c r="Y1261">
        <v>1</v>
      </c>
      <c r="Z1261">
        <v>10</v>
      </c>
      <c r="AA1261">
        <v>3</v>
      </c>
      <c r="AB1261">
        <v>3</v>
      </c>
      <c r="AC1261">
        <v>7</v>
      </c>
      <c r="AD1261">
        <v>0</v>
      </c>
      <c r="AE1261">
        <v>1</v>
      </c>
      <c r="AF1261">
        <v>7</v>
      </c>
      <c r="AG1261" t="s">
        <v>65</v>
      </c>
      <c r="AH1261">
        <v>0</v>
      </c>
      <c r="AI1261" t="s">
        <v>72</v>
      </c>
      <c r="AJ1261" s="3" t="s">
        <v>84</v>
      </c>
      <c r="AK1261" s="3">
        <v>0</v>
      </c>
      <c r="AL1261" s="3" t="s">
        <v>83</v>
      </c>
    </row>
    <row r="1262" spans="1:38" x14ac:dyDescent="0.3">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v>2718</v>
      </c>
      <c r="S1262">
        <v>17674</v>
      </c>
      <c r="T1262">
        <v>2</v>
      </c>
      <c r="U1262" t="s">
        <v>43</v>
      </c>
      <c r="V1262">
        <v>14</v>
      </c>
      <c r="W1262">
        <v>3</v>
      </c>
      <c r="X1262">
        <v>2</v>
      </c>
      <c r="Y1262">
        <v>0</v>
      </c>
      <c r="Z1262">
        <v>12</v>
      </c>
      <c r="AA1262">
        <v>3</v>
      </c>
      <c r="AB1262">
        <v>3</v>
      </c>
      <c r="AC1262">
        <v>7</v>
      </c>
      <c r="AD1262">
        <v>7</v>
      </c>
      <c r="AE1262">
        <v>0</v>
      </c>
      <c r="AF1262">
        <v>7</v>
      </c>
      <c r="AG1262" t="s">
        <v>65</v>
      </c>
      <c r="AH1262">
        <v>0</v>
      </c>
      <c r="AI1262" t="s">
        <v>71</v>
      </c>
      <c r="AJ1262" s="3" t="s">
        <v>83</v>
      </c>
      <c r="AK1262" s="3">
        <v>1</v>
      </c>
      <c r="AL1262" s="3" t="s">
        <v>83</v>
      </c>
    </row>
    <row r="1263" spans="1:38" x14ac:dyDescent="0.3">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v>5811</v>
      </c>
      <c r="S1263">
        <v>24539</v>
      </c>
      <c r="T1263">
        <v>3</v>
      </c>
      <c r="U1263" t="s">
        <v>35</v>
      </c>
      <c r="V1263">
        <v>16</v>
      </c>
      <c r="W1263">
        <v>3</v>
      </c>
      <c r="X1263">
        <v>3</v>
      </c>
      <c r="Y1263">
        <v>1</v>
      </c>
      <c r="Z1263">
        <v>15</v>
      </c>
      <c r="AA1263">
        <v>2</v>
      </c>
      <c r="AB1263">
        <v>3</v>
      </c>
      <c r="AC1263">
        <v>1</v>
      </c>
      <c r="AD1263">
        <v>0</v>
      </c>
      <c r="AE1263">
        <v>1</v>
      </c>
      <c r="AF1263">
        <v>0</v>
      </c>
      <c r="AG1263" t="s">
        <v>67</v>
      </c>
      <c r="AH1263">
        <v>0</v>
      </c>
      <c r="AI1263" t="s">
        <v>71</v>
      </c>
      <c r="AJ1263" s="3" t="s">
        <v>82</v>
      </c>
      <c r="AK1263" s="3">
        <v>2</v>
      </c>
      <c r="AL1263" s="3" t="s">
        <v>84</v>
      </c>
    </row>
    <row r="1264" spans="1:38" x14ac:dyDescent="0.3">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v>2437</v>
      </c>
      <c r="S1264">
        <v>15587</v>
      </c>
      <c r="T1264">
        <v>9</v>
      </c>
      <c r="U1264" t="s">
        <v>35</v>
      </c>
      <c r="V1264">
        <v>16</v>
      </c>
      <c r="W1264">
        <v>3</v>
      </c>
      <c r="X1264">
        <v>4</v>
      </c>
      <c r="Y1264">
        <v>1</v>
      </c>
      <c r="Z1264">
        <v>6</v>
      </c>
      <c r="AA1264">
        <v>4</v>
      </c>
      <c r="AB1264">
        <v>3</v>
      </c>
      <c r="AC1264">
        <v>1</v>
      </c>
      <c r="AD1264">
        <v>0</v>
      </c>
      <c r="AE1264">
        <v>0</v>
      </c>
      <c r="AF1264">
        <v>0</v>
      </c>
      <c r="AG1264" t="s">
        <v>67</v>
      </c>
      <c r="AH1264">
        <v>1</v>
      </c>
      <c r="AI1264" t="s">
        <v>71</v>
      </c>
      <c r="AJ1264" s="3" t="s">
        <v>84</v>
      </c>
      <c r="AK1264" s="3">
        <v>2</v>
      </c>
      <c r="AL1264" s="3" t="s">
        <v>84</v>
      </c>
    </row>
    <row r="1265" spans="1:38" x14ac:dyDescent="0.3">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v>2766</v>
      </c>
      <c r="S1265">
        <v>8952</v>
      </c>
      <c r="T1265">
        <v>8</v>
      </c>
      <c r="U1265" t="s">
        <v>43</v>
      </c>
      <c r="V1265">
        <v>22</v>
      </c>
      <c r="W1265">
        <v>4</v>
      </c>
      <c r="X1265">
        <v>2</v>
      </c>
      <c r="Y1265">
        <v>3</v>
      </c>
      <c r="Z1265">
        <v>7</v>
      </c>
      <c r="AA1265">
        <v>6</v>
      </c>
      <c r="AB1265">
        <v>2</v>
      </c>
      <c r="AC1265">
        <v>5</v>
      </c>
      <c r="AD1265">
        <v>3</v>
      </c>
      <c r="AE1265">
        <v>0</v>
      </c>
      <c r="AF1265">
        <v>4</v>
      </c>
      <c r="AG1265" t="s">
        <v>68</v>
      </c>
      <c r="AH1265">
        <v>0</v>
      </c>
      <c r="AI1265" t="s">
        <v>70</v>
      </c>
      <c r="AJ1265" s="3" t="s">
        <v>83</v>
      </c>
      <c r="AK1265" s="3">
        <v>1</v>
      </c>
      <c r="AL1265" s="3" t="s">
        <v>83</v>
      </c>
    </row>
    <row r="1266" spans="1:38" x14ac:dyDescent="0.3">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v>19038</v>
      </c>
      <c r="S1266">
        <v>19805</v>
      </c>
      <c r="T1266">
        <v>8</v>
      </c>
      <c r="U1266" t="s">
        <v>43</v>
      </c>
      <c r="V1266">
        <v>12</v>
      </c>
      <c r="W1266">
        <v>3</v>
      </c>
      <c r="X1266">
        <v>2</v>
      </c>
      <c r="Y1266">
        <v>3</v>
      </c>
      <c r="Z1266">
        <v>34</v>
      </c>
      <c r="AA1266">
        <v>2</v>
      </c>
      <c r="AB1266">
        <v>3</v>
      </c>
      <c r="AC1266">
        <v>1</v>
      </c>
      <c r="AD1266">
        <v>0</v>
      </c>
      <c r="AE1266">
        <v>0</v>
      </c>
      <c r="AF1266">
        <v>0</v>
      </c>
      <c r="AG1266" t="s">
        <v>67</v>
      </c>
      <c r="AH1266">
        <v>0</v>
      </c>
      <c r="AI1266" t="s">
        <v>70</v>
      </c>
      <c r="AJ1266" s="3" t="s">
        <v>83</v>
      </c>
      <c r="AK1266" s="3">
        <v>2</v>
      </c>
      <c r="AL1266" s="3" t="s">
        <v>84</v>
      </c>
    </row>
    <row r="1267" spans="1:38" x14ac:dyDescent="0.3">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v>3055</v>
      </c>
      <c r="S1267">
        <v>6194</v>
      </c>
      <c r="T1267">
        <v>5</v>
      </c>
      <c r="U1267" t="s">
        <v>43</v>
      </c>
      <c r="V1267">
        <v>15</v>
      </c>
      <c r="W1267">
        <v>3</v>
      </c>
      <c r="X1267">
        <v>4</v>
      </c>
      <c r="Y1267">
        <v>2</v>
      </c>
      <c r="Z1267">
        <v>11</v>
      </c>
      <c r="AA1267">
        <v>2</v>
      </c>
      <c r="AB1267">
        <v>2</v>
      </c>
      <c r="AC1267">
        <v>9</v>
      </c>
      <c r="AD1267">
        <v>8</v>
      </c>
      <c r="AE1267">
        <v>1</v>
      </c>
      <c r="AF1267">
        <v>7</v>
      </c>
      <c r="AG1267" t="s">
        <v>65</v>
      </c>
      <c r="AH1267">
        <v>0</v>
      </c>
      <c r="AI1267" t="s">
        <v>69</v>
      </c>
      <c r="AJ1267" s="3" t="s">
        <v>83</v>
      </c>
      <c r="AK1267" s="3">
        <v>1</v>
      </c>
      <c r="AL1267" s="3" t="s">
        <v>83</v>
      </c>
    </row>
    <row r="1268" spans="1:38" x14ac:dyDescent="0.3">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v>2289</v>
      </c>
      <c r="S1268">
        <v>20520</v>
      </c>
      <c r="T1268">
        <v>1</v>
      </c>
      <c r="U1268" t="s">
        <v>43</v>
      </c>
      <c r="V1268">
        <v>20</v>
      </c>
      <c r="W1268">
        <v>4</v>
      </c>
      <c r="X1268">
        <v>2</v>
      </c>
      <c r="Y1268">
        <v>2</v>
      </c>
      <c r="Z1268">
        <v>5</v>
      </c>
      <c r="AA1268">
        <v>2</v>
      </c>
      <c r="AB1268">
        <v>3</v>
      </c>
      <c r="AC1268">
        <v>5</v>
      </c>
      <c r="AD1268">
        <v>3</v>
      </c>
      <c r="AE1268">
        <v>0</v>
      </c>
      <c r="AF1268">
        <v>4</v>
      </c>
      <c r="AG1268" t="s">
        <v>68</v>
      </c>
      <c r="AH1268">
        <v>0</v>
      </c>
      <c r="AI1268" t="s">
        <v>71</v>
      </c>
      <c r="AJ1268" s="3" t="s">
        <v>83</v>
      </c>
      <c r="AK1268" s="3">
        <v>1</v>
      </c>
      <c r="AL1268" s="3" t="s">
        <v>83</v>
      </c>
    </row>
    <row r="1269" spans="1:38" x14ac:dyDescent="0.3">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v>4001</v>
      </c>
      <c r="S1269">
        <v>12313</v>
      </c>
      <c r="T1269">
        <v>1</v>
      </c>
      <c r="U1269" t="s">
        <v>35</v>
      </c>
      <c r="V1269">
        <v>14</v>
      </c>
      <c r="W1269">
        <v>3</v>
      </c>
      <c r="X1269">
        <v>3</v>
      </c>
      <c r="Y1269">
        <v>1</v>
      </c>
      <c r="Z1269">
        <v>15</v>
      </c>
      <c r="AA1269">
        <v>3</v>
      </c>
      <c r="AB1269">
        <v>3</v>
      </c>
      <c r="AC1269">
        <v>15</v>
      </c>
      <c r="AD1269">
        <v>14</v>
      </c>
      <c r="AE1269">
        <v>0</v>
      </c>
      <c r="AF1269">
        <v>7</v>
      </c>
      <c r="AG1269" t="s">
        <v>65</v>
      </c>
      <c r="AH1269">
        <v>0</v>
      </c>
      <c r="AI1269" t="s">
        <v>70</v>
      </c>
      <c r="AJ1269" s="3" t="s">
        <v>84</v>
      </c>
      <c r="AK1269" s="3">
        <v>1</v>
      </c>
      <c r="AL1269" s="3" t="s">
        <v>83</v>
      </c>
    </row>
    <row r="1270" spans="1:38" x14ac:dyDescent="0.3">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v>12965</v>
      </c>
      <c r="S1270">
        <v>22308</v>
      </c>
      <c r="T1270">
        <v>4</v>
      </c>
      <c r="U1270" t="s">
        <v>35</v>
      </c>
      <c r="V1270">
        <v>20</v>
      </c>
      <c r="W1270">
        <v>4</v>
      </c>
      <c r="X1270">
        <v>4</v>
      </c>
      <c r="Y1270">
        <v>3</v>
      </c>
      <c r="Z1270">
        <v>27</v>
      </c>
      <c r="AA1270">
        <v>2</v>
      </c>
      <c r="AB1270">
        <v>2</v>
      </c>
      <c r="AC1270">
        <v>3</v>
      </c>
      <c r="AD1270">
        <v>2</v>
      </c>
      <c r="AE1270">
        <v>0</v>
      </c>
      <c r="AF1270">
        <v>2</v>
      </c>
      <c r="AG1270" t="s">
        <v>67</v>
      </c>
      <c r="AH1270">
        <v>0</v>
      </c>
      <c r="AI1270" t="s">
        <v>71</v>
      </c>
      <c r="AJ1270" s="3" t="s">
        <v>84</v>
      </c>
      <c r="AK1270" s="3">
        <v>2</v>
      </c>
      <c r="AL1270" s="3" t="s">
        <v>84</v>
      </c>
    </row>
    <row r="1271" spans="1:38" x14ac:dyDescent="0.3">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v>3539</v>
      </c>
      <c r="S1271">
        <v>5033</v>
      </c>
      <c r="T1271">
        <v>0</v>
      </c>
      <c r="U1271" t="s">
        <v>43</v>
      </c>
      <c r="V1271">
        <v>13</v>
      </c>
      <c r="W1271">
        <v>3</v>
      </c>
      <c r="X1271">
        <v>2</v>
      </c>
      <c r="Y1271">
        <v>0</v>
      </c>
      <c r="Z1271">
        <v>10</v>
      </c>
      <c r="AA1271">
        <v>5</v>
      </c>
      <c r="AB1271">
        <v>3</v>
      </c>
      <c r="AC1271">
        <v>9</v>
      </c>
      <c r="AD1271">
        <v>7</v>
      </c>
      <c r="AE1271">
        <v>1</v>
      </c>
      <c r="AF1271">
        <v>8</v>
      </c>
      <c r="AG1271" t="s">
        <v>65</v>
      </c>
      <c r="AH1271">
        <v>0</v>
      </c>
      <c r="AI1271" t="s">
        <v>69</v>
      </c>
      <c r="AJ1271" s="3" t="s">
        <v>82</v>
      </c>
      <c r="AK1271" s="3">
        <v>0</v>
      </c>
      <c r="AL1271" s="3" t="s">
        <v>83</v>
      </c>
    </row>
    <row r="1272" spans="1:38" x14ac:dyDescent="0.3">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v>6029</v>
      </c>
      <c r="S1272">
        <v>25353</v>
      </c>
      <c r="T1272">
        <v>5</v>
      </c>
      <c r="U1272" t="s">
        <v>43</v>
      </c>
      <c r="V1272">
        <v>12</v>
      </c>
      <c r="W1272">
        <v>3</v>
      </c>
      <c r="X1272">
        <v>1</v>
      </c>
      <c r="Y1272">
        <v>0</v>
      </c>
      <c r="Z1272">
        <v>6</v>
      </c>
      <c r="AA1272">
        <v>3</v>
      </c>
      <c r="AB1272">
        <v>3</v>
      </c>
      <c r="AC1272">
        <v>2</v>
      </c>
      <c r="AD1272">
        <v>2</v>
      </c>
      <c r="AE1272">
        <v>2</v>
      </c>
      <c r="AF1272">
        <v>2</v>
      </c>
      <c r="AG1272" t="s">
        <v>67</v>
      </c>
      <c r="AH1272">
        <v>0</v>
      </c>
      <c r="AI1272" t="s">
        <v>70</v>
      </c>
      <c r="AJ1272" s="3" t="s">
        <v>82</v>
      </c>
      <c r="AK1272" s="3">
        <v>1</v>
      </c>
      <c r="AL1272" s="3" t="s">
        <v>83</v>
      </c>
    </row>
    <row r="1273" spans="1:38" x14ac:dyDescent="0.3">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v>2679</v>
      </c>
      <c r="S1273">
        <v>4567</v>
      </c>
      <c r="T1273">
        <v>1</v>
      </c>
      <c r="U1273" t="s">
        <v>43</v>
      </c>
      <c r="V1273">
        <v>13</v>
      </c>
      <c r="W1273">
        <v>3</v>
      </c>
      <c r="X1273">
        <v>2</v>
      </c>
      <c r="Y1273">
        <v>0</v>
      </c>
      <c r="Z1273">
        <v>1</v>
      </c>
      <c r="AA1273">
        <v>3</v>
      </c>
      <c r="AB1273">
        <v>3</v>
      </c>
      <c r="AC1273">
        <v>1</v>
      </c>
      <c r="AD1273">
        <v>0</v>
      </c>
      <c r="AE1273">
        <v>1</v>
      </c>
      <c r="AF1273">
        <v>0</v>
      </c>
      <c r="AG1273" t="s">
        <v>67</v>
      </c>
      <c r="AH1273">
        <v>1</v>
      </c>
      <c r="AI1273" t="s">
        <v>71</v>
      </c>
      <c r="AJ1273" s="3" t="s">
        <v>83</v>
      </c>
      <c r="AK1273" s="3">
        <v>2</v>
      </c>
      <c r="AL1273" s="3" t="s">
        <v>84</v>
      </c>
    </row>
    <row r="1274" spans="1:38" x14ac:dyDescent="0.3">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v>3702</v>
      </c>
      <c r="S1274">
        <v>16376</v>
      </c>
      <c r="T1274">
        <v>1</v>
      </c>
      <c r="U1274" t="s">
        <v>43</v>
      </c>
      <c r="V1274">
        <v>11</v>
      </c>
      <c r="W1274">
        <v>3</v>
      </c>
      <c r="X1274">
        <v>2</v>
      </c>
      <c r="Y1274">
        <v>1</v>
      </c>
      <c r="Z1274">
        <v>5</v>
      </c>
      <c r="AA1274">
        <v>3</v>
      </c>
      <c r="AB1274">
        <v>3</v>
      </c>
      <c r="AC1274">
        <v>5</v>
      </c>
      <c r="AD1274">
        <v>4</v>
      </c>
      <c r="AE1274">
        <v>0</v>
      </c>
      <c r="AF1274">
        <v>4</v>
      </c>
      <c r="AG1274" t="s">
        <v>68</v>
      </c>
      <c r="AH1274">
        <v>0</v>
      </c>
      <c r="AI1274" t="s">
        <v>72</v>
      </c>
      <c r="AJ1274" s="3" t="s">
        <v>84</v>
      </c>
      <c r="AK1274" s="3">
        <v>0</v>
      </c>
      <c r="AL1274" s="3" t="s">
        <v>83</v>
      </c>
    </row>
    <row r="1275" spans="1:38" x14ac:dyDescent="0.3">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v>2398</v>
      </c>
      <c r="S1275">
        <v>15999</v>
      </c>
      <c r="T1275">
        <v>1</v>
      </c>
      <c r="U1275" t="s">
        <v>35</v>
      </c>
      <c r="V1275">
        <v>17</v>
      </c>
      <c r="W1275">
        <v>3</v>
      </c>
      <c r="X1275">
        <v>3</v>
      </c>
      <c r="Y1275">
        <v>0</v>
      </c>
      <c r="Z1275">
        <v>1</v>
      </c>
      <c r="AA1275">
        <v>6</v>
      </c>
      <c r="AB1275">
        <v>3</v>
      </c>
      <c r="AC1275">
        <v>1</v>
      </c>
      <c r="AD1275">
        <v>0</v>
      </c>
      <c r="AE1275">
        <v>0</v>
      </c>
      <c r="AF1275">
        <v>0</v>
      </c>
      <c r="AG1275" t="s">
        <v>67</v>
      </c>
      <c r="AH1275">
        <v>1</v>
      </c>
      <c r="AI1275" t="s">
        <v>71</v>
      </c>
      <c r="AJ1275" s="3" t="s">
        <v>83</v>
      </c>
      <c r="AK1275" s="3">
        <v>3</v>
      </c>
      <c r="AL1275" s="3" t="s">
        <v>82</v>
      </c>
    </row>
    <row r="1276" spans="1:38" x14ac:dyDescent="0.3">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v>5468</v>
      </c>
      <c r="S1276">
        <v>13402</v>
      </c>
      <c r="T1276">
        <v>1</v>
      </c>
      <c r="U1276" t="s">
        <v>43</v>
      </c>
      <c r="V1276">
        <v>14</v>
      </c>
      <c r="W1276">
        <v>3</v>
      </c>
      <c r="X1276">
        <v>1</v>
      </c>
      <c r="Y1276">
        <v>2</v>
      </c>
      <c r="Z1276">
        <v>13</v>
      </c>
      <c r="AA1276">
        <v>3</v>
      </c>
      <c r="AB1276">
        <v>3</v>
      </c>
      <c r="AC1276">
        <v>12</v>
      </c>
      <c r="AD1276">
        <v>7</v>
      </c>
      <c r="AE1276">
        <v>5</v>
      </c>
      <c r="AF1276">
        <v>7</v>
      </c>
      <c r="AG1276" t="s">
        <v>65</v>
      </c>
      <c r="AH1276">
        <v>0</v>
      </c>
      <c r="AI1276" t="s">
        <v>72</v>
      </c>
      <c r="AJ1276" s="3" t="s">
        <v>82</v>
      </c>
      <c r="AK1276" s="3">
        <v>0</v>
      </c>
      <c r="AL1276" s="3" t="s">
        <v>83</v>
      </c>
    </row>
    <row r="1277" spans="1:38" x14ac:dyDescent="0.3">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v>13116</v>
      </c>
      <c r="S1277">
        <v>22984</v>
      </c>
      <c r="T1277">
        <v>2</v>
      </c>
      <c r="U1277" t="s">
        <v>43</v>
      </c>
      <c r="V1277">
        <v>11</v>
      </c>
      <c r="W1277">
        <v>3</v>
      </c>
      <c r="X1277">
        <v>4</v>
      </c>
      <c r="Y1277">
        <v>0</v>
      </c>
      <c r="Z1277">
        <v>15</v>
      </c>
      <c r="AA1277">
        <v>2</v>
      </c>
      <c r="AB1277">
        <v>3</v>
      </c>
      <c r="AC1277">
        <v>2</v>
      </c>
      <c r="AD1277">
        <v>2</v>
      </c>
      <c r="AE1277">
        <v>2</v>
      </c>
      <c r="AF1277">
        <v>2</v>
      </c>
      <c r="AG1277" t="s">
        <v>67</v>
      </c>
      <c r="AH1277">
        <v>0</v>
      </c>
      <c r="AI1277" t="s">
        <v>71</v>
      </c>
      <c r="AJ1277" s="3" t="s">
        <v>84</v>
      </c>
      <c r="AK1277" s="3">
        <v>1</v>
      </c>
      <c r="AL1277" s="3" t="s">
        <v>83</v>
      </c>
    </row>
    <row r="1278" spans="1:38" x14ac:dyDescent="0.3">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v>4189</v>
      </c>
      <c r="S1278">
        <v>8800</v>
      </c>
      <c r="T1278">
        <v>1</v>
      </c>
      <c r="U1278" t="s">
        <v>43</v>
      </c>
      <c r="V1278">
        <v>14</v>
      </c>
      <c r="W1278">
        <v>3</v>
      </c>
      <c r="X1278">
        <v>1</v>
      </c>
      <c r="Y1278">
        <v>2</v>
      </c>
      <c r="Z1278">
        <v>5</v>
      </c>
      <c r="AA1278">
        <v>2</v>
      </c>
      <c r="AB1278">
        <v>3</v>
      </c>
      <c r="AC1278">
        <v>5</v>
      </c>
      <c r="AD1278">
        <v>2</v>
      </c>
      <c r="AE1278">
        <v>0</v>
      </c>
      <c r="AF1278">
        <v>3</v>
      </c>
      <c r="AG1278" t="s">
        <v>68</v>
      </c>
      <c r="AH1278">
        <v>0</v>
      </c>
      <c r="AI1278" t="s">
        <v>69</v>
      </c>
      <c r="AJ1278" s="3" t="s">
        <v>83</v>
      </c>
      <c r="AK1278" s="3">
        <v>1</v>
      </c>
      <c r="AL1278" s="3" t="s">
        <v>83</v>
      </c>
    </row>
    <row r="1279" spans="1:38" x14ac:dyDescent="0.3">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v>19328</v>
      </c>
      <c r="S1279">
        <v>14218</v>
      </c>
      <c r="T1279">
        <v>7</v>
      </c>
      <c r="U1279" t="s">
        <v>35</v>
      </c>
      <c r="V1279">
        <v>17</v>
      </c>
      <c r="W1279">
        <v>3</v>
      </c>
      <c r="X1279">
        <v>3</v>
      </c>
      <c r="Y1279">
        <v>1</v>
      </c>
      <c r="Z1279">
        <v>24</v>
      </c>
      <c r="AA1279">
        <v>3</v>
      </c>
      <c r="AB1279">
        <v>3</v>
      </c>
      <c r="AC1279">
        <v>2</v>
      </c>
      <c r="AD1279">
        <v>1</v>
      </c>
      <c r="AE1279">
        <v>2</v>
      </c>
      <c r="AF1279">
        <v>2</v>
      </c>
      <c r="AG1279" t="s">
        <v>67</v>
      </c>
      <c r="AH1279">
        <v>0</v>
      </c>
      <c r="AI1279" t="s">
        <v>71</v>
      </c>
      <c r="AJ1279" s="3" t="s">
        <v>82</v>
      </c>
      <c r="AK1279" s="3">
        <v>2</v>
      </c>
      <c r="AL1279" s="3" t="s">
        <v>84</v>
      </c>
    </row>
    <row r="1280" spans="1:38" x14ac:dyDescent="0.3">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v>8321</v>
      </c>
      <c r="S1280">
        <v>25949</v>
      </c>
      <c r="T1280">
        <v>7</v>
      </c>
      <c r="U1280" t="s">
        <v>35</v>
      </c>
      <c r="V1280">
        <v>13</v>
      </c>
      <c r="W1280">
        <v>3</v>
      </c>
      <c r="X1280">
        <v>4</v>
      </c>
      <c r="Y1280">
        <v>1</v>
      </c>
      <c r="Z1280">
        <v>15</v>
      </c>
      <c r="AA1280">
        <v>1</v>
      </c>
      <c r="AB1280">
        <v>3</v>
      </c>
      <c r="AC1280">
        <v>12</v>
      </c>
      <c r="AD1280">
        <v>8</v>
      </c>
      <c r="AE1280">
        <v>5</v>
      </c>
      <c r="AF1280">
        <v>7</v>
      </c>
      <c r="AG1280" t="s">
        <v>65</v>
      </c>
      <c r="AH1280">
        <v>0</v>
      </c>
      <c r="AI1280" t="s">
        <v>70</v>
      </c>
      <c r="AJ1280" s="3" t="s">
        <v>83</v>
      </c>
      <c r="AK1280" s="3">
        <v>2</v>
      </c>
      <c r="AL1280" s="3" t="s">
        <v>84</v>
      </c>
    </row>
    <row r="1281" spans="1:38" x14ac:dyDescent="0.3">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v>2342</v>
      </c>
      <c r="S1281">
        <v>11092</v>
      </c>
      <c r="T1281">
        <v>1</v>
      </c>
      <c r="U1281" t="s">
        <v>35</v>
      </c>
      <c r="V1281">
        <v>12</v>
      </c>
      <c r="W1281">
        <v>3</v>
      </c>
      <c r="X1281">
        <v>3</v>
      </c>
      <c r="Y1281">
        <v>3</v>
      </c>
      <c r="Z1281">
        <v>6</v>
      </c>
      <c r="AA1281">
        <v>2</v>
      </c>
      <c r="AB1281">
        <v>2</v>
      </c>
      <c r="AC1281">
        <v>5</v>
      </c>
      <c r="AD1281">
        <v>3</v>
      </c>
      <c r="AE1281">
        <v>2</v>
      </c>
      <c r="AF1281">
        <v>3</v>
      </c>
      <c r="AG1281" t="s">
        <v>68</v>
      </c>
      <c r="AH1281">
        <v>1</v>
      </c>
      <c r="AI1281" t="s">
        <v>71</v>
      </c>
      <c r="AJ1281" s="3" t="s">
        <v>83</v>
      </c>
      <c r="AK1281" s="3">
        <v>2</v>
      </c>
      <c r="AL1281" s="3" t="s">
        <v>84</v>
      </c>
    </row>
    <row r="1282" spans="1:38" x14ac:dyDescent="0.3">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v>4071</v>
      </c>
      <c r="S1282">
        <v>12832</v>
      </c>
      <c r="T1282">
        <v>2</v>
      </c>
      <c r="U1282" t="s">
        <v>43</v>
      </c>
      <c r="V1282">
        <v>13</v>
      </c>
      <c r="W1282">
        <v>3</v>
      </c>
      <c r="X1282">
        <v>3</v>
      </c>
      <c r="Y1282">
        <v>0</v>
      </c>
      <c r="Z1282">
        <v>19</v>
      </c>
      <c r="AA1282">
        <v>4</v>
      </c>
      <c r="AB1282">
        <v>2</v>
      </c>
      <c r="AC1282">
        <v>10</v>
      </c>
      <c r="AD1282">
        <v>0</v>
      </c>
      <c r="AE1282">
        <v>4</v>
      </c>
      <c r="AF1282">
        <v>7</v>
      </c>
      <c r="AG1282" t="s">
        <v>65</v>
      </c>
      <c r="AH1282">
        <v>0</v>
      </c>
      <c r="AI1282" t="s">
        <v>70</v>
      </c>
      <c r="AJ1282" s="3" t="s">
        <v>83</v>
      </c>
      <c r="AK1282" s="3">
        <v>1</v>
      </c>
      <c r="AL1282" s="3" t="s">
        <v>83</v>
      </c>
    </row>
    <row r="1283" spans="1:38" x14ac:dyDescent="0.3">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v>5813</v>
      </c>
      <c r="S1283">
        <v>13492</v>
      </c>
      <c r="T1283">
        <v>1</v>
      </c>
      <c r="U1283" t="s">
        <v>35</v>
      </c>
      <c r="V1283">
        <v>18</v>
      </c>
      <c r="W1283">
        <v>3</v>
      </c>
      <c r="X1283">
        <v>4</v>
      </c>
      <c r="Y1283">
        <v>0</v>
      </c>
      <c r="Z1283">
        <v>10</v>
      </c>
      <c r="AA1283">
        <v>2</v>
      </c>
      <c r="AB1283">
        <v>3</v>
      </c>
      <c r="AC1283">
        <v>10</v>
      </c>
      <c r="AD1283">
        <v>7</v>
      </c>
      <c r="AE1283">
        <v>7</v>
      </c>
      <c r="AF1283">
        <v>7</v>
      </c>
      <c r="AG1283" t="s">
        <v>65</v>
      </c>
      <c r="AH1283">
        <v>1</v>
      </c>
      <c r="AI1283" t="s">
        <v>71</v>
      </c>
      <c r="AJ1283" s="3" t="s">
        <v>82</v>
      </c>
      <c r="AK1283" s="3">
        <v>1</v>
      </c>
      <c r="AL1283" s="3" t="s">
        <v>83</v>
      </c>
    </row>
    <row r="1284" spans="1:38" x14ac:dyDescent="0.3">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v>3143</v>
      </c>
      <c r="S1284">
        <v>6076</v>
      </c>
      <c r="T1284">
        <v>6</v>
      </c>
      <c r="U1284" t="s">
        <v>43</v>
      </c>
      <c r="V1284">
        <v>19</v>
      </c>
      <c r="W1284">
        <v>3</v>
      </c>
      <c r="X1284">
        <v>2</v>
      </c>
      <c r="Y1284">
        <v>1</v>
      </c>
      <c r="Z1284">
        <v>14</v>
      </c>
      <c r="AA1284">
        <v>1</v>
      </c>
      <c r="AB1284">
        <v>3</v>
      </c>
      <c r="AC1284">
        <v>10</v>
      </c>
      <c r="AD1284">
        <v>8</v>
      </c>
      <c r="AE1284">
        <v>7</v>
      </c>
      <c r="AF1284">
        <v>6</v>
      </c>
      <c r="AG1284" t="s">
        <v>65</v>
      </c>
      <c r="AH1284">
        <v>0</v>
      </c>
      <c r="AI1284" t="s">
        <v>71</v>
      </c>
      <c r="AJ1284" s="3" t="s">
        <v>83</v>
      </c>
      <c r="AK1284" s="3">
        <v>1</v>
      </c>
      <c r="AL1284" s="3" t="s">
        <v>83</v>
      </c>
    </row>
    <row r="1285" spans="1:38" x14ac:dyDescent="0.3">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v>2044</v>
      </c>
      <c r="S1285">
        <v>5531</v>
      </c>
      <c r="T1285">
        <v>1</v>
      </c>
      <c r="U1285" t="s">
        <v>43</v>
      </c>
      <c r="V1285">
        <v>11</v>
      </c>
      <c r="W1285">
        <v>3</v>
      </c>
      <c r="X1285">
        <v>3</v>
      </c>
      <c r="Y1285">
        <v>1</v>
      </c>
      <c r="Z1285">
        <v>5</v>
      </c>
      <c r="AA1285">
        <v>6</v>
      </c>
      <c r="AB1285">
        <v>4</v>
      </c>
      <c r="AC1285">
        <v>5</v>
      </c>
      <c r="AD1285">
        <v>3</v>
      </c>
      <c r="AE1285">
        <v>0</v>
      </c>
      <c r="AF1285">
        <v>3</v>
      </c>
      <c r="AG1285" t="s">
        <v>68</v>
      </c>
      <c r="AH1285">
        <v>0</v>
      </c>
      <c r="AI1285" t="s">
        <v>71</v>
      </c>
      <c r="AJ1285" s="3" t="s">
        <v>82</v>
      </c>
      <c r="AK1285" s="3">
        <v>0</v>
      </c>
      <c r="AL1285" s="3" t="s">
        <v>83</v>
      </c>
    </row>
    <row r="1286" spans="1:38" x14ac:dyDescent="0.3">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v>13464</v>
      </c>
      <c r="S1286">
        <v>7914</v>
      </c>
      <c r="T1286">
        <v>7</v>
      </c>
      <c r="U1286" t="s">
        <v>43</v>
      </c>
      <c r="V1286">
        <v>21</v>
      </c>
      <c r="W1286">
        <v>4</v>
      </c>
      <c r="X1286">
        <v>3</v>
      </c>
      <c r="Y1286">
        <v>0</v>
      </c>
      <c r="Z1286">
        <v>9</v>
      </c>
      <c r="AA1286">
        <v>3</v>
      </c>
      <c r="AB1286">
        <v>3</v>
      </c>
      <c r="AC1286">
        <v>4</v>
      </c>
      <c r="AD1286">
        <v>3</v>
      </c>
      <c r="AE1286">
        <v>2</v>
      </c>
      <c r="AF1286">
        <v>2</v>
      </c>
      <c r="AG1286" t="s">
        <v>68</v>
      </c>
      <c r="AH1286">
        <v>0</v>
      </c>
      <c r="AI1286" t="s">
        <v>72</v>
      </c>
      <c r="AJ1286" s="3" t="s">
        <v>84</v>
      </c>
      <c r="AK1286" s="3">
        <v>0</v>
      </c>
      <c r="AL1286" s="3" t="s">
        <v>83</v>
      </c>
    </row>
    <row r="1287" spans="1:38" x14ac:dyDescent="0.3">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v>7991</v>
      </c>
      <c r="S1287">
        <v>25166</v>
      </c>
      <c r="T1287">
        <v>8</v>
      </c>
      <c r="U1287" t="s">
        <v>43</v>
      </c>
      <c r="V1287">
        <v>15</v>
      </c>
      <c r="W1287">
        <v>3</v>
      </c>
      <c r="X1287">
        <v>3</v>
      </c>
      <c r="Y1287">
        <v>0</v>
      </c>
      <c r="Z1287">
        <v>6</v>
      </c>
      <c r="AA1287">
        <v>3</v>
      </c>
      <c r="AB1287">
        <v>3</v>
      </c>
      <c r="AC1287">
        <v>2</v>
      </c>
      <c r="AD1287">
        <v>2</v>
      </c>
      <c r="AE1287">
        <v>2</v>
      </c>
      <c r="AF1287">
        <v>2</v>
      </c>
      <c r="AG1287" t="s">
        <v>67</v>
      </c>
      <c r="AH1287">
        <v>0</v>
      </c>
      <c r="AI1287" t="s">
        <v>71</v>
      </c>
      <c r="AJ1287" s="3" t="s">
        <v>83</v>
      </c>
      <c r="AK1287" s="3">
        <v>2</v>
      </c>
      <c r="AL1287" s="3" t="s">
        <v>84</v>
      </c>
    </row>
    <row r="1288" spans="1:38" x14ac:dyDescent="0.3">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v>3377</v>
      </c>
      <c r="S1288">
        <v>25605</v>
      </c>
      <c r="T1288">
        <v>4</v>
      </c>
      <c r="U1288" t="s">
        <v>43</v>
      </c>
      <c r="V1288">
        <v>17</v>
      </c>
      <c r="W1288">
        <v>3</v>
      </c>
      <c r="X1288">
        <v>4</v>
      </c>
      <c r="Y1288">
        <v>1</v>
      </c>
      <c r="Z1288">
        <v>7</v>
      </c>
      <c r="AA1288">
        <v>5</v>
      </c>
      <c r="AB1288">
        <v>2</v>
      </c>
      <c r="AC1288">
        <v>4</v>
      </c>
      <c r="AD1288">
        <v>3</v>
      </c>
      <c r="AE1288">
        <v>0</v>
      </c>
      <c r="AF1288">
        <v>2</v>
      </c>
      <c r="AG1288" t="s">
        <v>68</v>
      </c>
      <c r="AH1288">
        <v>0</v>
      </c>
      <c r="AI1288" t="s">
        <v>70</v>
      </c>
      <c r="AJ1288" s="3" t="s">
        <v>83</v>
      </c>
      <c r="AK1288" s="3">
        <v>1</v>
      </c>
      <c r="AL1288" s="3" t="s">
        <v>83</v>
      </c>
    </row>
    <row r="1289" spans="1:38" x14ac:dyDescent="0.3">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v>5538</v>
      </c>
      <c r="S1289">
        <v>5696</v>
      </c>
      <c r="T1289">
        <v>5</v>
      </c>
      <c r="U1289" t="s">
        <v>43</v>
      </c>
      <c r="V1289">
        <v>18</v>
      </c>
      <c r="W1289">
        <v>3</v>
      </c>
      <c r="X1289">
        <v>3</v>
      </c>
      <c r="Y1289">
        <v>2</v>
      </c>
      <c r="Z1289">
        <v>10</v>
      </c>
      <c r="AA1289">
        <v>2</v>
      </c>
      <c r="AB1289">
        <v>2</v>
      </c>
      <c r="AC1289">
        <v>0</v>
      </c>
      <c r="AD1289">
        <v>0</v>
      </c>
      <c r="AE1289">
        <v>0</v>
      </c>
      <c r="AF1289">
        <v>0</v>
      </c>
      <c r="AG1289" t="s">
        <v>66</v>
      </c>
      <c r="AH1289">
        <v>0</v>
      </c>
      <c r="AI1289" t="s">
        <v>70</v>
      </c>
      <c r="AJ1289" s="3" t="s">
        <v>83</v>
      </c>
      <c r="AK1289" s="3">
        <v>2</v>
      </c>
      <c r="AL1289" s="3" t="s">
        <v>84</v>
      </c>
    </row>
    <row r="1290" spans="1:38" x14ac:dyDescent="0.3">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v>5762</v>
      </c>
      <c r="S1290">
        <v>24442</v>
      </c>
      <c r="T1290">
        <v>2</v>
      </c>
      <c r="U1290" t="s">
        <v>43</v>
      </c>
      <c r="V1290">
        <v>14</v>
      </c>
      <c r="W1290">
        <v>3</v>
      </c>
      <c r="X1290">
        <v>3</v>
      </c>
      <c r="Y1290">
        <v>1</v>
      </c>
      <c r="Z1290">
        <v>15</v>
      </c>
      <c r="AA1290">
        <v>6</v>
      </c>
      <c r="AB1290">
        <v>3</v>
      </c>
      <c r="AC1290">
        <v>7</v>
      </c>
      <c r="AD1290">
        <v>7</v>
      </c>
      <c r="AE1290">
        <v>1</v>
      </c>
      <c r="AF1290">
        <v>7</v>
      </c>
      <c r="AG1290" t="s">
        <v>65</v>
      </c>
      <c r="AH1290">
        <v>0</v>
      </c>
      <c r="AI1290" t="s">
        <v>70</v>
      </c>
      <c r="AJ1290" s="3" t="s">
        <v>82</v>
      </c>
      <c r="AK1290" s="3">
        <v>0</v>
      </c>
      <c r="AL1290" s="3" t="s">
        <v>83</v>
      </c>
    </row>
    <row r="1291" spans="1:38" x14ac:dyDescent="0.3">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v>2592</v>
      </c>
      <c r="S1291">
        <v>7129</v>
      </c>
      <c r="T1291">
        <v>5</v>
      </c>
      <c r="U1291" t="s">
        <v>43</v>
      </c>
      <c r="V1291">
        <v>13</v>
      </c>
      <c r="W1291">
        <v>3</v>
      </c>
      <c r="X1291">
        <v>4</v>
      </c>
      <c r="Y1291">
        <v>3</v>
      </c>
      <c r="Z1291">
        <v>13</v>
      </c>
      <c r="AA1291">
        <v>3</v>
      </c>
      <c r="AB1291">
        <v>3</v>
      </c>
      <c r="AC1291">
        <v>11</v>
      </c>
      <c r="AD1291">
        <v>10</v>
      </c>
      <c r="AE1291">
        <v>3</v>
      </c>
      <c r="AF1291">
        <v>8</v>
      </c>
      <c r="AG1291" t="s">
        <v>65</v>
      </c>
      <c r="AH1291">
        <v>0</v>
      </c>
      <c r="AI1291" t="s">
        <v>71</v>
      </c>
      <c r="AJ1291" s="3" t="s">
        <v>83</v>
      </c>
      <c r="AK1291" s="3">
        <v>1</v>
      </c>
      <c r="AL1291" s="3" t="s">
        <v>83</v>
      </c>
    </row>
    <row r="1292" spans="1:38" x14ac:dyDescent="0.3">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v>5346</v>
      </c>
      <c r="S1292">
        <v>6208</v>
      </c>
      <c r="T1292">
        <v>4</v>
      </c>
      <c r="U1292" t="s">
        <v>43</v>
      </c>
      <c r="V1292">
        <v>17</v>
      </c>
      <c r="W1292">
        <v>3</v>
      </c>
      <c r="X1292">
        <v>3</v>
      </c>
      <c r="Y1292">
        <v>1</v>
      </c>
      <c r="Z1292">
        <v>11</v>
      </c>
      <c r="AA1292">
        <v>3</v>
      </c>
      <c r="AB1292">
        <v>2</v>
      </c>
      <c r="AC1292">
        <v>7</v>
      </c>
      <c r="AD1292">
        <v>1</v>
      </c>
      <c r="AE1292">
        <v>0</v>
      </c>
      <c r="AF1292">
        <v>7</v>
      </c>
      <c r="AG1292" t="s">
        <v>65</v>
      </c>
      <c r="AH1292">
        <v>1</v>
      </c>
      <c r="AI1292" t="s">
        <v>71</v>
      </c>
      <c r="AJ1292" s="3" t="s">
        <v>83</v>
      </c>
      <c r="AK1292" s="3">
        <v>1</v>
      </c>
      <c r="AL1292" s="3" t="s">
        <v>83</v>
      </c>
    </row>
    <row r="1293" spans="1:38" x14ac:dyDescent="0.3">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v>4213</v>
      </c>
      <c r="S1293">
        <v>4992</v>
      </c>
      <c r="T1293">
        <v>1</v>
      </c>
      <c r="U1293" t="s">
        <v>43</v>
      </c>
      <c r="V1293">
        <v>15</v>
      </c>
      <c r="W1293">
        <v>3</v>
      </c>
      <c r="X1293">
        <v>2</v>
      </c>
      <c r="Y1293">
        <v>0</v>
      </c>
      <c r="Z1293">
        <v>10</v>
      </c>
      <c r="AA1293">
        <v>4</v>
      </c>
      <c r="AB1293">
        <v>1</v>
      </c>
      <c r="AC1293">
        <v>10</v>
      </c>
      <c r="AD1293">
        <v>3</v>
      </c>
      <c r="AE1293">
        <v>0</v>
      </c>
      <c r="AF1293">
        <v>8</v>
      </c>
      <c r="AG1293" t="s">
        <v>65</v>
      </c>
      <c r="AH1293">
        <v>1</v>
      </c>
      <c r="AI1293" t="s">
        <v>71</v>
      </c>
      <c r="AJ1293" s="3" t="s">
        <v>83</v>
      </c>
      <c r="AK1293" s="3">
        <v>1</v>
      </c>
      <c r="AL1293" s="3" t="s">
        <v>83</v>
      </c>
    </row>
    <row r="1294" spans="1:38" x14ac:dyDescent="0.3">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v>4127</v>
      </c>
      <c r="S1294">
        <v>19188</v>
      </c>
      <c r="T1294">
        <v>2</v>
      </c>
      <c r="U1294" t="s">
        <v>43</v>
      </c>
      <c r="V1294">
        <v>18</v>
      </c>
      <c r="W1294">
        <v>3</v>
      </c>
      <c r="X1294">
        <v>4</v>
      </c>
      <c r="Y1294">
        <v>1</v>
      </c>
      <c r="Z1294">
        <v>7</v>
      </c>
      <c r="AA1294">
        <v>6</v>
      </c>
      <c r="AB1294">
        <v>3</v>
      </c>
      <c r="AC1294">
        <v>2</v>
      </c>
      <c r="AD1294">
        <v>1</v>
      </c>
      <c r="AE1294">
        <v>2</v>
      </c>
      <c r="AF1294">
        <v>2</v>
      </c>
      <c r="AG1294" t="s">
        <v>67</v>
      </c>
      <c r="AH1294">
        <v>0</v>
      </c>
      <c r="AI1294" t="s">
        <v>71</v>
      </c>
      <c r="AJ1294" s="3" t="s">
        <v>82</v>
      </c>
      <c r="AK1294" s="3">
        <v>1</v>
      </c>
      <c r="AL1294" s="3" t="s">
        <v>83</v>
      </c>
    </row>
    <row r="1295" spans="1:38" x14ac:dyDescent="0.3">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v>2438</v>
      </c>
      <c r="S1295">
        <v>24978</v>
      </c>
      <c r="T1295">
        <v>4</v>
      </c>
      <c r="U1295" t="s">
        <v>43</v>
      </c>
      <c r="V1295">
        <v>13</v>
      </c>
      <c r="W1295">
        <v>3</v>
      </c>
      <c r="X1295">
        <v>3</v>
      </c>
      <c r="Y1295">
        <v>0</v>
      </c>
      <c r="Z1295">
        <v>7</v>
      </c>
      <c r="AA1295">
        <v>2</v>
      </c>
      <c r="AB1295">
        <v>2</v>
      </c>
      <c r="AC1295">
        <v>3</v>
      </c>
      <c r="AD1295">
        <v>2</v>
      </c>
      <c r="AE1295">
        <v>1</v>
      </c>
      <c r="AF1295">
        <v>2</v>
      </c>
      <c r="AG1295" t="s">
        <v>67</v>
      </c>
      <c r="AH1295">
        <v>0</v>
      </c>
      <c r="AI1295" t="s">
        <v>71</v>
      </c>
      <c r="AJ1295" s="3" t="s">
        <v>84</v>
      </c>
      <c r="AK1295" s="3">
        <v>1</v>
      </c>
      <c r="AL1295" s="3" t="s">
        <v>83</v>
      </c>
    </row>
    <row r="1296" spans="1:38" x14ac:dyDescent="0.3">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v>6870</v>
      </c>
      <c r="S1296">
        <v>15530</v>
      </c>
      <c r="T1296">
        <v>3</v>
      </c>
      <c r="U1296" t="s">
        <v>43</v>
      </c>
      <c r="V1296">
        <v>12</v>
      </c>
      <c r="W1296">
        <v>3</v>
      </c>
      <c r="X1296">
        <v>1</v>
      </c>
      <c r="Y1296">
        <v>0</v>
      </c>
      <c r="Z1296">
        <v>11</v>
      </c>
      <c r="AA1296">
        <v>3</v>
      </c>
      <c r="AB1296">
        <v>1</v>
      </c>
      <c r="AC1296">
        <v>3</v>
      </c>
      <c r="AD1296">
        <v>2</v>
      </c>
      <c r="AE1296">
        <v>1</v>
      </c>
      <c r="AF1296">
        <v>2</v>
      </c>
      <c r="AG1296" t="s">
        <v>67</v>
      </c>
      <c r="AH1296">
        <v>0</v>
      </c>
      <c r="AI1296" t="s">
        <v>70</v>
      </c>
      <c r="AJ1296" s="3" t="s">
        <v>83</v>
      </c>
      <c r="AK1296" s="3">
        <v>2</v>
      </c>
      <c r="AL1296" s="3" t="s">
        <v>84</v>
      </c>
    </row>
    <row r="1297" spans="1:38" x14ac:dyDescent="0.3">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v>10447</v>
      </c>
      <c r="S1297">
        <v>26458</v>
      </c>
      <c r="T1297">
        <v>0</v>
      </c>
      <c r="U1297" t="s">
        <v>35</v>
      </c>
      <c r="V1297">
        <v>13</v>
      </c>
      <c r="W1297">
        <v>3</v>
      </c>
      <c r="X1297">
        <v>4</v>
      </c>
      <c r="Y1297">
        <v>1</v>
      </c>
      <c r="Z1297">
        <v>23</v>
      </c>
      <c r="AA1297">
        <v>3</v>
      </c>
      <c r="AB1297">
        <v>4</v>
      </c>
      <c r="AC1297">
        <v>22</v>
      </c>
      <c r="AD1297">
        <v>14</v>
      </c>
      <c r="AE1297">
        <v>13</v>
      </c>
      <c r="AF1297">
        <v>5</v>
      </c>
      <c r="AG1297" t="s">
        <v>65</v>
      </c>
      <c r="AH1297">
        <v>0</v>
      </c>
      <c r="AI1297" t="s">
        <v>70</v>
      </c>
      <c r="AJ1297" s="3" t="s">
        <v>84</v>
      </c>
      <c r="AK1297" s="3">
        <v>1</v>
      </c>
      <c r="AL1297" s="3" t="s">
        <v>83</v>
      </c>
    </row>
    <row r="1298" spans="1:38" x14ac:dyDescent="0.3">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v>9667</v>
      </c>
      <c r="S1298">
        <v>2739</v>
      </c>
      <c r="T1298">
        <v>9</v>
      </c>
      <c r="U1298" t="s">
        <v>43</v>
      </c>
      <c r="V1298">
        <v>14</v>
      </c>
      <c r="W1298">
        <v>3</v>
      </c>
      <c r="X1298">
        <v>2</v>
      </c>
      <c r="Y1298">
        <v>0</v>
      </c>
      <c r="Z1298">
        <v>9</v>
      </c>
      <c r="AA1298">
        <v>3</v>
      </c>
      <c r="AB1298">
        <v>3</v>
      </c>
      <c r="AC1298">
        <v>7</v>
      </c>
      <c r="AD1298">
        <v>7</v>
      </c>
      <c r="AE1298">
        <v>0</v>
      </c>
      <c r="AF1298">
        <v>2</v>
      </c>
      <c r="AG1298" t="s">
        <v>65</v>
      </c>
      <c r="AH1298">
        <v>0</v>
      </c>
      <c r="AI1298" t="s">
        <v>70</v>
      </c>
      <c r="AJ1298" s="3" t="s">
        <v>84</v>
      </c>
      <c r="AK1298" s="3">
        <v>0</v>
      </c>
      <c r="AL1298" s="3" t="s">
        <v>83</v>
      </c>
    </row>
    <row r="1299" spans="1:38" x14ac:dyDescent="0.3">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v>2148</v>
      </c>
      <c r="S1299">
        <v>6889</v>
      </c>
      <c r="T1299">
        <v>0</v>
      </c>
      <c r="U1299" t="s">
        <v>35</v>
      </c>
      <c r="V1299">
        <v>11</v>
      </c>
      <c r="W1299">
        <v>3</v>
      </c>
      <c r="X1299">
        <v>3</v>
      </c>
      <c r="Y1299">
        <v>0</v>
      </c>
      <c r="Z1299">
        <v>6</v>
      </c>
      <c r="AA1299">
        <v>3</v>
      </c>
      <c r="AB1299">
        <v>3</v>
      </c>
      <c r="AC1299">
        <v>5</v>
      </c>
      <c r="AD1299">
        <v>1</v>
      </c>
      <c r="AE1299">
        <v>1</v>
      </c>
      <c r="AF1299">
        <v>4</v>
      </c>
      <c r="AG1299" t="s">
        <v>68</v>
      </c>
      <c r="AH1299">
        <v>1</v>
      </c>
      <c r="AI1299" t="s">
        <v>71</v>
      </c>
      <c r="AJ1299" s="3" t="s">
        <v>83</v>
      </c>
      <c r="AK1299" s="3">
        <v>2</v>
      </c>
      <c r="AL1299" s="3" t="s">
        <v>84</v>
      </c>
    </row>
    <row r="1300" spans="1:38" x14ac:dyDescent="0.3">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v>8926</v>
      </c>
      <c r="S1300">
        <v>10842</v>
      </c>
      <c r="T1300">
        <v>4</v>
      </c>
      <c r="U1300" t="s">
        <v>43</v>
      </c>
      <c r="V1300">
        <v>22</v>
      </c>
      <c r="W1300">
        <v>4</v>
      </c>
      <c r="X1300">
        <v>4</v>
      </c>
      <c r="Y1300">
        <v>1</v>
      </c>
      <c r="Z1300">
        <v>13</v>
      </c>
      <c r="AA1300">
        <v>2</v>
      </c>
      <c r="AB1300">
        <v>4</v>
      </c>
      <c r="AC1300">
        <v>9</v>
      </c>
      <c r="AD1300">
        <v>7</v>
      </c>
      <c r="AE1300">
        <v>3</v>
      </c>
      <c r="AF1300">
        <v>7</v>
      </c>
      <c r="AG1300" t="s">
        <v>65</v>
      </c>
      <c r="AH1300">
        <v>1</v>
      </c>
      <c r="AI1300" t="s">
        <v>72</v>
      </c>
      <c r="AJ1300" s="3" t="s">
        <v>83</v>
      </c>
      <c r="AK1300" s="3">
        <v>1</v>
      </c>
      <c r="AL1300" s="3" t="s">
        <v>83</v>
      </c>
    </row>
    <row r="1301" spans="1:38" x14ac:dyDescent="0.3">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v>6513</v>
      </c>
      <c r="S1301">
        <v>9060</v>
      </c>
      <c r="T1301">
        <v>4</v>
      </c>
      <c r="U1301" t="s">
        <v>43</v>
      </c>
      <c r="V1301">
        <v>17</v>
      </c>
      <c r="W1301">
        <v>3</v>
      </c>
      <c r="X1301">
        <v>4</v>
      </c>
      <c r="Y1301">
        <v>1</v>
      </c>
      <c r="Z1301">
        <v>12</v>
      </c>
      <c r="AA1301">
        <v>3</v>
      </c>
      <c r="AB1301">
        <v>3</v>
      </c>
      <c r="AC1301">
        <v>5</v>
      </c>
      <c r="AD1301">
        <v>3</v>
      </c>
      <c r="AE1301">
        <v>0</v>
      </c>
      <c r="AF1301">
        <v>3</v>
      </c>
      <c r="AG1301" t="s">
        <v>68</v>
      </c>
      <c r="AH1301">
        <v>0</v>
      </c>
      <c r="AI1301" t="s">
        <v>70</v>
      </c>
      <c r="AJ1301" s="3" t="s">
        <v>82</v>
      </c>
      <c r="AK1301" s="3">
        <v>0</v>
      </c>
      <c r="AL1301" s="3" t="s">
        <v>83</v>
      </c>
    </row>
    <row r="1302" spans="1:38" x14ac:dyDescent="0.3">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v>6799</v>
      </c>
      <c r="S1302">
        <v>22128</v>
      </c>
      <c r="T1302">
        <v>1</v>
      </c>
      <c r="U1302" t="s">
        <v>43</v>
      </c>
      <c r="V1302">
        <v>21</v>
      </c>
      <c r="W1302">
        <v>4</v>
      </c>
      <c r="X1302">
        <v>3</v>
      </c>
      <c r="Y1302">
        <v>2</v>
      </c>
      <c r="Z1302">
        <v>10</v>
      </c>
      <c r="AA1302">
        <v>5</v>
      </c>
      <c r="AB1302">
        <v>3</v>
      </c>
      <c r="AC1302">
        <v>10</v>
      </c>
      <c r="AD1302">
        <v>8</v>
      </c>
      <c r="AE1302">
        <v>4</v>
      </c>
      <c r="AF1302">
        <v>8</v>
      </c>
      <c r="AG1302" t="s">
        <v>65</v>
      </c>
      <c r="AH1302">
        <v>0</v>
      </c>
      <c r="AI1302" t="s">
        <v>70</v>
      </c>
      <c r="AJ1302" s="3" t="s">
        <v>84</v>
      </c>
      <c r="AK1302" s="3">
        <v>0</v>
      </c>
      <c r="AL1302" s="3" t="s">
        <v>83</v>
      </c>
    </row>
    <row r="1303" spans="1:38" x14ac:dyDescent="0.3">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v>16291</v>
      </c>
      <c r="S1303">
        <v>22577</v>
      </c>
      <c r="T1303">
        <v>4</v>
      </c>
      <c r="U1303" t="s">
        <v>43</v>
      </c>
      <c r="V1303">
        <v>22</v>
      </c>
      <c r="W1303">
        <v>4</v>
      </c>
      <c r="X1303">
        <v>4</v>
      </c>
      <c r="Y1303">
        <v>1</v>
      </c>
      <c r="Z1303">
        <v>37</v>
      </c>
      <c r="AA1303">
        <v>0</v>
      </c>
      <c r="AB1303">
        <v>2</v>
      </c>
      <c r="AC1303">
        <v>16</v>
      </c>
      <c r="AD1303">
        <v>9</v>
      </c>
      <c r="AE1303">
        <v>14</v>
      </c>
      <c r="AF1303">
        <v>14</v>
      </c>
      <c r="AG1303" t="s">
        <v>65</v>
      </c>
      <c r="AH1303">
        <v>0</v>
      </c>
      <c r="AI1303" t="s">
        <v>71</v>
      </c>
      <c r="AJ1303" s="3" t="s">
        <v>83</v>
      </c>
      <c r="AK1303" s="3">
        <v>1</v>
      </c>
      <c r="AL1303" s="3" t="s">
        <v>83</v>
      </c>
    </row>
    <row r="1304" spans="1:38" x14ac:dyDescent="0.3">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v>2705</v>
      </c>
      <c r="S1304">
        <v>9696</v>
      </c>
      <c r="T1304">
        <v>0</v>
      </c>
      <c r="U1304" t="s">
        <v>43</v>
      </c>
      <c r="V1304">
        <v>16</v>
      </c>
      <c r="W1304">
        <v>3</v>
      </c>
      <c r="X1304">
        <v>2</v>
      </c>
      <c r="Y1304">
        <v>1</v>
      </c>
      <c r="Z1304">
        <v>6</v>
      </c>
      <c r="AA1304">
        <v>2</v>
      </c>
      <c r="AB1304">
        <v>4</v>
      </c>
      <c r="AC1304">
        <v>5</v>
      </c>
      <c r="AD1304">
        <v>4</v>
      </c>
      <c r="AE1304">
        <v>0</v>
      </c>
      <c r="AF1304">
        <v>3</v>
      </c>
      <c r="AG1304" t="s">
        <v>68</v>
      </c>
      <c r="AH1304">
        <v>0</v>
      </c>
      <c r="AI1304" t="s">
        <v>69</v>
      </c>
      <c r="AJ1304" s="3" t="s">
        <v>84</v>
      </c>
      <c r="AK1304" s="3">
        <v>0</v>
      </c>
      <c r="AL1304" s="3" t="s">
        <v>83</v>
      </c>
    </row>
    <row r="1305" spans="1:38" x14ac:dyDescent="0.3">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v>10333</v>
      </c>
      <c r="S1305">
        <v>19271</v>
      </c>
      <c r="T1305">
        <v>8</v>
      </c>
      <c r="U1305" t="s">
        <v>35</v>
      </c>
      <c r="V1305">
        <v>12</v>
      </c>
      <c r="W1305">
        <v>3</v>
      </c>
      <c r="X1305">
        <v>3</v>
      </c>
      <c r="Y1305">
        <v>1</v>
      </c>
      <c r="Z1305">
        <v>28</v>
      </c>
      <c r="AA1305">
        <v>4</v>
      </c>
      <c r="AB1305">
        <v>3</v>
      </c>
      <c r="AC1305">
        <v>22</v>
      </c>
      <c r="AD1305">
        <v>11</v>
      </c>
      <c r="AE1305">
        <v>14</v>
      </c>
      <c r="AF1305">
        <v>10</v>
      </c>
      <c r="AG1305" t="s">
        <v>65</v>
      </c>
      <c r="AH1305">
        <v>0</v>
      </c>
      <c r="AI1305" t="s">
        <v>71</v>
      </c>
      <c r="AJ1305" s="3" t="s">
        <v>83</v>
      </c>
      <c r="AK1305" s="3">
        <v>2</v>
      </c>
      <c r="AL1305" s="3" t="s">
        <v>84</v>
      </c>
    </row>
    <row r="1306" spans="1:38" x14ac:dyDescent="0.3">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v>4448</v>
      </c>
      <c r="S1306">
        <v>10748</v>
      </c>
      <c r="T1306">
        <v>2</v>
      </c>
      <c r="U1306" t="s">
        <v>43</v>
      </c>
      <c r="V1306">
        <v>12</v>
      </c>
      <c r="W1306">
        <v>3</v>
      </c>
      <c r="X1306">
        <v>2</v>
      </c>
      <c r="Y1306">
        <v>1</v>
      </c>
      <c r="Z1306">
        <v>15</v>
      </c>
      <c r="AA1306">
        <v>3</v>
      </c>
      <c r="AB1306">
        <v>3</v>
      </c>
      <c r="AC1306">
        <v>7</v>
      </c>
      <c r="AD1306">
        <v>4</v>
      </c>
      <c r="AE1306">
        <v>7</v>
      </c>
      <c r="AF1306">
        <v>7</v>
      </c>
      <c r="AG1306" t="s">
        <v>65</v>
      </c>
      <c r="AH1306">
        <v>0</v>
      </c>
      <c r="AI1306" t="s">
        <v>70</v>
      </c>
      <c r="AJ1306" s="3" t="s">
        <v>83</v>
      </c>
      <c r="AK1306" s="3">
        <v>1</v>
      </c>
      <c r="AL1306" s="3" t="s">
        <v>83</v>
      </c>
    </row>
    <row r="1307" spans="1:38" x14ac:dyDescent="0.3">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v>6854</v>
      </c>
      <c r="S1307">
        <v>15696</v>
      </c>
      <c r="T1307">
        <v>4</v>
      </c>
      <c r="U1307" t="s">
        <v>43</v>
      </c>
      <c r="V1307">
        <v>15</v>
      </c>
      <c r="W1307">
        <v>3</v>
      </c>
      <c r="X1307">
        <v>2</v>
      </c>
      <c r="Y1307">
        <v>1</v>
      </c>
      <c r="Z1307">
        <v>14</v>
      </c>
      <c r="AA1307">
        <v>2</v>
      </c>
      <c r="AB1307">
        <v>2</v>
      </c>
      <c r="AC1307">
        <v>7</v>
      </c>
      <c r="AD1307">
        <v>1</v>
      </c>
      <c r="AE1307">
        <v>1</v>
      </c>
      <c r="AF1307">
        <v>7</v>
      </c>
      <c r="AG1307" t="s">
        <v>65</v>
      </c>
      <c r="AH1307">
        <v>0</v>
      </c>
      <c r="AI1307" t="s">
        <v>70</v>
      </c>
      <c r="AJ1307" s="3" t="s">
        <v>82</v>
      </c>
      <c r="AK1307" s="3">
        <v>0</v>
      </c>
      <c r="AL1307" s="3" t="s">
        <v>83</v>
      </c>
    </row>
    <row r="1308" spans="1:38" x14ac:dyDescent="0.3">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v>9637</v>
      </c>
      <c r="S1308">
        <v>8277</v>
      </c>
      <c r="T1308">
        <v>2</v>
      </c>
      <c r="U1308" t="s">
        <v>43</v>
      </c>
      <c r="V1308">
        <v>14</v>
      </c>
      <c r="W1308">
        <v>3</v>
      </c>
      <c r="X1308">
        <v>4</v>
      </c>
      <c r="Y1308">
        <v>2</v>
      </c>
      <c r="Z1308">
        <v>9</v>
      </c>
      <c r="AA1308">
        <v>3</v>
      </c>
      <c r="AB1308">
        <v>3</v>
      </c>
      <c r="AC1308">
        <v>3</v>
      </c>
      <c r="AD1308">
        <v>2</v>
      </c>
      <c r="AE1308">
        <v>2</v>
      </c>
      <c r="AF1308">
        <v>2</v>
      </c>
      <c r="AG1308" t="s">
        <v>67</v>
      </c>
      <c r="AH1308">
        <v>0</v>
      </c>
      <c r="AI1308" t="s">
        <v>69</v>
      </c>
      <c r="AJ1308" s="3" t="s">
        <v>83</v>
      </c>
      <c r="AK1308" s="3">
        <v>2</v>
      </c>
      <c r="AL1308" s="3" t="s">
        <v>84</v>
      </c>
    </row>
    <row r="1309" spans="1:38" x14ac:dyDescent="0.3">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v>3591</v>
      </c>
      <c r="S1309">
        <v>12719</v>
      </c>
      <c r="T1309">
        <v>1</v>
      </c>
      <c r="U1309" t="s">
        <v>43</v>
      </c>
      <c r="V1309">
        <v>25</v>
      </c>
      <c r="W1309">
        <v>4</v>
      </c>
      <c r="X1309">
        <v>3</v>
      </c>
      <c r="Y1309">
        <v>1</v>
      </c>
      <c r="Z1309">
        <v>3</v>
      </c>
      <c r="AA1309">
        <v>3</v>
      </c>
      <c r="AB1309">
        <v>3</v>
      </c>
      <c r="AC1309">
        <v>3</v>
      </c>
      <c r="AD1309">
        <v>2</v>
      </c>
      <c r="AE1309">
        <v>1</v>
      </c>
      <c r="AF1309">
        <v>2</v>
      </c>
      <c r="AG1309" t="s">
        <v>67</v>
      </c>
      <c r="AH1309">
        <v>0</v>
      </c>
      <c r="AI1309" t="s">
        <v>71</v>
      </c>
      <c r="AJ1309" s="3" t="s">
        <v>83</v>
      </c>
      <c r="AK1309" s="3">
        <v>2</v>
      </c>
      <c r="AL1309" s="3" t="s">
        <v>84</v>
      </c>
    </row>
    <row r="1310" spans="1:38" x14ac:dyDescent="0.3">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v>5405</v>
      </c>
      <c r="S1310">
        <v>4244</v>
      </c>
      <c r="T1310">
        <v>2</v>
      </c>
      <c r="U1310" t="s">
        <v>35</v>
      </c>
      <c r="V1310">
        <v>20</v>
      </c>
      <c r="W1310">
        <v>4</v>
      </c>
      <c r="X1310">
        <v>1</v>
      </c>
      <c r="Y1310">
        <v>2</v>
      </c>
      <c r="Z1310">
        <v>20</v>
      </c>
      <c r="AA1310">
        <v>4</v>
      </c>
      <c r="AB1310">
        <v>2</v>
      </c>
      <c r="AC1310">
        <v>4</v>
      </c>
      <c r="AD1310">
        <v>2</v>
      </c>
      <c r="AE1310">
        <v>0</v>
      </c>
      <c r="AF1310">
        <v>3</v>
      </c>
      <c r="AG1310" t="s">
        <v>68</v>
      </c>
      <c r="AH1310">
        <v>0</v>
      </c>
      <c r="AI1310" t="s">
        <v>72</v>
      </c>
      <c r="AJ1310" s="3" t="s">
        <v>82</v>
      </c>
      <c r="AK1310" s="3">
        <v>1</v>
      </c>
      <c r="AL1310" s="3" t="s">
        <v>83</v>
      </c>
    </row>
    <row r="1311" spans="1:38" x14ac:dyDescent="0.3">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v>4684</v>
      </c>
      <c r="S1311">
        <v>9125</v>
      </c>
      <c r="T1311">
        <v>1</v>
      </c>
      <c r="U1311" t="s">
        <v>43</v>
      </c>
      <c r="V1311">
        <v>13</v>
      </c>
      <c r="W1311">
        <v>3</v>
      </c>
      <c r="X1311">
        <v>1</v>
      </c>
      <c r="Y1311">
        <v>0</v>
      </c>
      <c r="Z1311">
        <v>5</v>
      </c>
      <c r="AA1311">
        <v>4</v>
      </c>
      <c r="AB1311">
        <v>3</v>
      </c>
      <c r="AC1311">
        <v>5</v>
      </c>
      <c r="AD1311">
        <v>3</v>
      </c>
      <c r="AE1311">
        <v>1</v>
      </c>
      <c r="AF1311">
        <v>2</v>
      </c>
      <c r="AG1311" t="s">
        <v>68</v>
      </c>
      <c r="AH1311">
        <v>0</v>
      </c>
      <c r="AI1311" t="s">
        <v>71</v>
      </c>
      <c r="AJ1311" s="3" t="s">
        <v>82</v>
      </c>
      <c r="AK1311" s="3">
        <v>0</v>
      </c>
      <c r="AL1311" s="3" t="s">
        <v>83</v>
      </c>
    </row>
    <row r="1312" spans="1:38" x14ac:dyDescent="0.3">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v>15787</v>
      </c>
      <c r="S1312">
        <v>21624</v>
      </c>
      <c r="T1312">
        <v>2</v>
      </c>
      <c r="U1312" t="s">
        <v>35</v>
      </c>
      <c r="V1312">
        <v>14</v>
      </c>
      <c r="W1312">
        <v>3</v>
      </c>
      <c r="X1312">
        <v>2</v>
      </c>
      <c r="Y1312">
        <v>0</v>
      </c>
      <c r="Z1312">
        <v>23</v>
      </c>
      <c r="AA1312">
        <v>3</v>
      </c>
      <c r="AB1312">
        <v>3</v>
      </c>
      <c r="AC1312">
        <v>2</v>
      </c>
      <c r="AD1312">
        <v>2</v>
      </c>
      <c r="AE1312">
        <v>2</v>
      </c>
      <c r="AF1312">
        <v>2</v>
      </c>
      <c r="AG1312" t="s">
        <v>67</v>
      </c>
      <c r="AH1312">
        <v>0</v>
      </c>
      <c r="AI1312" t="s">
        <v>72</v>
      </c>
      <c r="AJ1312" s="3" t="s">
        <v>84</v>
      </c>
      <c r="AK1312" s="3">
        <v>2</v>
      </c>
      <c r="AL1312" s="3" t="s">
        <v>84</v>
      </c>
    </row>
    <row r="1313" spans="1:38" x14ac:dyDescent="0.3">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v>1514</v>
      </c>
      <c r="S1313">
        <v>8018</v>
      </c>
      <c r="T1313">
        <v>1</v>
      </c>
      <c r="U1313" t="s">
        <v>43</v>
      </c>
      <c r="V1313">
        <v>16</v>
      </c>
      <c r="W1313">
        <v>3</v>
      </c>
      <c r="X1313">
        <v>3</v>
      </c>
      <c r="Y1313">
        <v>0</v>
      </c>
      <c r="Z1313">
        <v>0</v>
      </c>
      <c r="AA1313">
        <v>4</v>
      </c>
      <c r="AB1313">
        <v>1</v>
      </c>
      <c r="AC1313">
        <v>0</v>
      </c>
      <c r="AD1313">
        <v>0</v>
      </c>
      <c r="AE1313">
        <v>0</v>
      </c>
      <c r="AF1313">
        <v>0</v>
      </c>
      <c r="AG1313" t="s">
        <v>66</v>
      </c>
      <c r="AH1313">
        <v>0</v>
      </c>
      <c r="AI1313" t="s">
        <v>69</v>
      </c>
      <c r="AJ1313" s="3" t="s">
        <v>84</v>
      </c>
      <c r="AK1313" s="3">
        <v>1</v>
      </c>
      <c r="AL1313" s="3" t="s">
        <v>83</v>
      </c>
    </row>
    <row r="1314" spans="1:38" x14ac:dyDescent="0.3">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v>2956</v>
      </c>
      <c r="S1314">
        <v>21495</v>
      </c>
      <c r="T1314">
        <v>0</v>
      </c>
      <c r="U1314" t="s">
        <v>43</v>
      </c>
      <c r="V1314">
        <v>17</v>
      </c>
      <c r="W1314">
        <v>3</v>
      </c>
      <c r="X1314">
        <v>3</v>
      </c>
      <c r="Y1314">
        <v>0</v>
      </c>
      <c r="Z1314">
        <v>2</v>
      </c>
      <c r="AA1314">
        <v>4</v>
      </c>
      <c r="AB1314">
        <v>3</v>
      </c>
      <c r="AC1314">
        <v>1</v>
      </c>
      <c r="AD1314">
        <v>0</v>
      </c>
      <c r="AE1314">
        <v>0</v>
      </c>
      <c r="AF1314">
        <v>0</v>
      </c>
      <c r="AG1314" t="s">
        <v>67</v>
      </c>
      <c r="AH1314">
        <v>1</v>
      </c>
      <c r="AI1314" t="s">
        <v>72</v>
      </c>
      <c r="AJ1314" s="3" t="s">
        <v>83</v>
      </c>
      <c r="AK1314" s="3">
        <v>2</v>
      </c>
      <c r="AL1314" s="3" t="s">
        <v>84</v>
      </c>
    </row>
    <row r="1315" spans="1:38" x14ac:dyDescent="0.3">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v>2335</v>
      </c>
      <c r="S1315">
        <v>3157</v>
      </c>
      <c r="T1315">
        <v>4</v>
      </c>
      <c r="U1315" t="s">
        <v>35</v>
      </c>
      <c r="V1315">
        <v>15</v>
      </c>
      <c r="W1315">
        <v>3</v>
      </c>
      <c r="X1315">
        <v>4</v>
      </c>
      <c r="Y1315">
        <v>3</v>
      </c>
      <c r="Z1315">
        <v>4</v>
      </c>
      <c r="AA1315">
        <v>3</v>
      </c>
      <c r="AB1315">
        <v>3</v>
      </c>
      <c r="AC1315">
        <v>2</v>
      </c>
      <c r="AD1315">
        <v>2</v>
      </c>
      <c r="AE1315">
        <v>2</v>
      </c>
      <c r="AF1315">
        <v>0</v>
      </c>
      <c r="AG1315" t="s">
        <v>67</v>
      </c>
      <c r="AH1315">
        <v>1</v>
      </c>
      <c r="AI1315" t="s">
        <v>71</v>
      </c>
      <c r="AJ1315" s="3" t="s">
        <v>83</v>
      </c>
      <c r="AK1315" s="3">
        <v>3</v>
      </c>
      <c r="AL1315" s="3" t="s">
        <v>82</v>
      </c>
    </row>
    <row r="1316" spans="1:38" x14ac:dyDescent="0.3">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v>5154</v>
      </c>
      <c r="S1316">
        <v>19665</v>
      </c>
      <c r="T1316">
        <v>4</v>
      </c>
      <c r="U1316" t="s">
        <v>43</v>
      </c>
      <c r="V1316">
        <v>22</v>
      </c>
      <c r="W1316">
        <v>4</v>
      </c>
      <c r="X1316">
        <v>2</v>
      </c>
      <c r="Y1316">
        <v>2</v>
      </c>
      <c r="Z1316">
        <v>10</v>
      </c>
      <c r="AA1316">
        <v>3</v>
      </c>
      <c r="AB1316">
        <v>4</v>
      </c>
      <c r="AC1316">
        <v>8</v>
      </c>
      <c r="AD1316">
        <v>7</v>
      </c>
      <c r="AE1316">
        <v>5</v>
      </c>
      <c r="AF1316">
        <v>7</v>
      </c>
      <c r="AG1316" t="s">
        <v>65</v>
      </c>
      <c r="AH1316">
        <v>0</v>
      </c>
      <c r="AI1316" t="s">
        <v>72</v>
      </c>
      <c r="AJ1316" s="3" t="s">
        <v>84</v>
      </c>
      <c r="AK1316" s="3">
        <v>0</v>
      </c>
      <c r="AL1316" s="3" t="s">
        <v>83</v>
      </c>
    </row>
    <row r="1317" spans="1:38" x14ac:dyDescent="0.3">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v>6962</v>
      </c>
      <c r="S1317">
        <v>19573</v>
      </c>
      <c r="T1317">
        <v>4</v>
      </c>
      <c r="U1317" t="s">
        <v>35</v>
      </c>
      <c r="V1317">
        <v>22</v>
      </c>
      <c r="W1317">
        <v>4</v>
      </c>
      <c r="X1317">
        <v>4</v>
      </c>
      <c r="Y1317">
        <v>1</v>
      </c>
      <c r="Z1317">
        <v>15</v>
      </c>
      <c r="AA1317">
        <v>2</v>
      </c>
      <c r="AB1317">
        <v>3</v>
      </c>
      <c r="AC1317">
        <v>1</v>
      </c>
      <c r="AD1317">
        <v>0</v>
      </c>
      <c r="AE1317">
        <v>0</v>
      </c>
      <c r="AF1317">
        <v>0</v>
      </c>
      <c r="AG1317" t="s">
        <v>67</v>
      </c>
      <c r="AH1317">
        <v>0</v>
      </c>
      <c r="AI1317" t="s">
        <v>70</v>
      </c>
      <c r="AJ1317" s="3" t="s">
        <v>83</v>
      </c>
      <c r="AK1317" s="3">
        <v>3</v>
      </c>
      <c r="AL1317" s="3" t="s">
        <v>82</v>
      </c>
    </row>
    <row r="1318" spans="1:38" x14ac:dyDescent="0.3">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v>5675</v>
      </c>
      <c r="S1318">
        <v>19246</v>
      </c>
      <c r="T1318">
        <v>1</v>
      </c>
      <c r="U1318" t="s">
        <v>43</v>
      </c>
      <c r="V1318">
        <v>20</v>
      </c>
      <c r="W1318">
        <v>4</v>
      </c>
      <c r="X1318">
        <v>3</v>
      </c>
      <c r="Y1318">
        <v>1</v>
      </c>
      <c r="Z1318">
        <v>7</v>
      </c>
      <c r="AA1318">
        <v>5</v>
      </c>
      <c r="AB1318">
        <v>3</v>
      </c>
      <c r="AC1318">
        <v>7</v>
      </c>
      <c r="AD1318">
        <v>7</v>
      </c>
      <c r="AE1318">
        <v>7</v>
      </c>
      <c r="AF1318">
        <v>7</v>
      </c>
      <c r="AG1318" t="s">
        <v>65</v>
      </c>
      <c r="AH1318">
        <v>0</v>
      </c>
      <c r="AI1318" t="s">
        <v>71</v>
      </c>
      <c r="AJ1318" s="3" t="s">
        <v>82</v>
      </c>
      <c r="AK1318" s="3">
        <v>0</v>
      </c>
      <c r="AL1318" s="3" t="s">
        <v>83</v>
      </c>
    </row>
    <row r="1319" spans="1:38" x14ac:dyDescent="0.3">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v>2379</v>
      </c>
      <c r="S1319">
        <v>19826</v>
      </c>
      <c r="T1319">
        <v>0</v>
      </c>
      <c r="U1319" t="s">
        <v>35</v>
      </c>
      <c r="V1319">
        <v>14</v>
      </c>
      <c r="W1319">
        <v>3</v>
      </c>
      <c r="X1319">
        <v>3</v>
      </c>
      <c r="Y1319">
        <v>0</v>
      </c>
      <c r="Z1319">
        <v>6</v>
      </c>
      <c r="AA1319">
        <v>3</v>
      </c>
      <c r="AB1319">
        <v>2</v>
      </c>
      <c r="AC1319">
        <v>5</v>
      </c>
      <c r="AD1319">
        <v>4</v>
      </c>
      <c r="AE1319">
        <v>0</v>
      </c>
      <c r="AF1319">
        <v>2</v>
      </c>
      <c r="AG1319" t="s">
        <v>68</v>
      </c>
      <c r="AH1319">
        <v>0</v>
      </c>
      <c r="AI1319" t="s">
        <v>70</v>
      </c>
      <c r="AJ1319" s="3" t="s">
        <v>82</v>
      </c>
      <c r="AK1319" s="3">
        <v>1</v>
      </c>
      <c r="AL1319" s="3" t="s">
        <v>83</v>
      </c>
    </row>
    <row r="1320" spans="1:38" x14ac:dyDescent="0.3">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v>3812</v>
      </c>
      <c r="S1320">
        <v>7003</v>
      </c>
      <c r="T1320">
        <v>1</v>
      </c>
      <c r="U1320" t="s">
        <v>43</v>
      </c>
      <c r="V1320">
        <v>13</v>
      </c>
      <c r="W1320">
        <v>3</v>
      </c>
      <c r="X1320">
        <v>2</v>
      </c>
      <c r="Y1320">
        <v>0</v>
      </c>
      <c r="Z1320">
        <v>11</v>
      </c>
      <c r="AA1320">
        <v>3</v>
      </c>
      <c r="AB1320">
        <v>4</v>
      </c>
      <c r="AC1320">
        <v>11</v>
      </c>
      <c r="AD1320">
        <v>8</v>
      </c>
      <c r="AE1320">
        <v>3</v>
      </c>
      <c r="AF1320">
        <v>10</v>
      </c>
      <c r="AG1320" t="s">
        <v>65</v>
      </c>
      <c r="AH1320">
        <v>0</v>
      </c>
      <c r="AI1320" t="s">
        <v>72</v>
      </c>
      <c r="AJ1320" s="3" t="s">
        <v>82</v>
      </c>
      <c r="AK1320" s="3">
        <v>0</v>
      </c>
      <c r="AL1320" s="3" t="s">
        <v>83</v>
      </c>
    </row>
    <row r="1321" spans="1:38" x14ac:dyDescent="0.3">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v>4648</v>
      </c>
      <c r="S1321">
        <v>26075</v>
      </c>
      <c r="T1321">
        <v>8</v>
      </c>
      <c r="U1321" t="s">
        <v>43</v>
      </c>
      <c r="V1321">
        <v>13</v>
      </c>
      <c r="W1321">
        <v>3</v>
      </c>
      <c r="X1321">
        <v>3</v>
      </c>
      <c r="Y1321">
        <v>0</v>
      </c>
      <c r="Z1321">
        <v>4</v>
      </c>
      <c r="AA1321">
        <v>2</v>
      </c>
      <c r="AB1321">
        <v>4</v>
      </c>
      <c r="AC1321">
        <v>0</v>
      </c>
      <c r="AD1321">
        <v>0</v>
      </c>
      <c r="AE1321">
        <v>0</v>
      </c>
      <c r="AF1321">
        <v>0</v>
      </c>
      <c r="AG1321" t="s">
        <v>66</v>
      </c>
      <c r="AH1321">
        <v>0</v>
      </c>
      <c r="AI1321" t="s">
        <v>72</v>
      </c>
      <c r="AJ1321" s="3" t="s">
        <v>82</v>
      </c>
      <c r="AK1321" s="3">
        <v>1</v>
      </c>
      <c r="AL1321" s="3" t="s">
        <v>83</v>
      </c>
    </row>
    <row r="1322" spans="1:38" x14ac:dyDescent="0.3">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v>2936</v>
      </c>
      <c r="S1322">
        <v>6161</v>
      </c>
      <c r="T1322">
        <v>3</v>
      </c>
      <c r="U1322" t="s">
        <v>43</v>
      </c>
      <c r="V1322">
        <v>22</v>
      </c>
      <c r="W1322">
        <v>4</v>
      </c>
      <c r="X1322">
        <v>2</v>
      </c>
      <c r="Y1322">
        <v>2</v>
      </c>
      <c r="Z1322">
        <v>10</v>
      </c>
      <c r="AA1322">
        <v>1</v>
      </c>
      <c r="AB1322">
        <v>2</v>
      </c>
      <c r="AC1322">
        <v>6</v>
      </c>
      <c r="AD1322">
        <v>3</v>
      </c>
      <c r="AE1322">
        <v>3</v>
      </c>
      <c r="AF1322">
        <v>3</v>
      </c>
      <c r="AG1322" t="s">
        <v>65</v>
      </c>
      <c r="AH1322">
        <v>0</v>
      </c>
      <c r="AI1322" t="s">
        <v>71</v>
      </c>
      <c r="AJ1322" s="3" t="s">
        <v>84</v>
      </c>
      <c r="AK1322" s="3">
        <v>0</v>
      </c>
      <c r="AL1322" s="3" t="s">
        <v>83</v>
      </c>
    </row>
    <row r="1323" spans="1:38" x14ac:dyDescent="0.3">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v>2105</v>
      </c>
      <c r="S1323">
        <v>5411</v>
      </c>
      <c r="T1323">
        <v>4</v>
      </c>
      <c r="U1323" t="s">
        <v>43</v>
      </c>
      <c r="V1323">
        <v>12</v>
      </c>
      <c r="W1323">
        <v>3</v>
      </c>
      <c r="X1323">
        <v>3</v>
      </c>
      <c r="Y1323">
        <v>0</v>
      </c>
      <c r="Z1323">
        <v>7</v>
      </c>
      <c r="AA1323">
        <v>2</v>
      </c>
      <c r="AB1323">
        <v>3</v>
      </c>
      <c r="AC1323">
        <v>2</v>
      </c>
      <c r="AD1323">
        <v>2</v>
      </c>
      <c r="AE1323">
        <v>2</v>
      </c>
      <c r="AF1323">
        <v>0</v>
      </c>
      <c r="AG1323" t="s">
        <v>67</v>
      </c>
      <c r="AH1323">
        <v>0</v>
      </c>
      <c r="AI1323" t="s">
        <v>70</v>
      </c>
      <c r="AJ1323" s="3" t="s">
        <v>84</v>
      </c>
      <c r="AK1323" s="3">
        <v>1</v>
      </c>
      <c r="AL1323" s="3" t="s">
        <v>83</v>
      </c>
    </row>
    <row r="1324" spans="1:38" x14ac:dyDescent="0.3">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v>8578</v>
      </c>
      <c r="S1324">
        <v>19989</v>
      </c>
      <c r="T1324">
        <v>3</v>
      </c>
      <c r="U1324" t="s">
        <v>43</v>
      </c>
      <c r="V1324">
        <v>14</v>
      </c>
      <c r="W1324">
        <v>3</v>
      </c>
      <c r="X1324">
        <v>3</v>
      </c>
      <c r="Y1324">
        <v>1</v>
      </c>
      <c r="Z1324">
        <v>12</v>
      </c>
      <c r="AA1324">
        <v>4</v>
      </c>
      <c r="AB1324">
        <v>2</v>
      </c>
      <c r="AC1324">
        <v>9</v>
      </c>
      <c r="AD1324">
        <v>8</v>
      </c>
      <c r="AE1324">
        <v>4</v>
      </c>
      <c r="AF1324">
        <v>7</v>
      </c>
      <c r="AG1324" t="s">
        <v>65</v>
      </c>
      <c r="AH1324">
        <v>0</v>
      </c>
      <c r="AI1324" t="s">
        <v>70</v>
      </c>
      <c r="AJ1324" s="3" t="s">
        <v>82</v>
      </c>
      <c r="AK1324" s="3">
        <v>0</v>
      </c>
      <c r="AL1324" s="3" t="s">
        <v>83</v>
      </c>
    </row>
    <row r="1325" spans="1:38" x14ac:dyDescent="0.3">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v>2706</v>
      </c>
      <c r="S1325">
        <v>10494</v>
      </c>
      <c r="T1325">
        <v>1</v>
      </c>
      <c r="U1325" t="s">
        <v>43</v>
      </c>
      <c r="V1325">
        <v>15</v>
      </c>
      <c r="W1325">
        <v>3</v>
      </c>
      <c r="X1325">
        <v>2</v>
      </c>
      <c r="Y1325">
        <v>1</v>
      </c>
      <c r="Z1325">
        <v>3</v>
      </c>
      <c r="AA1325">
        <v>2</v>
      </c>
      <c r="AB1325">
        <v>3</v>
      </c>
      <c r="AC1325">
        <v>3</v>
      </c>
      <c r="AD1325">
        <v>2</v>
      </c>
      <c r="AE1325">
        <v>2</v>
      </c>
      <c r="AF1325">
        <v>2</v>
      </c>
      <c r="AG1325" t="s">
        <v>67</v>
      </c>
      <c r="AH1325">
        <v>0</v>
      </c>
      <c r="AI1325" t="s">
        <v>70</v>
      </c>
      <c r="AJ1325" s="3" t="s">
        <v>82</v>
      </c>
      <c r="AK1325" s="3">
        <v>1</v>
      </c>
      <c r="AL1325" s="3" t="s">
        <v>83</v>
      </c>
    </row>
    <row r="1326" spans="1:38" x14ac:dyDescent="0.3">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v>6384</v>
      </c>
      <c r="S1326">
        <v>21143</v>
      </c>
      <c r="T1326">
        <v>8</v>
      </c>
      <c r="U1326" t="s">
        <v>43</v>
      </c>
      <c r="V1326">
        <v>17</v>
      </c>
      <c r="W1326">
        <v>3</v>
      </c>
      <c r="X1326">
        <v>4</v>
      </c>
      <c r="Y1326">
        <v>2</v>
      </c>
      <c r="Z1326">
        <v>11</v>
      </c>
      <c r="AA1326">
        <v>3</v>
      </c>
      <c r="AB1326">
        <v>3</v>
      </c>
      <c r="AC1326">
        <v>7</v>
      </c>
      <c r="AD1326">
        <v>0</v>
      </c>
      <c r="AE1326">
        <v>1</v>
      </c>
      <c r="AF1326">
        <v>6</v>
      </c>
      <c r="AG1326" t="s">
        <v>65</v>
      </c>
      <c r="AH1326">
        <v>0</v>
      </c>
      <c r="AI1326" t="s">
        <v>72</v>
      </c>
      <c r="AJ1326" s="3" t="s">
        <v>84</v>
      </c>
      <c r="AK1326" s="3">
        <v>0</v>
      </c>
      <c r="AL1326" s="3" t="s">
        <v>83</v>
      </c>
    </row>
    <row r="1327" spans="1:38" x14ac:dyDescent="0.3">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v>3968</v>
      </c>
      <c r="S1327">
        <v>13624</v>
      </c>
      <c r="T1327">
        <v>4</v>
      </c>
      <c r="U1327" t="s">
        <v>43</v>
      </c>
      <c r="V1327">
        <v>13</v>
      </c>
      <c r="W1327">
        <v>3</v>
      </c>
      <c r="X1327">
        <v>4</v>
      </c>
      <c r="Y1327">
        <v>0</v>
      </c>
      <c r="Z1327">
        <v>8</v>
      </c>
      <c r="AA1327">
        <v>3</v>
      </c>
      <c r="AB1327">
        <v>3</v>
      </c>
      <c r="AC1327">
        <v>0</v>
      </c>
      <c r="AD1327">
        <v>0</v>
      </c>
      <c r="AE1327">
        <v>0</v>
      </c>
      <c r="AF1327">
        <v>0</v>
      </c>
      <c r="AG1327" t="s">
        <v>66</v>
      </c>
      <c r="AH1327">
        <v>0</v>
      </c>
      <c r="AI1327" t="s">
        <v>72</v>
      </c>
      <c r="AJ1327" s="3" t="s">
        <v>84</v>
      </c>
      <c r="AK1327" s="3">
        <v>1</v>
      </c>
      <c r="AL1327" s="3" t="s">
        <v>83</v>
      </c>
    </row>
    <row r="1328" spans="1:38" x14ac:dyDescent="0.3">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v>9907</v>
      </c>
      <c r="S1328">
        <v>26186</v>
      </c>
      <c r="T1328">
        <v>7</v>
      </c>
      <c r="U1328" t="s">
        <v>35</v>
      </c>
      <c r="V1328">
        <v>12</v>
      </c>
      <c r="W1328">
        <v>3</v>
      </c>
      <c r="X1328">
        <v>3</v>
      </c>
      <c r="Y1328">
        <v>0</v>
      </c>
      <c r="Z1328">
        <v>7</v>
      </c>
      <c r="AA1328">
        <v>3</v>
      </c>
      <c r="AB1328">
        <v>2</v>
      </c>
      <c r="AC1328">
        <v>2</v>
      </c>
      <c r="AD1328">
        <v>2</v>
      </c>
      <c r="AE1328">
        <v>2</v>
      </c>
      <c r="AF1328">
        <v>2</v>
      </c>
      <c r="AG1328" t="s">
        <v>67</v>
      </c>
      <c r="AH1328">
        <v>1</v>
      </c>
      <c r="AI1328" t="s">
        <v>70</v>
      </c>
      <c r="AJ1328" s="3" t="s">
        <v>83</v>
      </c>
      <c r="AK1328" s="3">
        <v>3</v>
      </c>
      <c r="AL1328" s="3" t="s">
        <v>82</v>
      </c>
    </row>
    <row r="1329" spans="1:38" x14ac:dyDescent="0.3">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v>13225</v>
      </c>
      <c r="S1329">
        <v>7739</v>
      </c>
      <c r="T1329">
        <v>2</v>
      </c>
      <c r="U1329" t="s">
        <v>43</v>
      </c>
      <c r="V1329">
        <v>12</v>
      </c>
      <c r="W1329">
        <v>3</v>
      </c>
      <c r="X1329">
        <v>4</v>
      </c>
      <c r="Y1329">
        <v>1</v>
      </c>
      <c r="Z1329">
        <v>25</v>
      </c>
      <c r="AA1329">
        <v>5</v>
      </c>
      <c r="AB1329">
        <v>3</v>
      </c>
      <c r="AC1329">
        <v>19</v>
      </c>
      <c r="AD1329">
        <v>17</v>
      </c>
      <c r="AE1329">
        <v>2</v>
      </c>
      <c r="AF1329">
        <v>8</v>
      </c>
      <c r="AG1329" t="s">
        <v>65</v>
      </c>
      <c r="AH1329">
        <v>0</v>
      </c>
      <c r="AI1329" t="s">
        <v>71</v>
      </c>
      <c r="AJ1329" s="3" t="s">
        <v>83</v>
      </c>
      <c r="AK1329" s="3">
        <v>1</v>
      </c>
      <c r="AL1329" s="3" t="s">
        <v>83</v>
      </c>
    </row>
    <row r="1330" spans="1:38" x14ac:dyDescent="0.3">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v>3540</v>
      </c>
      <c r="S1330">
        <v>7018</v>
      </c>
      <c r="T1330">
        <v>1</v>
      </c>
      <c r="U1330" t="s">
        <v>43</v>
      </c>
      <c r="V1330">
        <v>21</v>
      </c>
      <c r="W1330">
        <v>4</v>
      </c>
      <c r="X1330">
        <v>4</v>
      </c>
      <c r="Y1330">
        <v>1</v>
      </c>
      <c r="Z1330">
        <v>9</v>
      </c>
      <c r="AA1330">
        <v>5</v>
      </c>
      <c r="AB1330">
        <v>3</v>
      </c>
      <c r="AC1330">
        <v>9</v>
      </c>
      <c r="AD1330">
        <v>8</v>
      </c>
      <c r="AE1330">
        <v>5</v>
      </c>
      <c r="AF1330">
        <v>8</v>
      </c>
      <c r="AG1330" t="s">
        <v>65</v>
      </c>
      <c r="AH1330">
        <v>0</v>
      </c>
      <c r="AI1330" t="s">
        <v>70</v>
      </c>
      <c r="AJ1330" s="3" t="s">
        <v>84</v>
      </c>
      <c r="AK1330" s="3">
        <v>0</v>
      </c>
      <c r="AL1330" s="3" t="s">
        <v>83</v>
      </c>
    </row>
    <row r="1331" spans="1:38" x14ac:dyDescent="0.3">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v>2804</v>
      </c>
      <c r="S1331">
        <v>15434</v>
      </c>
      <c r="T1331">
        <v>1</v>
      </c>
      <c r="U1331" t="s">
        <v>43</v>
      </c>
      <c r="V1331">
        <v>11</v>
      </c>
      <c r="W1331">
        <v>3</v>
      </c>
      <c r="X1331">
        <v>4</v>
      </c>
      <c r="Y1331">
        <v>0</v>
      </c>
      <c r="Z1331">
        <v>1</v>
      </c>
      <c r="AA1331">
        <v>3</v>
      </c>
      <c r="AB1331">
        <v>3</v>
      </c>
      <c r="AC1331">
        <v>1</v>
      </c>
      <c r="AD1331">
        <v>0</v>
      </c>
      <c r="AE1331">
        <v>0</v>
      </c>
      <c r="AF1331">
        <v>0</v>
      </c>
      <c r="AG1331" t="s">
        <v>67</v>
      </c>
      <c r="AH1331">
        <v>0</v>
      </c>
      <c r="AI1331" t="s">
        <v>72</v>
      </c>
      <c r="AJ1331" s="3" t="s">
        <v>83</v>
      </c>
      <c r="AK1331" s="3">
        <v>2</v>
      </c>
      <c r="AL1331" s="3" t="s">
        <v>84</v>
      </c>
    </row>
    <row r="1332" spans="1:38" x14ac:dyDescent="0.3">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v>19392</v>
      </c>
      <c r="S1332">
        <v>22539</v>
      </c>
      <c r="T1332">
        <v>7</v>
      </c>
      <c r="U1332" t="s">
        <v>43</v>
      </c>
      <c r="V1332">
        <v>13</v>
      </c>
      <c r="W1332">
        <v>3</v>
      </c>
      <c r="X1332">
        <v>4</v>
      </c>
      <c r="Y1332">
        <v>0</v>
      </c>
      <c r="Z1332">
        <v>21</v>
      </c>
      <c r="AA1332">
        <v>2</v>
      </c>
      <c r="AB1332">
        <v>3</v>
      </c>
      <c r="AC1332">
        <v>16</v>
      </c>
      <c r="AD1332">
        <v>12</v>
      </c>
      <c r="AE1332">
        <v>6</v>
      </c>
      <c r="AF1332">
        <v>14</v>
      </c>
      <c r="AG1332" t="s">
        <v>65</v>
      </c>
      <c r="AH1332">
        <v>0</v>
      </c>
      <c r="AI1332" t="s">
        <v>72</v>
      </c>
      <c r="AJ1332" s="3" t="s">
        <v>84</v>
      </c>
      <c r="AK1332" s="3">
        <v>0</v>
      </c>
      <c r="AL1332" s="3" t="s">
        <v>83</v>
      </c>
    </row>
    <row r="1333" spans="1:38" x14ac:dyDescent="0.3">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v>19665</v>
      </c>
      <c r="S1333">
        <v>13583</v>
      </c>
      <c r="T1333">
        <v>4</v>
      </c>
      <c r="U1333" t="s">
        <v>43</v>
      </c>
      <c r="V1333">
        <v>12</v>
      </c>
      <c r="W1333">
        <v>3</v>
      </c>
      <c r="X1333">
        <v>4</v>
      </c>
      <c r="Y1333">
        <v>0</v>
      </c>
      <c r="Z1333">
        <v>29</v>
      </c>
      <c r="AA1333">
        <v>3</v>
      </c>
      <c r="AB1333">
        <v>3</v>
      </c>
      <c r="AC1333">
        <v>22</v>
      </c>
      <c r="AD1333">
        <v>10</v>
      </c>
      <c r="AE1333">
        <v>12</v>
      </c>
      <c r="AF1333">
        <v>9</v>
      </c>
      <c r="AG1333" t="s">
        <v>65</v>
      </c>
      <c r="AH1333">
        <v>0</v>
      </c>
      <c r="AI1333" t="s">
        <v>70</v>
      </c>
      <c r="AJ1333" s="3" t="s">
        <v>83</v>
      </c>
      <c r="AK1333" s="3">
        <v>1</v>
      </c>
      <c r="AL1333" s="3" t="s">
        <v>83</v>
      </c>
    </row>
    <row r="1334" spans="1:38" x14ac:dyDescent="0.3">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v>2439</v>
      </c>
      <c r="S1334">
        <v>14753</v>
      </c>
      <c r="T1334">
        <v>1</v>
      </c>
      <c r="U1334" t="s">
        <v>35</v>
      </c>
      <c r="V1334">
        <v>24</v>
      </c>
      <c r="W1334">
        <v>4</v>
      </c>
      <c r="X1334">
        <v>2</v>
      </c>
      <c r="Y1334">
        <v>0</v>
      </c>
      <c r="Z1334">
        <v>1</v>
      </c>
      <c r="AA1334">
        <v>3</v>
      </c>
      <c r="AB1334">
        <v>2</v>
      </c>
      <c r="AC1334">
        <v>1</v>
      </c>
      <c r="AD1334">
        <v>0</v>
      </c>
      <c r="AE1334">
        <v>1</v>
      </c>
      <c r="AF1334">
        <v>0</v>
      </c>
      <c r="AG1334" t="s">
        <v>67</v>
      </c>
      <c r="AH1334">
        <v>1</v>
      </c>
      <c r="AI1334" t="s">
        <v>70</v>
      </c>
      <c r="AJ1334" s="3" t="s">
        <v>82</v>
      </c>
      <c r="AK1334" s="3">
        <v>2</v>
      </c>
      <c r="AL1334" s="3" t="s">
        <v>84</v>
      </c>
    </row>
    <row r="1335" spans="1:38" x14ac:dyDescent="0.3">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v>7314</v>
      </c>
      <c r="S1335">
        <v>14011</v>
      </c>
      <c r="T1335">
        <v>5</v>
      </c>
      <c r="U1335" t="s">
        <v>43</v>
      </c>
      <c r="V1335">
        <v>21</v>
      </c>
      <c r="W1335">
        <v>4</v>
      </c>
      <c r="X1335">
        <v>3</v>
      </c>
      <c r="Y1335">
        <v>3</v>
      </c>
      <c r="Z1335">
        <v>14</v>
      </c>
      <c r="AA1335">
        <v>2</v>
      </c>
      <c r="AB1335">
        <v>3</v>
      </c>
      <c r="AC1335">
        <v>8</v>
      </c>
      <c r="AD1335">
        <v>7</v>
      </c>
      <c r="AE1335">
        <v>0</v>
      </c>
      <c r="AF1335">
        <v>7</v>
      </c>
      <c r="AG1335" t="s">
        <v>65</v>
      </c>
      <c r="AH1335">
        <v>1</v>
      </c>
      <c r="AI1335" t="s">
        <v>72</v>
      </c>
      <c r="AJ1335" s="3" t="s">
        <v>83</v>
      </c>
      <c r="AK1335" s="3">
        <v>1</v>
      </c>
      <c r="AL1335" s="3" t="s">
        <v>83</v>
      </c>
    </row>
    <row r="1336" spans="1:38" x14ac:dyDescent="0.3">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v>4774</v>
      </c>
      <c r="S1336">
        <v>23844</v>
      </c>
      <c r="T1336">
        <v>0</v>
      </c>
      <c r="U1336" t="s">
        <v>43</v>
      </c>
      <c r="V1336">
        <v>19</v>
      </c>
      <c r="W1336">
        <v>3</v>
      </c>
      <c r="X1336">
        <v>4</v>
      </c>
      <c r="Y1336">
        <v>1</v>
      </c>
      <c r="Z1336">
        <v>8</v>
      </c>
      <c r="AA1336">
        <v>2</v>
      </c>
      <c r="AB1336">
        <v>2</v>
      </c>
      <c r="AC1336">
        <v>7</v>
      </c>
      <c r="AD1336">
        <v>6</v>
      </c>
      <c r="AE1336">
        <v>7</v>
      </c>
      <c r="AF1336">
        <v>3</v>
      </c>
      <c r="AG1336" t="s">
        <v>65</v>
      </c>
      <c r="AH1336">
        <v>0</v>
      </c>
      <c r="AI1336" t="s">
        <v>70</v>
      </c>
      <c r="AJ1336" s="3" t="s">
        <v>83</v>
      </c>
      <c r="AK1336" s="3">
        <v>1</v>
      </c>
      <c r="AL1336" s="3" t="s">
        <v>83</v>
      </c>
    </row>
    <row r="1337" spans="1:38" x14ac:dyDescent="0.3">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v>3902</v>
      </c>
      <c r="S1337">
        <v>5141</v>
      </c>
      <c r="T1337">
        <v>8</v>
      </c>
      <c r="U1337" t="s">
        <v>43</v>
      </c>
      <c r="V1337">
        <v>14</v>
      </c>
      <c r="W1337">
        <v>3</v>
      </c>
      <c r="X1337">
        <v>2</v>
      </c>
      <c r="Y1337">
        <v>3</v>
      </c>
      <c r="Z1337">
        <v>7</v>
      </c>
      <c r="AA1337">
        <v>2</v>
      </c>
      <c r="AB1337">
        <v>3</v>
      </c>
      <c r="AC1337">
        <v>2</v>
      </c>
      <c r="AD1337">
        <v>2</v>
      </c>
      <c r="AE1337">
        <v>2</v>
      </c>
      <c r="AF1337">
        <v>2</v>
      </c>
      <c r="AG1337" t="s">
        <v>67</v>
      </c>
      <c r="AH1337">
        <v>0</v>
      </c>
      <c r="AI1337" t="s">
        <v>72</v>
      </c>
      <c r="AJ1337" s="3" t="s">
        <v>82</v>
      </c>
      <c r="AK1337" s="3">
        <v>1</v>
      </c>
      <c r="AL1337" s="3" t="s">
        <v>83</v>
      </c>
    </row>
    <row r="1338" spans="1:38" x14ac:dyDescent="0.3">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v>2662</v>
      </c>
      <c r="S1338">
        <v>7975</v>
      </c>
      <c r="T1338">
        <v>8</v>
      </c>
      <c r="U1338" t="s">
        <v>43</v>
      </c>
      <c r="V1338">
        <v>20</v>
      </c>
      <c r="W1338">
        <v>4</v>
      </c>
      <c r="X1338">
        <v>2</v>
      </c>
      <c r="Y1338">
        <v>1</v>
      </c>
      <c r="Z1338">
        <v>19</v>
      </c>
      <c r="AA1338">
        <v>2</v>
      </c>
      <c r="AB1338">
        <v>4</v>
      </c>
      <c r="AC1338">
        <v>5</v>
      </c>
      <c r="AD1338">
        <v>2</v>
      </c>
      <c r="AE1338">
        <v>0</v>
      </c>
      <c r="AF1338">
        <v>4</v>
      </c>
      <c r="AG1338" t="s">
        <v>68</v>
      </c>
      <c r="AH1338">
        <v>0</v>
      </c>
      <c r="AI1338" t="s">
        <v>71</v>
      </c>
      <c r="AJ1338" s="3" t="s">
        <v>82</v>
      </c>
      <c r="AK1338" s="3">
        <v>0</v>
      </c>
      <c r="AL1338" s="3" t="s">
        <v>83</v>
      </c>
    </row>
    <row r="1339" spans="1:38" x14ac:dyDescent="0.3">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v>2856</v>
      </c>
      <c r="S1339">
        <v>3692</v>
      </c>
      <c r="T1339">
        <v>1</v>
      </c>
      <c r="U1339" t="s">
        <v>43</v>
      </c>
      <c r="V1339">
        <v>19</v>
      </c>
      <c r="W1339">
        <v>3</v>
      </c>
      <c r="X1339">
        <v>4</v>
      </c>
      <c r="Y1339">
        <v>1</v>
      </c>
      <c r="Z1339">
        <v>1</v>
      </c>
      <c r="AA1339">
        <v>3</v>
      </c>
      <c r="AB1339">
        <v>3</v>
      </c>
      <c r="AC1339">
        <v>1</v>
      </c>
      <c r="AD1339">
        <v>0</v>
      </c>
      <c r="AE1339">
        <v>0</v>
      </c>
      <c r="AF1339">
        <v>0</v>
      </c>
      <c r="AG1339" t="s">
        <v>67</v>
      </c>
      <c r="AH1339">
        <v>0</v>
      </c>
      <c r="AI1339" t="s">
        <v>69</v>
      </c>
      <c r="AJ1339" s="3" t="s">
        <v>83</v>
      </c>
      <c r="AK1339" s="3">
        <v>2</v>
      </c>
      <c r="AL1339" s="3" t="s">
        <v>84</v>
      </c>
    </row>
    <row r="1340" spans="1:38" x14ac:dyDescent="0.3">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v>1081</v>
      </c>
      <c r="S1340">
        <v>16019</v>
      </c>
      <c r="T1340">
        <v>1</v>
      </c>
      <c r="U1340" t="s">
        <v>43</v>
      </c>
      <c r="V1340">
        <v>13</v>
      </c>
      <c r="W1340">
        <v>3</v>
      </c>
      <c r="X1340">
        <v>3</v>
      </c>
      <c r="Y1340">
        <v>0</v>
      </c>
      <c r="Z1340">
        <v>1</v>
      </c>
      <c r="AA1340">
        <v>3</v>
      </c>
      <c r="AB1340">
        <v>2</v>
      </c>
      <c r="AC1340">
        <v>1</v>
      </c>
      <c r="AD1340">
        <v>0</v>
      </c>
      <c r="AE1340">
        <v>0</v>
      </c>
      <c r="AF1340">
        <v>0</v>
      </c>
      <c r="AG1340" t="s">
        <v>67</v>
      </c>
      <c r="AH1340">
        <v>1</v>
      </c>
      <c r="AI1340" t="s">
        <v>72</v>
      </c>
      <c r="AJ1340" s="3" t="s">
        <v>82</v>
      </c>
      <c r="AK1340" s="3">
        <v>1</v>
      </c>
      <c r="AL1340" s="3" t="s">
        <v>83</v>
      </c>
    </row>
    <row r="1341" spans="1:38" x14ac:dyDescent="0.3">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v>2472</v>
      </c>
      <c r="S1341">
        <v>26092</v>
      </c>
      <c r="T1341">
        <v>1</v>
      </c>
      <c r="U1341" t="s">
        <v>35</v>
      </c>
      <c r="V1341">
        <v>23</v>
      </c>
      <c r="W1341">
        <v>4</v>
      </c>
      <c r="X1341">
        <v>1</v>
      </c>
      <c r="Y1341">
        <v>0</v>
      </c>
      <c r="Z1341">
        <v>1</v>
      </c>
      <c r="AA1341">
        <v>2</v>
      </c>
      <c r="AB1341">
        <v>3</v>
      </c>
      <c r="AC1341">
        <v>1</v>
      </c>
      <c r="AD1341">
        <v>0</v>
      </c>
      <c r="AE1341">
        <v>0</v>
      </c>
      <c r="AF1341">
        <v>0</v>
      </c>
      <c r="AG1341" t="s">
        <v>67</v>
      </c>
      <c r="AH1341">
        <v>1</v>
      </c>
      <c r="AI1341" t="s">
        <v>71</v>
      </c>
      <c r="AJ1341" s="3" t="s">
        <v>83</v>
      </c>
      <c r="AK1341" s="3">
        <v>3</v>
      </c>
      <c r="AL1341" s="3" t="s">
        <v>82</v>
      </c>
    </row>
    <row r="1342" spans="1:38" x14ac:dyDescent="0.3">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v>5673</v>
      </c>
      <c r="S1342">
        <v>6060</v>
      </c>
      <c r="T1342">
        <v>1</v>
      </c>
      <c r="U1342" t="s">
        <v>35</v>
      </c>
      <c r="V1342">
        <v>13</v>
      </c>
      <c r="W1342">
        <v>3</v>
      </c>
      <c r="X1342">
        <v>1</v>
      </c>
      <c r="Y1342">
        <v>1</v>
      </c>
      <c r="Z1342">
        <v>10</v>
      </c>
      <c r="AA1342">
        <v>4</v>
      </c>
      <c r="AB1342">
        <v>3</v>
      </c>
      <c r="AC1342">
        <v>10</v>
      </c>
      <c r="AD1342">
        <v>9</v>
      </c>
      <c r="AE1342">
        <v>1</v>
      </c>
      <c r="AF1342">
        <v>7</v>
      </c>
      <c r="AG1342" t="s">
        <v>65</v>
      </c>
      <c r="AH1342">
        <v>0</v>
      </c>
      <c r="AI1342" t="s">
        <v>72</v>
      </c>
      <c r="AJ1342" s="3" t="s">
        <v>84</v>
      </c>
      <c r="AK1342" s="3">
        <v>1</v>
      </c>
      <c r="AL1342" s="3" t="s">
        <v>83</v>
      </c>
    </row>
    <row r="1343" spans="1:38" x14ac:dyDescent="0.3">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v>4197</v>
      </c>
      <c r="S1343">
        <v>18624</v>
      </c>
      <c r="T1343">
        <v>1</v>
      </c>
      <c r="U1343" t="s">
        <v>43</v>
      </c>
      <c r="V1343">
        <v>11</v>
      </c>
      <c r="W1343">
        <v>3</v>
      </c>
      <c r="X1343">
        <v>1</v>
      </c>
      <c r="Y1343">
        <v>1</v>
      </c>
      <c r="Z1343">
        <v>10</v>
      </c>
      <c r="AA1343">
        <v>2</v>
      </c>
      <c r="AB1343">
        <v>3</v>
      </c>
      <c r="AC1343">
        <v>10</v>
      </c>
      <c r="AD1343">
        <v>8</v>
      </c>
      <c r="AE1343">
        <v>0</v>
      </c>
      <c r="AF1343">
        <v>2</v>
      </c>
      <c r="AG1343" t="s">
        <v>65</v>
      </c>
      <c r="AH1343">
        <v>0</v>
      </c>
      <c r="AI1343" t="s">
        <v>71</v>
      </c>
      <c r="AJ1343" s="3" t="s">
        <v>84</v>
      </c>
      <c r="AK1343" s="3">
        <v>0</v>
      </c>
      <c r="AL1343" s="3" t="s">
        <v>83</v>
      </c>
    </row>
    <row r="1344" spans="1:38" x14ac:dyDescent="0.3">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v>9713</v>
      </c>
      <c r="S1344">
        <v>24444</v>
      </c>
      <c r="T1344">
        <v>2</v>
      </c>
      <c r="U1344" t="s">
        <v>35</v>
      </c>
      <c r="V1344">
        <v>13</v>
      </c>
      <c r="W1344">
        <v>3</v>
      </c>
      <c r="X1344">
        <v>4</v>
      </c>
      <c r="Y1344">
        <v>3</v>
      </c>
      <c r="Z1344">
        <v>9</v>
      </c>
      <c r="AA1344">
        <v>3</v>
      </c>
      <c r="AB1344">
        <v>3</v>
      </c>
      <c r="AC1344">
        <v>5</v>
      </c>
      <c r="AD1344">
        <v>3</v>
      </c>
      <c r="AE1344">
        <v>1</v>
      </c>
      <c r="AF1344">
        <v>0</v>
      </c>
      <c r="AG1344" t="s">
        <v>68</v>
      </c>
      <c r="AH1344">
        <v>0</v>
      </c>
      <c r="AI1344" t="s">
        <v>71</v>
      </c>
      <c r="AJ1344" s="3" t="s">
        <v>82</v>
      </c>
      <c r="AK1344" s="3">
        <v>1</v>
      </c>
      <c r="AL1344" s="3" t="s">
        <v>83</v>
      </c>
    </row>
    <row r="1345" spans="1:38" x14ac:dyDescent="0.3">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v>2062</v>
      </c>
      <c r="S1345">
        <v>19384</v>
      </c>
      <c r="T1345">
        <v>3</v>
      </c>
      <c r="U1345" t="s">
        <v>43</v>
      </c>
      <c r="V1345">
        <v>14</v>
      </c>
      <c r="W1345">
        <v>3</v>
      </c>
      <c r="X1345">
        <v>2</v>
      </c>
      <c r="Y1345">
        <v>0</v>
      </c>
      <c r="Z1345">
        <v>11</v>
      </c>
      <c r="AA1345">
        <v>2</v>
      </c>
      <c r="AB1345">
        <v>3</v>
      </c>
      <c r="AC1345">
        <v>3</v>
      </c>
      <c r="AD1345">
        <v>2</v>
      </c>
      <c r="AE1345">
        <v>1</v>
      </c>
      <c r="AF1345">
        <v>2</v>
      </c>
      <c r="AG1345" t="s">
        <v>67</v>
      </c>
      <c r="AH1345">
        <v>0</v>
      </c>
      <c r="AI1345" t="s">
        <v>71</v>
      </c>
      <c r="AJ1345" s="3" t="s">
        <v>83</v>
      </c>
      <c r="AK1345" s="3">
        <v>2</v>
      </c>
      <c r="AL1345" s="3" t="s">
        <v>84</v>
      </c>
    </row>
    <row r="1346" spans="1:38" x14ac:dyDescent="0.3">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v>4284</v>
      </c>
      <c r="S1346">
        <v>13588</v>
      </c>
      <c r="T1346">
        <v>5</v>
      </c>
      <c r="U1346" t="s">
        <v>35</v>
      </c>
      <c r="V1346">
        <v>22</v>
      </c>
      <c r="W1346">
        <v>4</v>
      </c>
      <c r="X1346">
        <v>3</v>
      </c>
      <c r="Y1346">
        <v>1</v>
      </c>
      <c r="Z1346">
        <v>16</v>
      </c>
      <c r="AA1346">
        <v>2</v>
      </c>
      <c r="AB1346">
        <v>3</v>
      </c>
      <c r="AC1346">
        <v>5</v>
      </c>
      <c r="AD1346">
        <v>3</v>
      </c>
      <c r="AE1346">
        <v>0</v>
      </c>
      <c r="AF1346">
        <v>4</v>
      </c>
      <c r="AG1346" t="s">
        <v>68</v>
      </c>
      <c r="AH1346">
        <v>0</v>
      </c>
      <c r="AI1346" t="s">
        <v>72</v>
      </c>
      <c r="AJ1346" s="3" t="s">
        <v>83</v>
      </c>
      <c r="AK1346" s="3">
        <v>2</v>
      </c>
      <c r="AL1346" s="3" t="s">
        <v>84</v>
      </c>
    </row>
    <row r="1347" spans="1:38" x14ac:dyDescent="0.3">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v>4788</v>
      </c>
      <c r="S1347">
        <v>25388</v>
      </c>
      <c r="T1347">
        <v>0</v>
      </c>
      <c r="U1347" t="s">
        <v>35</v>
      </c>
      <c r="V1347">
        <v>11</v>
      </c>
      <c r="W1347">
        <v>3</v>
      </c>
      <c r="X1347">
        <v>4</v>
      </c>
      <c r="Y1347">
        <v>0</v>
      </c>
      <c r="Z1347">
        <v>4</v>
      </c>
      <c r="AA1347">
        <v>2</v>
      </c>
      <c r="AB1347">
        <v>3</v>
      </c>
      <c r="AC1347">
        <v>3</v>
      </c>
      <c r="AD1347">
        <v>2</v>
      </c>
      <c r="AE1347">
        <v>0</v>
      </c>
      <c r="AF1347">
        <v>2</v>
      </c>
      <c r="AG1347" t="s">
        <v>67</v>
      </c>
      <c r="AH1347">
        <v>0</v>
      </c>
      <c r="AI1347" t="s">
        <v>71</v>
      </c>
      <c r="AJ1347" s="3" t="s">
        <v>83</v>
      </c>
      <c r="AK1347" s="3">
        <v>3</v>
      </c>
      <c r="AL1347" s="3" t="s">
        <v>82</v>
      </c>
    </row>
    <row r="1348" spans="1:38" x14ac:dyDescent="0.3">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v>5906</v>
      </c>
      <c r="S1348">
        <v>23888</v>
      </c>
      <c r="T1348">
        <v>0</v>
      </c>
      <c r="U1348" t="s">
        <v>43</v>
      </c>
      <c r="V1348">
        <v>13</v>
      </c>
      <c r="W1348">
        <v>3</v>
      </c>
      <c r="X1348">
        <v>4</v>
      </c>
      <c r="Y1348">
        <v>2</v>
      </c>
      <c r="Z1348">
        <v>10</v>
      </c>
      <c r="AA1348">
        <v>2</v>
      </c>
      <c r="AB1348">
        <v>2</v>
      </c>
      <c r="AC1348">
        <v>9</v>
      </c>
      <c r="AD1348">
        <v>8</v>
      </c>
      <c r="AE1348">
        <v>3</v>
      </c>
      <c r="AF1348">
        <v>8</v>
      </c>
      <c r="AG1348" t="s">
        <v>65</v>
      </c>
      <c r="AH1348">
        <v>0</v>
      </c>
      <c r="AI1348" t="s">
        <v>71</v>
      </c>
      <c r="AJ1348" s="3" t="s">
        <v>82</v>
      </c>
      <c r="AK1348" s="3">
        <v>0</v>
      </c>
      <c r="AL1348" s="3" t="s">
        <v>83</v>
      </c>
    </row>
    <row r="1349" spans="1:38" x14ac:dyDescent="0.3">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v>3886</v>
      </c>
      <c r="S1349">
        <v>4223</v>
      </c>
      <c r="T1349">
        <v>1</v>
      </c>
      <c r="U1349" t="s">
        <v>43</v>
      </c>
      <c r="V1349">
        <v>21</v>
      </c>
      <c r="W1349">
        <v>4</v>
      </c>
      <c r="X1349">
        <v>4</v>
      </c>
      <c r="Y1349">
        <v>0</v>
      </c>
      <c r="Z1349">
        <v>10</v>
      </c>
      <c r="AA1349">
        <v>2</v>
      </c>
      <c r="AB1349">
        <v>2</v>
      </c>
      <c r="AC1349">
        <v>10</v>
      </c>
      <c r="AD1349">
        <v>1</v>
      </c>
      <c r="AE1349">
        <v>0</v>
      </c>
      <c r="AF1349">
        <v>8</v>
      </c>
      <c r="AG1349" t="s">
        <v>65</v>
      </c>
      <c r="AH1349">
        <v>0</v>
      </c>
      <c r="AI1349" t="s">
        <v>70</v>
      </c>
      <c r="AJ1349" s="3" t="s">
        <v>82</v>
      </c>
      <c r="AK1349" s="3">
        <v>0</v>
      </c>
      <c r="AL1349" s="3" t="s">
        <v>83</v>
      </c>
    </row>
    <row r="1350" spans="1:38" x14ac:dyDescent="0.3">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v>16823</v>
      </c>
      <c r="S1350">
        <v>18991</v>
      </c>
      <c r="T1350">
        <v>2</v>
      </c>
      <c r="U1350" t="s">
        <v>43</v>
      </c>
      <c r="V1350">
        <v>11</v>
      </c>
      <c r="W1350">
        <v>3</v>
      </c>
      <c r="X1350">
        <v>1</v>
      </c>
      <c r="Y1350">
        <v>1</v>
      </c>
      <c r="Z1350">
        <v>22</v>
      </c>
      <c r="AA1350">
        <v>3</v>
      </c>
      <c r="AB1350">
        <v>3</v>
      </c>
      <c r="AC1350">
        <v>19</v>
      </c>
      <c r="AD1350">
        <v>7</v>
      </c>
      <c r="AE1350">
        <v>11</v>
      </c>
      <c r="AF1350">
        <v>16</v>
      </c>
      <c r="AG1350" t="s">
        <v>65</v>
      </c>
      <c r="AH1350">
        <v>0</v>
      </c>
      <c r="AI1350" t="s">
        <v>71</v>
      </c>
      <c r="AJ1350" s="3" t="s">
        <v>83</v>
      </c>
      <c r="AK1350" s="3">
        <v>1</v>
      </c>
      <c r="AL1350" s="3" t="s">
        <v>83</v>
      </c>
    </row>
    <row r="1351" spans="1:38" x14ac:dyDescent="0.3">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v>2933</v>
      </c>
      <c r="S1351">
        <v>14908</v>
      </c>
      <c r="T1351">
        <v>1</v>
      </c>
      <c r="U1351" t="s">
        <v>35</v>
      </c>
      <c r="V1351">
        <v>13</v>
      </c>
      <c r="W1351">
        <v>3</v>
      </c>
      <c r="X1351">
        <v>3</v>
      </c>
      <c r="Y1351">
        <v>1</v>
      </c>
      <c r="Z1351">
        <v>1</v>
      </c>
      <c r="AA1351">
        <v>3</v>
      </c>
      <c r="AB1351">
        <v>2</v>
      </c>
      <c r="AC1351">
        <v>1</v>
      </c>
      <c r="AD1351">
        <v>0</v>
      </c>
      <c r="AE1351">
        <v>1</v>
      </c>
      <c r="AF1351">
        <v>0</v>
      </c>
      <c r="AG1351" t="s">
        <v>67</v>
      </c>
      <c r="AH1351">
        <v>0</v>
      </c>
      <c r="AI1351" t="s">
        <v>70</v>
      </c>
      <c r="AJ1351" s="3" t="s">
        <v>84</v>
      </c>
      <c r="AK1351" s="3">
        <v>2</v>
      </c>
      <c r="AL1351" s="3" t="s">
        <v>84</v>
      </c>
    </row>
    <row r="1352" spans="1:38" x14ac:dyDescent="0.3">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v>6500</v>
      </c>
      <c r="S1352">
        <v>26997</v>
      </c>
      <c r="T1352">
        <v>0</v>
      </c>
      <c r="U1352" t="s">
        <v>43</v>
      </c>
      <c r="V1352">
        <v>14</v>
      </c>
      <c r="W1352">
        <v>3</v>
      </c>
      <c r="X1352">
        <v>2</v>
      </c>
      <c r="Y1352">
        <v>0</v>
      </c>
      <c r="Z1352">
        <v>9</v>
      </c>
      <c r="AA1352">
        <v>5</v>
      </c>
      <c r="AB1352">
        <v>2</v>
      </c>
      <c r="AC1352">
        <v>8</v>
      </c>
      <c r="AD1352">
        <v>7</v>
      </c>
      <c r="AE1352">
        <v>0</v>
      </c>
      <c r="AF1352">
        <v>7</v>
      </c>
      <c r="AG1352" t="s">
        <v>65</v>
      </c>
      <c r="AH1352">
        <v>0</v>
      </c>
      <c r="AI1352" t="s">
        <v>72</v>
      </c>
      <c r="AJ1352" s="3" t="s">
        <v>84</v>
      </c>
      <c r="AK1352" s="3">
        <v>0</v>
      </c>
      <c r="AL1352" s="3" t="s">
        <v>83</v>
      </c>
    </row>
    <row r="1353" spans="1:38" x14ac:dyDescent="0.3">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v>17174</v>
      </c>
      <c r="S1353">
        <v>2437</v>
      </c>
      <c r="T1353">
        <v>3</v>
      </c>
      <c r="U1353" t="s">
        <v>43</v>
      </c>
      <c r="V1353">
        <v>11</v>
      </c>
      <c r="W1353">
        <v>3</v>
      </c>
      <c r="X1353">
        <v>2</v>
      </c>
      <c r="Y1353">
        <v>1</v>
      </c>
      <c r="Z1353">
        <v>24</v>
      </c>
      <c r="AA1353">
        <v>3</v>
      </c>
      <c r="AB1353">
        <v>3</v>
      </c>
      <c r="AC1353">
        <v>22</v>
      </c>
      <c r="AD1353">
        <v>17</v>
      </c>
      <c r="AE1353">
        <v>4</v>
      </c>
      <c r="AF1353">
        <v>7</v>
      </c>
      <c r="AG1353" t="s">
        <v>65</v>
      </c>
      <c r="AH1353">
        <v>0</v>
      </c>
      <c r="AI1353" t="s">
        <v>72</v>
      </c>
      <c r="AJ1353" s="3" t="s">
        <v>82</v>
      </c>
      <c r="AK1353" s="3">
        <v>0</v>
      </c>
      <c r="AL1353" s="3" t="s">
        <v>83</v>
      </c>
    </row>
    <row r="1354" spans="1:38" x14ac:dyDescent="0.3">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v>5033</v>
      </c>
      <c r="S1354">
        <v>9364</v>
      </c>
      <c r="T1354">
        <v>2</v>
      </c>
      <c r="U1354" t="s">
        <v>43</v>
      </c>
      <c r="V1354">
        <v>15</v>
      </c>
      <c r="W1354">
        <v>3</v>
      </c>
      <c r="X1354">
        <v>4</v>
      </c>
      <c r="Y1354">
        <v>1</v>
      </c>
      <c r="Z1354">
        <v>10</v>
      </c>
      <c r="AA1354">
        <v>5</v>
      </c>
      <c r="AB1354">
        <v>3</v>
      </c>
      <c r="AC1354">
        <v>2</v>
      </c>
      <c r="AD1354">
        <v>0</v>
      </c>
      <c r="AE1354">
        <v>2</v>
      </c>
      <c r="AF1354">
        <v>2</v>
      </c>
      <c r="AG1354" t="s">
        <v>67</v>
      </c>
      <c r="AH1354">
        <v>0</v>
      </c>
      <c r="AI1354" t="s">
        <v>70</v>
      </c>
      <c r="AJ1354" s="3" t="s">
        <v>83</v>
      </c>
      <c r="AK1354" s="3">
        <v>2</v>
      </c>
      <c r="AL1354" s="3" t="s">
        <v>84</v>
      </c>
    </row>
    <row r="1355" spans="1:38" x14ac:dyDescent="0.3">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v>2307</v>
      </c>
      <c r="S1355">
        <v>14460</v>
      </c>
      <c r="T1355">
        <v>1</v>
      </c>
      <c r="U1355" t="s">
        <v>35</v>
      </c>
      <c r="V1355">
        <v>23</v>
      </c>
      <c r="W1355">
        <v>4</v>
      </c>
      <c r="X1355">
        <v>2</v>
      </c>
      <c r="Y1355">
        <v>1</v>
      </c>
      <c r="Z1355">
        <v>5</v>
      </c>
      <c r="AA1355">
        <v>2</v>
      </c>
      <c r="AB1355">
        <v>3</v>
      </c>
      <c r="AC1355">
        <v>5</v>
      </c>
      <c r="AD1355">
        <v>2</v>
      </c>
      <c r="AE1355">
        <v>3</v>
      </c>
      <c r="AF1355">
        <v>0</v>
      </c>
      <c r="AG1355" t="s">
        <v>68</v>
      </c>
      <c r="AH1355">
        <v>1</v>
      </c>
      <c r="AI1355" t="s">
        <v>70</v>
      </c>
      <c r="AJ1355" s="3" t="s">
        <v>83</v>
      </c>
      <c r="AK1355" s="3">
        <v>2</v>
      </c>
      <c r="AL1355" s="3" t="s">
        <v>84</v>
      </c>
    </row>
    <row r="1356" spans="1:38" x14ac:dyDescent="0.3">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v>2587</v>
      </c>
      <c r="S1356">
        <v>10261</v>
      </c>
      <c r="T1356">
        <v>1</v>
      </c>
      <c r="U1356" t="s">
        <v>43</v>
      </c>
      <c r="V1356">
        <v>16</v>
      </c>
      <c r="W1356">
        <v>3</v>
      </c>
      <c r="X1356">
        <v>4</v>
      </c>
      <c r="Y1356">
        <v>0</v>
      </c>
      <c r="Z1356">
        <v>5</v>
      </c>
      <c r="AA1356">
        <v>3</v>
      </c>
      <c r="AB1356">
        <v>3</v>
      </c>
      <c r="AC1356">
        <v>4</v>
      </c>
      <c r="AD1356">
        <v>2</v>
      </c>
      <c r="AE1356">
        <v>1</v>
      </c>
      <c r="AF1356">
        <v>0</v>
      </c>
      <c r="AG1356" t="s">
        <v>68</v>
      </c>
      <c r="AH1356">
        <v>1</v>
      </c>
      <c r="AI1356" t="s">
        <v>71</v>
      </c>
      <c r="AJ1356" s="3" t="s">
        <v>82</v>
      </c>
      <c r="AK1356" s="3">
        <v>0</v>
      </c>
      <c r="AL1356" s="3" t="s">
        <v>83</v>
      </c>
    </row>
    <row r="1357" spans="1:38" x14ac:dyDescent="0.3">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v>5507</v>
      </c>
      <c r="S1357">
        <v>16822</v>
      </c>
      <c r="T1357">
        <v>2</v>
      </c>
      <c r="U1357" t="s">
        <v>43</v>
      </c>
      <c r="V1357">
        <v>16</v>
      </c>
      <c r="W1357">
        <v>3</v>
      </c>
      <c r="X1357">
        <v>3</v>
      </c>
      <c r="Y1357">
        <v>2</v>
      </c>
      <c r="Z1357">
        <v>12</v>
      </c>
      <c r="AA1357">
        <v>1</v>
      </c>
      <c r="AB1357">
        <v>1</v>
      </c>
      <c r="AC1357">
        <v>4</v>
      </c>
      <c r="AD1357">
        <v>2</v>
      </c>
      <c r="AE1357">
        <v>1</v>
      </c>
      <c r="AF1357">
        <v>3</v>
      </c>
      <c r="AG1357" t="s">
        <v>68</v>
      </c>
      <c r="AH1357">
        <v>0</v>
      </c>
      <c r="AI1357" t="s">
        <v>69</v>
      </c>
      <c r="AJ1357" s="3" t="s">
        <v>83</v>
      </c>
      <c r="AK1357" s="3">
        <v>1</v>
      </c>
      <c r="AL1357" s="3" t="s">
        <v>83</v>
      </c>
    </row>
    <row r="1358" spans="1:38" x14ac:dyDescent="0.3">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v>4393</v>
      </c>
      <c r="S1358">
        <v>26841</v>
      </c>
      <c r="T1358">
        <v>5</v>
      </c>
      <c r="U1358" t="s">
        <v>43</v>
      </c>
      <c r="V1358">
        <v>21</v>
      </c>
      <c r="W1358">
        <v>4</v>
      </c>
      <c r="X1358">
        <v>3</v>
      </c>
      <c r="Y1358">
        <v>1</v>
      </c>
      <c r="Z1358">
        <v>14</v>
      </c>
      <c r="AA1358">
        <v>3</v>
      </c>
      <c r="AB1358">
        <v>3</v>
      </c>
      <c r="AC1358">
        <v>5</v>
      </c>
      <c r="AD1358">
        <v>4</v>
      </c>
      <c r="AE1358">
        <v>1</v>
      </c>
      <c r="AF1358">
        <v>4</v>
      </c>
      <c r="AG1358" t="s">
        <v>68</v>
      </c>
      <c r="AH1358">
        <v>0</v>
      </c>
      <c r="AI1358" t="s">
        <v>71</v>
      </c>
      <c r="AJ1358" s="3" t="s">
        <v>83</v>
      </c>
      <c r="AK1358" s="3">
        <v>1</v>
      </c>
      <c r="AL1358" s="3" t="s">
        <v>83</v>
      </c>
    </row>
    <row r="1359" spans="1:38" x14ac:dyDescent="0.3">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v>13348</v>
      </c>
      <c r="S1359">
        <v>14842</v>
      </c>
      <c r="T1359">
        <v>9</v>
      </c>
      <c r="U1359" t="s">
        <v>43</v>
      </c>
      <c r="V1359">
        <v>13</v>
      </c>
      <c r="W1359">
        <v>3</v>
      </c>
      <c r="X1359">
        <v>2</v>
      </c>
      <c r="Y1359">
        <v>1</v>
      </c>
      <c r="Z1359">
        <v>18</v>
      </c>
      <c r="AA1359">
        <v>3</v>
      </c>
      <c r="AB1359">
        <v>4</v>
      </c>
      <c r="AC1359">
        <v>13</v>
      </c>
      <c r="AD1359">
        <v>7</v>
      </c>
      <c r="AE1359">
        <v>5</v>
      </c>
      <c r="AF1359">
        <v>7</v>
      </c>
      <c r="AG1359" t="s">
        <v>65</v>
      </c>
      <c r="AH1359">
        <v>0</v>
      </c>
      <c r="AI1359" t="s">
        <v>70</v>
      </c>
      <c r="AJ1359" s="3" t="s">
        <v>83</v>
      </c>
      <c r="AK1359" s="3">
        <v>1</v>
      </c>
      <c r="AL1359" s="3" t="s">
        <v>83</v>
      </c>
    </row>
    <row r="1360" spans="1:38" x14ac:dyDescent="0.3">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v>6583</v>
      </c>
      <c r="S1360">
        <v>20115</v>
      </c>
      <c r="T1360">
        <v>2</v>
      </c>
      <c r="U1360" t="s">
        <v>35</v>
      </c>
      <c r="V1360">
        <v>11</v>
      </c>
      <c r="W1360">
        <v>3</v>
      </c>
      <c r="X1360">
        <v>4</v>
      </c>
      <c r="Y1360">
        <v>1</v>
      </c>
      <c r="Z1360">
        <v>8</v>
      </c>
      <c r="AA1360">
        <v>2</v>
      </c>
      <c r="AB1360">
        <v>3</v>
      </c>
      <c r="AC1360">
        <v>5</v>
      </c>
      <c r="AD1360">
        <v>2</v>
      </c>
      <c r="AE1360">
        <v>1</v>
      </c>
      <c r="AF1360">
        <v>4</v>
      </c>
      <c r="AG1360" t="s">
        <v>68</v>
      </c>
      <c r="AH1360">
        <v>0</v>
      </c>
      <c r="AI1360" t="s">
        <v>70</v>
      </c>
      <c r="AJ1360" s="3" t="s">
        <v>82</v>
      </c>
      <c r="AK1360" s="3">
        <v>1</v>
      </c>
      <c r="AL1360" s="3" t="s">
        <v>83</v>
      </c>
    </row>
    <row r="1361" spans="1:38" x14ac:dyDescent="0.3">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v>8103</v>
      </c>
      <c r="S1361">
        <v>16495</v>
      </c>
      <c r="T1361">
        <v>3</v>
      </c>
      <c r="U1361" t="s">
        <v>35</v>
      </c>
      <c r="V1361">
        <v>12</v>
      </c>
      <c r="W1361">
        <v>3</v>
      </c>
      <c r="X1361">
        <v>3</v>
      </c>
      <c r="Y1361">
        <v>0</v>
      </c>
      <c r="Z1361">
        <v>9</v>
      </c>
      <c r="AA1361">
        <v>3</v>
      </c>
      <c r="AB1361">
        <v>2</v>
      </c>
      <c r="AC1361">
        <v>4</v>
      </c>
      <c r="AD1361">
        <v>2</v>
      </c>
      <c r="AE1361">
        <v>0</v>
      </c>
      <c r="AF1361">
        <v>1</v>
      </c>
      <c r="AG1361" t="s">
        <v>68</v>
      </c>
      <c r="AH1361">
        <v>0</v>
      </c>
      <c r="AI1361" t="s">
        <v>71</v>
      </c>
      <c r="AJ1361" s="3" t="s">
        <v>82</v>
      </c>
      <c r="AK1361" s="3">
        <v>1</v>
      </c>
      <c r="AL1361" s="3" t="s">
        <v>83</v>
      </c>
    </row>
    <row r="1362" spans="1:38" x14ac:dyDescent="0.3">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v>3978</v>
      </c>
      <c r="S1362">
        <v>16031</v>
      </c>
      <c r="T1362">
        <v>8</v>
      </c>
      <c r="U1362" t="s">
        <v>43</v>
      </c>
      <c r="V1362">
        <v>12</v>
      </c>
      <c r="W1362">
        <v>3</v>
      </c>
      <c r="X1362">
        <v>2</v>
      </c>
      <c r="Y1362">
        <v>1</v>
      </c>
      <c r="Z1362">
        <v>4</v>
      </c>
      <c r="AA1362">
        <v>0</v>
      </c>
      <c r="AB1362">
        <v>2</v>
      </c>
      <c r="AC1362">
        <v>2</v>
      </c>
      <c r="AD1362">
        <v>2</v>
      </c>
      <c r="AE1362">
        <v>2</v>
      </c>
      <c r="AF1362">
        <v>2</v>
      </c>
      <c r="AG1362" t="s">
        <v>67</v>
      </c>
      <c r="AH1362">
        <v>0</v>
      </c>
      <c r="AI1362" t="s">
        <v>71</v>
      </c>
      <c r="AJ1362" s="3" t="s">
        <v>84</v>
      </c>
      <c r="AK1362" s="3">
        <v>1</v>
      </c>
      <c r="AL1362" s="3" t="s">
        <v>83</v>
      </c>
    </row>
    <row r="1363" spans="1:38" x14ac:dyDescent="0.3">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v>2544</v>
      </c>
      <c r="S1363">
        <v>7102</v>
      </c>
      <c r="T1363">
        <v>0</v>
      </c>
      <c r="U1363" t="s">
        <v>43</v>
      </c>
      <c r="V1363">
        <v>18</v>
      </c>
      <c r="W1363">
        <v>3</v>
      </c>
      <c r="X1363">
        <v>1</v>
      </c>
      <c r="Y1363">
        <v>1</v>
      </c>
      <c r="Z1363">
        <v>8</v>
      </c>
      <c r="AA1363">
        <v>3</v>
      </c>
      <c r="AB1363">
        <v>3</v>
      </c>
      <c r="AC1363">
        <v>7</v>
      </c>
      <c r="AD1363">
        <v>7</v>
      </c>
      <c r="AE1363">
        <v>7</v>
      </c>
      <c r="AF1363">
        <v>7</v>
      </c>
      <c r="AG1363" t="s">
        <v>65</v>
      </c>
      <c r="AH1363">
        <v>0</v>
      </c>
      <c r="AI1363" t="s">
        <v>71</v>
      </c>
      <c r="AJ1363" s="3" t="s">
        <v>82</v>
      </c>
      <c r="AK1363" s="3">
        <v>0</v>
      </c>
      <c r="AL1363" s="3" t="s">
        <v>83</v>
      </c>
    </row>
    <row r="1364" spans="1:38" x14ac:dyDescent="0.3">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v>5399</v>
      </c>
      <c r="S1364">
        <v>14511</v>
      </c>
      <c r="T1364">
        <v>4</v>
      </c>
      <c r="U1364" t="s">
        <v>43</v>
      </c>
      <c r="V1364">
        <v>12</v>
      </c>
      <c r="W1364">
        <v>3</v>
      </c>
      <c r="X1364">
        <v>3</v>
      </c>
      <c r="Y1364">
        <v>0</v>
      </c>
      <c r="Z1364">
        <v>12</v>
      </c>
      <c r="AA1364">
        <v>3</v>
      </c>
      <c r="AB1364">
        <v>3</v>
      </c>
      <c r="AC1364">
        <v>4</v>
      </c>
      <c r="AD1364">
        <v>2</v>
      </c>
      <c r="AE1364">
        <v>0</v>
      </c>
      <c r="AF1364">
        <v>3</v>
      </c>
      <c r="AG1364" t="s">
        <v>68</v>
      </c>
      <c r="AH1364">
        <v>0</v>
      </c>
      <c r="AI1364" t="s">
        <v>72</v>
      </c>
      <c r="AJ1364" s="3" t="s">
        <v>84</v>
      </c>
      <c r="AK1364" s="3">
        <v>0</v>
      </c>
      <c r="AL1364" s="3" t="s">
        <v>83</v>
      </c>
    </row>
    <row r="1365" spans="1:38" x14ac:dyDescent="0.3">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v>5487</v>
      </c>
      <c r="S1365">
        <v>10410</v>
      </c>
      <c r="T1365">
        <v>1</v>
      </c>
      <c r="U1365" t="s">
        <v>43</v>
      </c>
      <c r="V1365">
        <v>14</v>
      </c>
      <c r="W1365">
        <v>3</v>
      </c>
      <c r="X1365">
        <v>2</v>
      </c>
      <c r="Y1365">
        <v>0</v>
      </c>
      <c r="Z1365">
        <v>10</v>
      </c>
      <c r="AA1365">
        <v>2</v>
      </c>
      <c r="AB1365">
        <v>2</v>
      </c>
      <c r="AC1365">
        <v>10</v>
      </c>
      <c r="AD1365">
        <v>4</v>
      </c>
      <c r="AE1365">
        <v>0</v>
      </c>
      <c r="AF1365">
        <v>9</v>
      </c>
      <c r="AG1365" t="s">
        <v>65</v>
      </c>
      <c r="AH1365">
        <v>0</v>
      </c>
      <c r="AI1365" t="s">
        <v>70</v>
      </c>
      <c r="AJ1365" s="3" t="s">
        <v>84</v>
      </c>
      <c r="AK1365" s="3">
        <v>0</v>
      </c>
      <c r="AL1365" s="3" t="s">
        <v>83</v>
      </c>
    </row>
    <row r="1366" spans="1:38" x14ac:dyDescent="0.3">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v>6834</v>
      </c>
      <c r="S1366">
        <v>19255</v>
      </c>
      <c r="T1366">
        <v>1</v>
      </c>
      <c r="U1366" t="s">
        <v>35</v>
      </c>
      <c r="V1366">
        <v>12</v>
      </c>
      <c r="W1366">
        <v>3</v>
      </c>
      <c r="X1366">
        <v>3</v>
      </c>
      <c r="Y1366">
        <v>1</v>
      </c>
      <c r="Z1366">
        <v>7</v>
      </c>
      <c r="AA1366">
        <v>2</v>
      </c>
      <c r="AB1366">
        <v>3</v>
      </c>
      <c r="AC1366">
        <v>7</v>
      </c>
      <c r="AD1366">
        <v>7</v>
      </c>
      <c r="AE1366">
        <v>0</v>
      </c>
      <c r="AF1366">
        <v>7</v>
      </c>
      <c r="AG1366" t="s">
        <v>65</v>
      </c>
      <c r="AH1366">
        <v>0</v>
      </c>
      <c r="AI1366" t="s">
        <v>71</v>
      </c>
      <c r="AJ1366" s="3" t="s">
        <v>82</v>
      </c>
      <c r="AK1366" s="3">
        <v>1</v>
      </c>
      <c r="AL1366" s="3" t="s">
        <v>83</v>
      </c>
    </row>
    <row r="1367" spans="1:38" x14ac:dyDescent="0.3">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v>1091</v>
      </c>
      <c r="S1367">
        <v>10642</v>
      </c>
      <c r="T1367">
        <v>1</v>
      </c>
      <c r="U1367" t="s">
        <v>43</v>
      </c>
      <c r="V1367">
        <v>17</v>
      </c>
      <c r="W1367">
        <v>3</v>
      </c>
      <c r="X1367">
        <v>4</v>
      </c>
      <c r="Y1367">
        <v>0</v>
      </c>
      <c r="Z1367">
        <v>1</v>
      </c>
      <c r="AA1367">
        <v>3</v>
      </c>
      <c r="AB1367">
        <v>3</v>
      </c>
      <c r="AC1367">
        <v>1</v>
      </c>
      <c r="AD1367">
        <v>0</v>
      </c>
      <c r="AE1367">
        <v>0</v>
      </c>
      <c r="AF1367">
        <v>0</v>
      </c>
      <c r="AG1367" t="s">
        <v>67</v>
      </c>
      <c r="AH1367">
        <v>1</v>
      </c>
      <c r="AI1367" t="s">
        <v>72</v>
      </c>
      <c r="AJ1367" s="3" t="s">
        <v>83</v>
      </c>
      <c r="AK1367" s="3">
        <v>2</v>
      </c>
      <c r="AL1367" s="3" t="s">
        <v>84</v>
      </c>
    </row>
    <row r="1368" spans="1:38" x14ac:dyDescent="0.3">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v>5736</v>
      </c>
      <c r="S1368">
        <v>3987</v>
      </c>
      <c r="T1368">
        <v>6</v>
      </c>
      <c r="U1368" t="s">
        <v>43</v>
      </c>
      <c r="V1368">
        <v>19</v>
      </c>
      <c r="W1368">
        <v>3</v>
      </c>
      <c r="X1368">
        <v>3</v>
      </c>
      <c r="Y1368">
        <v>1</v>
      </c>
      <c r="Z1368">
        <v>10</v>
      </c>
      <c r="AA1368">
        <v>1</v>
      </c>
      <c r="AB1368">
        <v>3</v>
      </c>
      <c r="AC1368">
        <v>3</v>
      </c>
      <c r="AD1368">
        <v>2</v>
      </c>
      <c r="AE1368">
        <v>1</v>
      </c>
      <c r="AF1368">
        <v>2</v>
      </c>
      <c r="AG1368" t="s">
        <v>67</v>
      </c>
      <c r="AH1368">
        <v>0</v>
      </c>
      <c r="AI1368" t="s">
        <v>72</v>
      </c>
      <c r="AJ1368" s="3" t="s">
        <v>84</v>
      </c>
      <c r="AK1368" s="3">
        <v>1</v>
      </c>
      <c r="AL1368" s="3" t="s">
        <v>83</v>
      </c>
    </row>
    <row r="1369" spans="1:38" x14ac:dyDescent="0.3">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v>2226</v>
      </c>
      <c r="S1369">
        <v>6073</v>
      </c>
      <c r="T1369">
        <v>1</v>
      </c>
      <c r="U1369" t="s">
        <v>43</v>
      </c>
      <c r="V1369">
        <v>11</v>
      </c>
      <c r="W1369">
        <v>3</v>
      </c>
      <c r="X1369">
        <v>3</v>
      </c>
      <c r="Y1369">
        <v>1</v>
      </c>
      <c r="Z1369">
        <v>6</v>
      </c>
      <c r="AA1369">
        <v>3</v>
      </c>
      <c r="AB1369">
        <v>2</v>
      </c>
      <c r="AC1369">
        <v>5</v>
      </c>
      <c r="AD1369">
        <v>3</v>
      </c>
      <c r="AE1369">
        <v>1</v>
      </c>
      <c r="AF1369">
        <v>2</v>
      </c>
      <c r="AG1369" t="s">
        <v>68</v>
      </c>
      <c r="AH1369">
        <v>0</v>
      </c>
      <c r="AI1369" t="s">
        <v>71</v>
      </c>
      <c r="AJ1369" s="3" t="s">
        <v>83</v>
      </c>
      <c r="AK1369" s="3">
        <v>1</v>
      </c>
      <c r="AL1369" s="3" t="s">
        <v>83</v>
      </c>
    </row>
    <row r="1370" spans="1:38" x14ac:dyDescent="0.3">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v>5747</v>
      </c>
      <c r="S1370">
        <v>26496</v>
      </c>
      <c r="T1370">
        <v>1</v>
      </c>
      <c r="U1370" t="s">
        <v>35</v>
      </c>
      <c r="V1370">
        <v>15</v>
      </c>
      <c r="W1370">
        <v>3</v>
      </c>
      <c r="X1370">
        <v>2</v>
      </c>
      <c r="Y1370">
        <v>0</v>
      </c>
      <c r="Z1370">
        <v>16</v>
      </c>
      <c r="AA1370">
        <v>3</v>
      </c>
      <c r="AB1370">
        <v>3</v>
      </c>
      <c r="AC1370">
        <v>15</v>
      </c>
      <c r="AD1370">
        <v>10</v>
      </c>
      <c r="AE1370">
        <v>6</v>
      </c>
      <c r="AF1370">
        <v>11</v>
      </c>
      <c r="AG1370" t="s">
        <v>65</v>
      </c>
      <c r="AH1370">
        <v>0</v>
      </c>
      <c r="AI1370" t="s">
        <v>72</v>
      </c>
      <c r="AJ1370" s="3" t="s">
        <v>82</v>
      </c>
      <c r="AK1370" s="3">
        <v>1</v>
      </c>
      <c r="AL1370" s="3" t="s">
        <v>83</v>
      </c>
    </row>
    <row r="1371" spans="1:38" x14ac:dyDescent="0.3">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v>9854</v>
      </c>
      <c r="S1371">
        <v>23352</v>
      </c>
      <c r="T1371">
        <v>3</v>
      </c>
      <c r="U1371" t="s">
        <v>35</v>
      </c>
      <c r="V1371">
        <v>11</v>
      </c>
      <c r="W1371">
        <v>3</v>
      </c>
      <c r="X1371">
        <v>4</v>
      </c>
      <c r="Y1371">
        <v>0</v>
      </c>
      <c r="Z1371">
        <v>6</v>
      </c>
      <c r="AA1371">
        <v>0</v>
      </c>
      <c r="AB1371">
        <v>3</v>
      </c>
      <c r="AC1371">
        <v>2</v>
      </c>
      <c r="AD1371">
        <v>0</v>
      </c>
      <c r="AE1371">
        <v>2</v>
      </c>
      <c r="AF1371">
        <v>2</v>
      </c>
      <c r="AG1371" t="s">
        <v>67</v>
      </c>
      <c r="AH1371">
        <v>1</v>
      </c>
      <c r="AI1371" t="s">
        <v>71</v>
      </c>
      <c r="AJ1371" s="3" t="s">
        <v>84</v>
      </c>
      <c r="AK1371" s="3">
        <v>2</v>
      </c>
      <c r="AL1371" s="3" t="s">
        <v>84</v>
      </c>
    </row>
    <row r="1372" spans="1:38" x14ac:dyDescent="0.3">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v>5467</v>
      </c>
      <c r="S1372">
        <v>2125</v>
      </c>
      <c r="T1372">
        <v>8</v>
      </c>
      <c r="U1372" t="s">
        <v>43</v>
      </c>
      <c r="V1372">
        <v>18</v>
      </c>
      <c r="W1372">
        <v>3</v>
      </c>
      <c r="X1372">
        <v>3</v>
      </c>
      <c r="Y1372">
        <v>1</v>
      </c>
      <c r="Z1372">
        <v>16</v>
      </c>
      <c r="AA1372">
        <v>4</v>
      </c>
      <c r="AB1372">
        <v>4</v>
      </c>
      <c r="AC1372">
        <v>8</v>
      </c>
      <c r="AD1372">
        <v>7</v>
      </c>
      <c r="AE1372">
        <v>1</v>
      </c>
      <c r="AF1372">
        <v>7</v>
      </c>
      <c r="AG1372" t="s">
        <v>65</v>
      </c>
      <c r="AH1372">
        <v>0</v>
      </c>
      <c r="AI1372" t="s">
        <v>72</v>
      </c>
      <c r="AJ1372" s="3" t="s">
        <v>83</v>
      </c>
      <c r="AK1372" s="3">
        <v>1</v>
      </c>
      <c r="AL1372" s="3" t="s">
        <v>83</v>
      </c>
    </row>
    <row r="1373" spans="1:38" x14ac:dyDescent="0.3">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v>5380</v>
      </c>
      <c r="S1373">
        <v>20328</v>
      </c>
      <c r="T1373">
        <v>4</v>
      </c>
      <c r="U1373" t="s">
        <v>43</v>
      </c>
      <c r="V1373">
        <v>16</v>
      </c>
      <c r="W1373">
        <v>3</v>
      </c>
      <c r="X1373">
        <v>3</v>
      </c>
      <c r="Y1373">
        <v>1</v>
      </c>
      <c r="Z1373">
        <v>6</v>
      </c>
      <c r="AA1373">
        <v>3</v>
      </c>
      <c r="AB1373">
        <v>3</v>
      </c>
      <c r="AC1373">
        <v>0</v>
      </c>
      <c r="AD1373">
        <v>0</v>
      </c>
      <c r="AE1373">
        <v>0</v>
      </c>
      <c r="AF1373">
        <v>0</v>
      </c>
      <c r="AG1373" t="s">
        <v>66</v>
      </c>
      <c r="AH1373">
        <v>0</v>
      </c>
      <c r="AI1373" t="s">
        <v>70</v>
      </c>
      <c r="AJ1373" s="3" t="s">
        <v>83</v>
      </c>
      <c r="AK1373" s="3">
        <v>2</v>
      </c>
      <c r="AL1373" s="3" t="s">
        <v>84</v>
      </c>
    </row>
    <row r="1374" spans="1:38" x14ac:dyDescent="0.3">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v>5151</v>
      </c>
      <c r="S1374">
        <v>12315</v>
      </c>
      <c r="T1374">
        <v>1</v>
      </c>
      <c r="U1374" t="s">
        <v>43</v>
      </c>
      <c r="V1374">
        <v>25</v>
      </c>
      <c r="W1374">
        <v>4</v>
      </c>
      <c r="X1374">
        <v>4</v>
      </c>
      <c r="Y1374">
        <v>1</v>
      </c>
      <c r="Z1374">
        <v>10</v>
      </c>
      <c r="AA1374">
        <v>3</v>
      </c>
      <c r="AB1374">
        <v>3</v>
      </c>
      <c r="AC1374">
        <v>10</v>
      </c>
      <c r="AD1374">
        <v>0</v>
      </c>
      <c r="AE1374">
        <v>7</v>
      </c>
      <c r="AF1374">
        <v>9</v>
      </c>
      <c r="AG1374" t="s">
        <v>65</v>
      </c>
      <c r="AH1374">
        <v>0</v>
      </c>
      <c r="AI1374" t="s">
        <v>69</v>
      </c>
      <c r="AJ1374" s="3" t="s">
        <v>83</v>
      </c>
      <c r="AK1374" s="3">
        <v>1</v>
      </c>
      <c r="AL1374" s="3" t="s">
        <v>83</v>
      </c>
    </row>
    <row r="1375" spans="1:38" x14ac:dyDescent="0.3">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v>2133</v>
      </c>
      <c r="S1375">
        <v>18115</v>
      </c>
      <c r="T1375">
        <v>1</v>
      </c>
      <c r="U1375" t="s">
        <v>35</v>
      </c>
      <c r="V1375">
        <v>16</v>
      </c>
      <c r="W1375">
        <v>3</v>
      </c>
      <c r="X1375">
        <v>3</v>
      </c>
      <c r="Y1375">
        <v>1</v>
      </c>
      <c r="Z1375">
        <v>20</v>
      </c>
      <c r="AA1375">
        <v>3</v>
      </c>
      <c r="AB1375">
        <v>3</v>
      </c>
      <c r="AC1375">
        <v>20</v>
      </c>
      <c r="AD1375">
        <v>11</v>
      </c>
      <c r="AE1375">
        <v>0</v>
      </c>
      <c r="AF1375">
        <v>7</v>
      </c>
      <c r="AG1375" t="s">
        <v>65</v>
      </c>
      <c r="AH1375">
        <v>0</v>
      </c>
      <c r="AI1375" t="s">
        <v>71</v>
      </c>
      <c r="AJ1375" s="3" t="s">
        <v>83</v>
      </c>
      <c r="AK1375" s="3">
        <v>2</v>
      </c>
      <c r="AL1375" s="3" t="s">
        <v>84</v>
      </c>
    </row>
    <row r="1376" spans="1:38" x14ac:dyDescent="0.3">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v>17875</v>
      </c>
      <c r="S1376">
        <v>11761</v>
      </c>
      <c r="T1376">
        <v>4</v>
      </c>
      <c r="U1376" t="s">
        <v>35</v>
      </c>
      <c r="V1376">
        <v>13</v>
      </c>
      <c r="W1376">
        <v>3</v>
      </c>
      <c r="X1376">
        <v>3</v>
      </c>
      <c r="Y1376">
        <v>1</v>
      </c>
      <c r="Z1376">
        <v>29</v>
      </c>
      <c r="AA1376">
        <v>2</v>
      </c>
      <c r="AB1376">
        <v>2</v>
      </c>
      <c r="AC1376">
        <v>1</v>
      </c>
      <c r="AD1376">
        <v>0</v>
      </c>
      <c r="AE1376">
        <v>0</v>
      </c>
      <c r="AF1376">
        <v>0</v>
      </c>
      <c r="AG1376" t="s">
        <v>67</v>
      </c>
      <c r="AH1376">
        <v>0</v>
      </c>
      <c r="AI1376" t="s">
        <v>71</v>
      </c>
      <c r="AJ1376" s="3" t="s">
        <v>82</v>
      </c>
      <c r="AK1376" s="3">
        <v>2</v>
      </c>
      <c r="AL1376" s="3" t="s">
        <v>84</v>
      </c>
    </row>
    <row r="1377" spans="1:38" x14ac:dyDescent="0.3">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v>2432</v>
      </c>
      <c r="S1377">
        <v>15318</v>
      </c>
      <c r="T1377">
        <v>3</v>
      </c>
      <c r="U1377" t="s">
        <v>35</v>
      </c>
      <c r="V1377">
        <v>14</v>
      </c>
      <c r="W1377">
        <v>3</v>
      </c>
      <c r="X1377">
        <v>1</v>
      </c>
      <c r="Y1377">
        <v>0</v>
      </c>
      <c r="Z1377">
        <v>8</v>
      </c>
      <c r="AA1377">
        <v>2</v>
      </c>
      <c r="AB1377">
        <v>3</v>
      </c>
      <c r="AC1377">
        <v>4</v>
      </c>
      <c r="AD1377">
        <v>1</v>
      </c>
      <c r="AE1377">
        <v>0</v>
      </c>
      <c r="AF1377">
        <v>3</v>
      </c>
      <c r="AG1377" t="s">
        <v>68</v>
      </c>
      <c r="AH1377">
        <v>1</v>
      </c>
      <c r="AI1377" t="s">
        <v>69</v>
      </c>
      <c r="AJ1377" s="3" t="s">
        <v>84</v>
      </c>
      <c r="AK1377" s="3">
        <v>1</v>
      </c>
      <c r="AL1377" s="3" t="s">
        <v>83</v>
      </c>
    </row>
    <row r="1378" spans="1:38" x14ac:dyDescent="0.3">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v>4771</v>
      </c>
      <c r="S1378">
        <v>14293</v>
      </c>
      <c r="T1378">
        <v>2</v>
      </c>
      <c r="U1378" t="s">
        <v>43</v>
      </c>
      <c r="V1378">
        <v>19</v>
      </c>
      <c r="W1378">
        <v>3</v>
      </c>
      <c r="X1378">
        <v>4</v>
      </c>
      <c r="Y1378">
        <v>2</v>
      </c>
      <c r="Z1378">
        <v>10</v>
      </c>
      <c r="AA1378">
        <v>0</v>
      </c>
      <c r="AB1378">
        <v>4</v>
      </c>
      <c r="AC1378">
        <v>5</v>
      </c>
      <c r="AD1378">
        <v>2</v>
      </c>
      <c r="AE1378">
        <v>0</v>
      </c>
      <c r="AF1378">
        <v>3</v>
      </c>
      <c r="AG1378" t="s">
        <v>68</v>
      </c>
      <c r="AH1378">
        <v>0</v>
      </c>
      <c r="AI1378" t="s">
        <v>71</v>
      </c>
      <c r="AJ1378" s="3" t="s">
        <v>82</v>
      </c>
      <c r="AK1378" s="3">
        <v>0</v>
      </c>
      <c r="AL1378" s="3" t="s">
        <v>83</v>
      </c>
    </row>
    <row r="1379" spans="1:38" x14ac:dyDescent="0.3">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v>19161</v>
      </c>
      <c r="S1379">
        <v>13738</v>
      </c>
      <c r="T1379">
        <v>3</v>
      </c>
      <c r="U1379" t="s">
        <v>43</v>
      </c>
      <c r="V1379">
        <v>15</v>
      </c>
      <c r="W1379">
        <v>3</v>
      </c>
      <c r="X1379">
        <v>4</v>
      </c>
      <c r="Y1379">
        <v>0</v>
      </c>
      <c r="Z1379">
        <v>28</v>
      </c>
      <c r="AA1379">
        <v>3</v>
      </c>
      <c r="AB1379">
        <v>3</v>
      </c>
      <c r="AC1379">
        <v>5</v>
      </c>
      <c r="AD1379">
        <v>4</v>
      </c>
      <c r="AE1379">
        <v>4</v>
      </c>
      <c r="AF1379">
        <v>3</v>
      </c>
      <c r="AG1379" t="s">
        <v>68</v>
      </c>
      <c r="AH1379">
        <v>0</v>
      </c>
      <c r="AI1379" t="s">
        <v>71</v>
      </c>
      <c r="AJ1379" s="3" t="s">
        <v>82</v>
      </c>
      <c r="AK1379" s="3">
        <v>0</v>
      </c>
      <c r="AL1379" s="3" t="s">
        <v>83</v>
      </c>
    </row>
    <row r="1380" spans="1:38" x14ac:dyDescent="0.3">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v>5087</v>
      </c>
      <c r="S1380">
        <v>2900</v>
      </c>
      <c r="T1380">
        <v>3</v>
      </c>
      <c r="U1380" t="s">
        <v>35</v>
      </c>
      <c r="V1380">
        <v>12</v>
      </c>
      <c r="W1380">
        <v>3</v>
      </c>
      <c r="X1380">
        <v>3</v>
      </c>
      <c r="Y1380">
        <v>2</v>
      </c>
      <c r="Z1380">
        <v>14</v>
      </c>
      <c r="AA1380">
        <v>4</v>
      </c>
      <c r="AB1380">
        <v>3</v>
      </c>
      <c r="AC1380">
        <v>0</v>
      </c>
      <c r="AD1380">
        <v>0</v>
      </c>
      <c r="AE1380">
        <v>0</v>
      </c>
      <c r="AF1380">
        <v>0</v>
      </c>
      <c r="AG1380" t="s">
        <v>66</v>
      </c>
      <c r="AH1380">
        <v>0</v>
      </c>
      <c r="AI1380" t="s">
        <v>70</v>
      </c>
      <c r="AJ1380" s="3" t="s">
        <v>82</v>
      </c>
      <c r="AK1380" s="3">
        <v>2</v>
      </c>
      <c r="AL1380" s="3" t="s">
        <v>84</v>
      </c>
    </row>
    <row r="1381" spans="1:38" x14ac:dyDescent="0.3">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v>2863</v>
      </c>
      <c r="S1381">
        <v>19555</v>
      </c>
      <c r="T1381">
        <v>1</v>
      </c>
      <c r="U1381" t="s">
        <v>43</v>
      </c>
      <c r="V1381">
        <v>12</v>
      </c>
      <c r="W1381">
        <v>3</v>
      </c>
      <c r="X1381">
        <v>1</v>
      </c>
      <c r="Y1381">
        <v>0</v>
      </c>
      <c r="Z1381">
        <v>1</v>
      </c>
      <c r="AA1381">
        <v>2</v>
      </c>
      <c r="AB1381">
        <v>3</v>
      </c>
      <c r="AC1381">
        <v>1</v>
      </c>
      <c r="AD1381">
        <v>0</v>
      </c>
      <c r="AE1381">
        <v>0</v>
      </c>
      <c r="AF1381">
        <v>0</v>
      </c>
      <c r="AG1381" t="s">
        <v>67</v>
      </c>
      <c r="AH1381">
        <v>1</v>
      </c>
      <c r="AI1381" t="s">
        <v>70</v>
      </c>
      <c r="AJ1381" s="3" t="s">
        <v>83</v>
      </c>
      <c r="AK1381" s="3">
        <v>2</v>
      </c>
      <c r="AL1381" s="3" t="s">
        <v>84</v>
      </c>
    </row>
    <row r="1382" spans="1:38" x14ac:dyDescent="0.3">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v>5561</v>
      </c>
      <c r="S1382">
        <v>15975</v>
      </c>
      <c r="T1382">
        <v>0</v>
      </c>
      <c r="U1382" t="s">
        <v>43</v>
      </c>
      <c r="V1382">
        <v>16</v>
      </c>
      <c r="W1382">
        <v>3</v>
      </c>
      <c r="X1382">
        <v>4</v>
      </c>
      <c r="Y1382">
        <v>1</v>
      </c>
      <c r="Z1382">
        <v>6</v>
      </c>
      <c r="AA1382">
        <v>2</v>
      </c>
      <c r="AB1382">
        <v>1</v>
      </c>
      <c r="AC1382">
        <v>5</v>
      </c>
      <c r="AD1382">
        <v>3</v>
      </c>
      <c r="AE1382">
        <v>0</v>
      </c>
      <c r="AF1382">
        <v>4</v>
      </c>
      <c r="AG1382" t="s">
        <v>68</v>
      </c>
      <c r="AH1382">
        <v>0</v>
      </c>
      <c r="AI1382" t="s">
        <v>72</v>
      </c>
      <c r="AJ1382" s="3" t="s">
        <v>83</v>
      </c>
      <c r="AK1382" s="3">
        <v>1</v>
      </c>
      <c r="AL1382" s="3" t="s">
        <v>83</v>
      </c>
    </row>
    <row r="1383" spans="1:38" x14ac:dyDescent="0.3">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v>2144</v>
      </c>
      <c r="S1383">
        <v>2122</v>
      </c>
      <c r="T1383">
        <v>1</v>
      </c>
      <c r="U1383" t="s">
        <v>43</v>
      </c>
      <c r="V1383">
        <v>14</v>
      </c>
      <c r="W1383">
        <v>3</v>
      </c>
      <c r="X1383">
        <v>3</v>
      </c>
      <c r="Y1383">
        <v>0</v>
      </c>
      <c r="Z1383">
        <v>5</v>
      </c>
      <c r="AA1383">
        <v>3</v>
      </c>
      <c r="AB1383">
        <v>2</v>
      </c>
      <c r="AC1383">
        <v>5</v>
      </c>
      <c r="AD1383">
        <v>3</v>
      </c>
      <c r="AE1383">
        <v>1</v>
      </c>
      <c r="AF1383">
        <v>4</v>
      </c>
      <c r="AG1383" t="s">
        <v>68</v>
      </c>
      <c r="AH1383">
        <v>0</v>
      </c>
      <c r="AI1383" t="s">
        <v>71</v>
      </c>
      <c r="AJ1383" s="3" t="s">
        <v>84</v>
      </c>
      <c r="AK1383" s="3">
        <v>0</v>
      </c>
      <c r="AL1383" s="3" t="s">
        <v>83</v>
      </c>
    </row>
    <row r="1384" spans="1:38" x14ac:dyDescent="0.3">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v>3065</v>
      </c>
      <c r="S1384">
        <v>3995</v>
      </c>
      <c r="T1384">
        <v>1</v>
      </c>
      <c r="U1384" t="s">
        <v>35</v>
      </c>
      <c r="V1384">
        <v>13</v>
      </c>
      <c r="W1384">
        <v>3</v>
      </c>
      <c r="X1384">
        <v>4</v>
      </c>
      <c r="Y1384">
        <v>1</v>
      </c>
      <c r="Z1384">
        <v>4</v>
      </c>
      <c r="AA1384">
        <v>3</v>
      </c>
      <c r="AB1384">
        <v>4</v>
      </c>
      <c r="AC1384">
        <v>4</v>
      </c>
      <c r="AD1384">
        <v>2</v>
      </c>
      <c r="AE1384">
        <v>2</v>
      </c>
      <c r="AF1384">
        <v>3</v>
      </c>
      <c r="AG1384" t="s">
        <v>68</v>
      </c>
      <c r="AH1384">
        <v>0</v>
      </c>
      <c r="AI1384" t="s">
        <v>72</v>
      </c>
      <c r="AJ1384" s="3" t="s">
        <v>83</v>
      </c>
      <c r="AK1384" s="3">
        <v>2</v>
      </c>
      <c r="AL1384" s="3" t="s">
        <v>84</v>
      </c>
    </row>
    <row r="1385" spans="1:38" x14ac:dyDescent="0.3">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v>2810</v>
      </c>
      <c r="S1385">
        <v>9238</v>
      </c>
      <c r="T1385">
        <v>1</v>
      </c>
      <c r="U1385" t="s">
        <v>43</v>
      </c>
      <c r="V1385">
        <v>22</v>
      </c>
      <c r="W1385">
        <v>4</v>
      </c>
      <c r="X1385">
        <v>2</v>
      </c>
      <c r="Y1385">
        <v>0</v>
      </c>
      <c r="Z1385">
        <v>5</v>
      </c>
      <c r="AA1385">
        <v>3</v>
      </c>
      <c r="AB1385">
        <v>3</v>
      </c>
      <c r="AC1385">
        <v>5</v>
      </c>
      <c r="AD1385">
        <v>4</v>
      </c>
      <c r="AE1385">
        <v>0</v>
      </c>
      <c r="AF1385">
        <v>2</v>
      </c>
      <c r="AG1385" t="s">
        <v>68</v>
      </c>
      <c r="AH1385">
        <v>0</v>
      </c>
      <c r="AI1385" t="s">
        <v>71</v>
      </c>
      <c r="AJ1385" s="3" t="s">
        <v>83</v>
      </c>
      <c r="AK1385" s="3">
        <v>1</v>
      </c>
      <c r="AL1385" s="3" t="s">
        <v>83</v>
      </c>
    </row>
    <row r="1386" spans="1:38" x14ac:dyDescent="0.3">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v>9888</v>
      </c>
      <c r="S1386">
        <v>6770</v>
      </c>
      <c r="T1386">
        <v>1</v>
      </c>
      <c r="U1386" t="s">
        <v>43</v>
      </c>
      <c r="V1386">
        <v>21</v>
      </c>
      <c r="W1386">
        <v>4</v>
      </c>
      <c r="X1386">
        <v>1</v>
      </c>
      <c r="Y1386">
        <v>0</v>
      </c>
      <c r="Z1386">
        <v>14</v>
      </c>
      <c r="AA1386">
        <v>3</v>
      </c>
      <c r="AB1386">
        <v>2</v>
      </c>
      <c r="AC1386">
        <v>14</v>
      </c>
      <c r="AD1386">
        <v>8</v>
      </c>
      <c r="AE1386">
        <v>2</v>
      </c>
      <c r="AF1386">
        <v>1</v>
      </c>
      <c r="AG1386" t="s">
        <v>65</v>
      </c>
      <c r="AH1386">
        <v>0</v>
      </c>
      <c r="AI1386" t="s">
        <v>71</v>
      </c>
      <c r="AJ1386" s="3" t="s">
        <v>82</v>
      </c>
      <c r="AK1386" s="3">
        <v>0</v>
      </c>
      <c r="AL1386" s="3" t="s">
        <v>83</v>
      </c>
    </row>
    <row r="1387" spans="1:38" x14ac:dyDescent="0.3">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v>8628</v>
      </c>
      <c r="S1387">
        <v>22914</v>
      </c>
      <c r="T1387">
        <v>1</v>
      </c>
      <c r="U1387" t="s">
        <v>43</v>
      </c>
      <c r="V1387">
        <v>18</v>
      </c>
      <c r="W1387">
        <v>3</v>
      </c>
      <c r="X1387">
        <v>3</v>
      </c>
      <c r="Y1387">
        <v>1</v>
      </c>
      <c r="Z1387">
        <v>9</v>
      </c>
      <c r="AA1387">
        <v>2</v>
      </c>
      <c r="AB1387">
        <v>2</v>
      </c>
      <c r="AC1387">
        <v>8</v>
      </c>
      <c r="AD1387">
        <v>7</v>
      </c>
      <c r="AE1387">
        <v>1</v>
      </c>
      <c r="AF1387">
        <v>1</v>
      </c>
      <c r="AG1387" t="s">
        <v>65</v>
      </c>
      <c r="AH1387">
        <v>0</v>
      </c>
      <c r="AI1387" t="s">
        <v>71</v>
      </c>
      <c r="AJ1387" s="3" t="s">
        <v>84</v>
      </c>
      <c r="AK1387" s="3">
        <v>0</v>
      </c>
      <c r="AL1387" s="3" t="s">
        <v>83</v>
      </c>
    </row>
    <row r="1388" spans="1:38" x14ac:dyDescent="0.3">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v>2867</v>
      </c>
      <c r="S1388">
        <v>20006</v>
      </c>
      <c r="T1388">
        <v>0</v>
      </c>
      <c r="U1388" t="s">
        <v>43</v>
      </c>
      <c r="V1388">
        <v>13</v>
      </c>
      <c r="W1388">
        <v>3</v>
      </c>
      <c r="X1388">
        <v>4</v>
      </c>
      <c r="Y1388">
        <v>0</v>
      </c>
      <c r="Z1388">
        <v>8</v>
      </c>
      <c r="AA1388">
        <v>6</v>
      </c>
      <c r="AB1388">
        <v>2</v>
      </c>
      <c r="AC1388">
        <v>7</v>
      </c>
      <c r="AD1388">
        <v>7</v>
      </c>
      <c r="AE1388">
        <v>7</v>
      </c>
      <c r="AF1388">
        <v>6</v>
      </c>
      <c r="AG1388" t="s">
        <v>65</v>
      </c>
      <c r="AH1388">
        <v>0</v>
      </c>
      <c r="AI1388" t="s">
        <v>71</v>
      </c>
      <c r="AJ1388" s="3" t="s">
        <v>83</v>
      </c>
      <c r="AK1388" s="3">
        <v>1</v>
      </c>
      <c r="AL1388" s="3" t="s">
        <v>83</v>
      </c>
    </row>
    <row r="1389" spans="1:38" x14ac:dyDescent="0.3">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v>5373</v>
      </c>
      <c r="S1389">
        <v>6225</v>
      </c>
      <c r="T1389">
        <v>0</v>
      </c>
      <c r="U1389" t="s">
        <v>43</v>
      </c>
      <c r="V1389">
        <v>12</v>
      </c>
      <c r="W1389">
        <v>3</v>
      </c>
      <c r="X1389">
        <v>1</v>
      </c>
      <c r="Y1389">
        <v>1</v>
      </c>
      <c r="Z1389">
        <v>6</v>
      </c>
      <c r="AA1389">
        <v>5</v>
      </c>
      <c r="AB1389">
        <v>2</v>
      </c>
      <c r="AC1389">
        <v>5</v>
      </c>
      <c r="AD1389">
        <v>3</v>
      </c>
      <c r="AE1389">
        <v>0</v>
      </c>
      <c r="AF1389">
        <v>2</v>
      </c>
      <c r="AG1389" t="s">
        <v>68</v>
      </c>
      <c r="AH1389">
        <v>0</v>
      </c>
      <c r="AI1389" t="s">
        <v>72</v>
      </c>
      <c r="AJ1389" s="3" t="s">
        <v>83</v>
      </c>
      <c r="AK1389" s="3">
        <v>1</v>
      </c>
      <c r="AL1389" s="3" t="s">
        <v>83</v>
      </c>
    </row>
    <row r="1390" spans="1:38" x14ac:dyDescent="0.3">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v>6667</v>
      </c>
      <c r="S1390">
        <v>16542</v>
      </c>
      <c r="T1390">
        <v>5</v>
      </c>
      <c r="U1390" t="s">
        <v>43</v>
      </c>
      <c r="V1390">
        <v>18</v>
      </c>
      <c r="W1390">
        <v>3</v>
      </c>
      <c r="X1390">
        <v>2</v>
      </c>
      <c r="Y1390">
        <v>1</v>
      </c>
      <c r="Z1390">
        <v>9</v>
      </c>
      <c r="AA1390">
        <v>6</v>
      </c>
      <c r="AB1390">
        <v>3</v>
      </c>
      <c r="AC1390">
        <v>5</v>
      </c>
      <c r="AD1390">
        <v>1</v>
      </c>
      <c r="AE1390">
        <v>1</v>
      </c>
      <c r="AF1390">
        <v>2</v>
      </c>
      <c r="AG1390" t="s">
        <v>68</v>
      </c>
      <c r="AH1390">
        <v>0</v>
      </c>
      <c r="AI1390" t="s">
        <v>72</v>
      </c>
      <c r="AJ1390" s="3" t="s">
        <v>82</v>
      </c>
      <c r="AK1390" s="3">
        <v>0</v>
      </c>
      <c r="AL1390" s="3" t="s">
        <v>83</v>
      </c>
    </row>
    <row r="1391" spans="1:38" x14ac:dyDescent="0.3">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v>5003</v>
      </c>
      <c r="S1391">
        <v>5771</v>
      </c>
      <c r="T1391">
        <v>1</v>
      </c>
      <c r="U1391" t="s">
        <v>43</v>
      </c>
      <c r="V1391">
        <v>21</v>
      </c>
      <c r="W1391">
        <v>4</v>
      </c>
      <c r="X1391">
        <v>2</v>
      </c>
      <c r="Y1391">
        <v>0</v>
      </c>
      <c r="Z1391">
        <v>10</v>
      </c>
      <c r="AA1391">
        <v>6</v>
      </c>
      <c r="AB1391">
        <v>3</v>
      </c>
      <c r="AC1391">
        <v>10</v>
      </c>
      <c r="AD1391">
        <v>8</v>
      </c>
      <c r="AE1391">
        <v>8</v>
      </c>
      <c r="AF1391">
        <v>7</v>
      </c>
      <c r="AG1391" t="s">
        <v>65</v>
      </c>
      <c r="AH1391">
        <v>0</v>
      </c>
      <c r="AI1391" t="s">
        <v>71</v>
      </c>
      <c r="AJ1391" s="3" t="s">
        <v>83</v>
      </c>
      <c r="AK1391" s="3">
        <v>1</v>
      </c>
      <c r="AL1391" s="3" t="s">
        <v>83</v>
      </c>
    </row>
    <row r="1392" spans="1:38" x14ac:dyDescent="0.3">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v>2367</v>
      </c>
      <c r="S1392">
        <v>18779</v>
      </c>
      <c r="T1392">
        <v>5</v>
      </c>
      <c r="U1392" t="s">
        <v>43</v>
      </c>
      <c r="V1392">
        <v>12</v>
      </c>
      <c r="W1392">
        <v>3</v>
      </c>
      <c r="X1392">
        <v>1</v>
      </c>
      <c r="Y1392">
        <v>1</v>
      </c>
      <c r="Z1392">
        <v>6</v>
      </c>
      <c r="AA1392">
        <v>2</v>
      </c>
      <c r="AB1392">
        <v>2</v>
      </c>
      <c r="AC1392">
        <v>4</v>
      </c>
      <c r="AD1392">
        <v>1</v>
      </c>
      <c r="AE1392">
        <v>0</v>
      </c>
      <c r="AF1392">
        <v>3</v>
      </c>
      <c r="AG1392" t="s">
        <v>68</v>
      </c>
      <c r="AH1392">
        <v>1</v>
      </c>
      <c r="AI1392" t="s">
        <v>71</v>
      </c>
      <c r="AJ1392" s="3" t="s">
        <v>82</v>
      </c>
      <c r="AK1392" s="3">
        <v>0</v>
      </c>
      <c r="AL1392" s="3" t="s">
        <v>83</v>
      </c>
    </row>
    <row r="1393" spans="1:38" x14ac:dyDescent="0.3">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v>2858</v>
      </c>
      <c r="S1393">
        <v>11473</v>
      </c>
      <c r="T1393">
        <v>4</v>
      </c>
      <c r="U1393" t="s">
        <v>43</v>
      </c>
      <c r="V1393">
        <v>14</v>
      </c>
      <c r="W1393">
        <v>3</v>
      </c>
      <c r="X1393">
        <v>1</v>
      </c>
      <c r="Y1393">
        <v>0</v>
      </c>
      <c r="Z1393">
        <v>20</v>
      </c>
      <c r="AA1393">
        <v>3</v>
      </c>
      <c r="AB1393">
        <v>2</v>
      </c>
      <c r="AC1393">
        <v>1</v>
      </c>
      <c r="AD1393">
        <v>0</v>
      </c>
      <c r="AE1393">
        <v>0</v>
      </c>
      <c r="AF1393">
        <v>0</v>
      </c>
      <c r="AG1393" t="s">
        <v>67</v>
      </c>
      <c r="AH1393">
        <v>0</v>
      </c>
      <c r="AI1393" t="s">
        <v>72</v>
      </c>
      <c r="AJ1393" s="3" t="s">
        <v>83</v>
      </c>
      <c r="AK1393" s="3">
        <v>2</v>
      </c>
      <c r="AL1393" s="3" t="s">
        <v>84</v>
      </c>
    </row>
    <row r="1394" spans="1:38" x14ac:dyDescent="0.3">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v>5204</v>
      </c>
      <c r="S1394">
        <v>13586</v>
      </c>
      <c r="T1394">
        <v>1</v>
      </c>
      <c r="U1394" t="s">
        <v>35</v>
      </c>
      <c r="V1394">
        <v>11</v>
      </c>
      <c r="W1394">
        <v>3</v>
      </c>
      <c r="X1394">
        <v>4</v>
      </c>
      <c r="Y1394">
        <v>0</v>
      </c>
      <c r="Z1394">
        <v>10</v>
      </c>
      <c r="AA1394">
        <v>2</v>
      </c>
      <c r="AB1394">
        <v>3</v>
      </c>
      <c r="AC1394">
        <v>10</v>
      </c>
      <c r="AD1394">
        <v>8</v>
      </c>
      <c r="AE1394">
        <v>0</v>
      </c>
      <c r="AF1394">
        <v>9</v>
      </c>
      <c r="AG1394" t="s">
        <v>65</v>
      </c>
      <c r="AH1394">
        <v>0</v>
      </c>
      <c r="AI1394" t="s">
        <v>71</v>
      </c>
      <c r="AJ1394" s="3" t="s">
        <v>82</v>
      </c>
      <c r="AK1394" s="3">
        <v>1</v>
      </c>
      <c r="AL1394" s="3" t="s">
        <v>83</v>
      </c>
    </row>
    <row r="1395" spans="1:38" x14ac:dyDescent="0.3">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v>4105</v>
      </c>
      <c r="S1395">
        <v>5099</v>
      </c>
      <c r="T1395">
        <v>1</v>
      </c>
      <c r="U1395" t="s">
        <v>43</v>
      </c>
      <c r="V1395">
        <v>14</v>
      </c>
      <c r="W1395">
        <v>3</v>
      </c>
      <c r="X1395">
        <v>1</v>
      </c>
      <c r="Y1395">
        <v>0</v>
      </c>
      <c r="Z1395">
        <v>7</v>
      </c>
      <c r="AA1395">
        <v>5</v>
      </c>
      <c r="AB1395">
        <v>3</v>
      </c>
      <c r="AC1395">
        <v>7</v>
      </c>
      <c r="AD1395">
        <v>7</v>
      </c>
      <c r="AE1395">
        <v>0</v>
      </c>
      <c r="AF1395">
        <v>7</v>
      </c>
      <c r="AG1395" t="s">
        <v>65</v>
      </c>
      <c r="AH1395">
        <v>0</v>
      </c>
      <c r="AI1395" t="s">
        <v>71</v>
      </c>
      <c r="AJ1395" s="3" t="s">
        <v>82</v>
      </c>
      <c r="AK1395" s="3">
        <v>0</v>
      </c>
      <c r="AL1395" s="3" t="s">
        <v>83</v>
      </c>
    </row>
    <row r="1396" spans="1:38" x14ac:dyDescent="0.3">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v>9679</v>
      </c>
      <c r="S1396">
        <v>10138</v>
      </c>
      <c r="T1396">
        <v>8</v>
      </c>
      <c r="U1396" t="s">
        <v>43</v>
      </c>
      <c r="V1396">
        <v>24</v>
      </c>
      <c r="W1396">
        <v>4</v>
      </c>
      <c r="X1396">
        <v>2</v>
      </c>
      <c r="Y1396">
        <v>0</v>
      </c>
      <c r="Z1396">
        <v>8</v>
      </c>
      <c r="AA1396">
        <v>1</v>
      </c>
      <c r="AB1396">
        <v>3</v>
      </c>
      <c r="AC1396">
        <v>1</v>
      </c>
      <c r="AD1396">
        <v>0</v>
      </c>
      <c r="AE1396">
        <v>0</v>
      </c>
      <c r="AF1396">
        <v>0</v>
      </c>
      <c r="AG1396" t="s">
        <v>67</v>
      </c>
      <c r="AH1396">
        <v>0</v>
      </c>
      <c r="AI1396" t="s">
        <v>72</v>
      </c>
      <c r="AJ1396" s="3" t="s">
        <v>82</v>
      </c>
      <c r="AK1396" s="3">
        <v>1</v>
      </c>
      <c r="AL1396" s="3" t="s">
        <v>83</v>
      </c>
    </row>
    <row r="1397" spans="1:38" x14ac:dyDescent="0.3">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v>5617</v>
      </c>
      <c r="S1397">
        <v>21075</v>
      </c>
      <c r="T1397">
        <v>1</v>
      </c>
      <c r="U1397" t="s">
        <v>35</v>
      </c>
      <c r="V1397">
        <v>11</v>
      </c>
      <c r="W1397">
        <v>3</v>
      </c>
      <c r="X1397">
        <v>3</v>
      </c>
      <c r="Y1397">
        <v>0</v>
      </c>
      <c r="Z1397">
        <v>10</v>
      </c>
      <c r="AA1397">
        <v>4</v>
      </c>
      <c r="AB1397">
        <v>3</v>
      </c>
      <c r="AC1397">
        <v>10</v>
      </c>
      <c r="AD1397">
        <v>7</v>
      </c>
      <c r="AE1397">
        <v>0</v>
      </c>
      <c r="AF1397">
        <v>8</v>
      </c>
      <c r="AG1397" t="s">
        <v>65</v>
      </c>
      <c r="AH1397">
        <v>1</v>
      </c>
      <c r="AI1397" t="s">
        <v>71</v>
      </c>
      <c r="AJ1397" s="3" t="s">
        <v>82</v>
      </c>
      <c r="AK1397" s="3">
        <v>1</v>
      </c>
      <c r="AL1397" s="3" t="s">
        <v>83</v>
      </c>
    </row>
    <row r="1398" spans="1:38" x14ac:dyDescent="0.3">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v>10448</v>
      </c>
      <c r="S1398">
        <v>5843</v>
      </c>
      <c r="T1398">
        <v>6</v>
      </c>
      <c r="U1398" t="s">
        <v>35</v>
      </c>
      <c r="V1398">
        <v>13</v>
      </c>
      <c r="W1398">
        <v>3</v>
      </c>
      <c r="X1398">
        <v>2</v>
      </c>
      <c r="Y1398">
        <v>0</v>
      </c>
      <c r="Z1398">
        <v>15</v>
      </c>
      <c r="AA1398">
        <v>2</v>
      </c>
      <c r="AB1398">
        <v>2</v>
      </c>
      <c r="AC1398">
        <v>2</v>
      </c>
      <c r="AD1398">
        <v>2</v>
      </c>
      <c r="AE1398">
        <v>2</v>
      </c>
      <c r="AF1398">
        <v>2</v>
      </c>
      <c r="AG1398" t="s">
        <v>67</v>
      </c>
      <c r="AH1398">
        <v>1</v>
      </c>
      <c r="AI1398" t="s">
        <v>71</v>
      </c>
      <c r="AJ1398" s="3" t="s">
        <v>83</v>
      </c>
      <c r="AK1398" s="3">
        <v>3</v>
      </c>
      <c r="AL1398" s="3" t="s">
        <v>82</v>
      </c>
    </row>
    <row r="1399" spans="1:38" x14ac:dyDescent="0.3">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v>2897</v>
      </c>
      <c r="S1399">
        <v>22474</v>
      </c>
      <c r="T1399">
        <v>3</v>
      </c>
      <c r="U1399" t="s">
        <v>43</v>
      </c>
      <c r="V1399">
        <v>11</v>
      </c>
      <c r="W1399">
        <v>3</v>
      </c>
      <c r="X1399">
        <v>3</v>
      </c>
      <c r="Y1399">
        <v>2</v>
      </c>
      <c r="Z1399">
        <v>9</v>
      </c>
      <c r="AA1399">
        <v>6</v>
      </c>
      <c r="AB1399">
        <v>2</v>
      </c>
      <c r="AC1399">
        <v>4</v>
      </c>
      <c r="AD1399">
        <v>3</v>
      </c>
      <c r="AE1399">
        <v>2</v>
      </c>
      <c r="AF1399">
        <v>3</v>
      </c>
      <c r="AG1399" t="s">
        <v>68</v>
      </c>
      <c r="AH1399">
        <v>0</v>
      </c>
      <c r="AI1399" t="s">
        <v>69</v>
      </c>
      <c r="AJ1399" s="3" t="s">
        <v>84</v>
      </c>
      <c r="AK1399" s="3">
        <v>0</v>
      </c>
      <c r="AL1399" s="3" t="s">
        <v>83</v>
      </c>
    </row>
    <row r="1400" spans="1:38" x14ac:dyDescent="0.3">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v>5968</v>
      </c>
      <c r="S1400">
        <v>18079</v>
      </c>
      <c r="T1400">
        <v>1</v>
      </c>
      <c r="U1400" t="s">
        <v>43</v>
      </c>
      <c r="V1400">
        <v>20</v>
      </c>
      <c r="W1400">
        <v>4</v>
      </c>
      <c r="X1400">
        <v>3</v>
      </c>
      <c r="Y1400">
        <v>3</v>
      </c>
      <c r="Z1400">
        <v>9</v>
      </c>
      <c r="AA1400">
        <v>2</v>
      </c>
      <c r="AB1400">
        <v>3</v>
      </c>
      <c r="AC1400">
        <v>9</v>
      </c>
      <c r="AD1400">
        <v>7</v>
      </c>
      <c r="AE1400">
        <v>2</v>
      </c>
      <c r="AF1400">
        <v>8</v>
      </c>
      <c r="AG1400" t="s">
        <v>65</v>
      </c>
      <c r="AH1400">
        <v>0</v>
      </c>
      <c r="AI1400" t="s">
        <v>69</v>
      </c>
      <c r="AJ1400" s="3" t="s">
        <v>84</v>
      </c>
      <c r="AK1400" s="3">
        <v>0</v>
      </c>
      <c r="AL1400" s="3" t="s">
        <v>83</v>
      </c>
    </row>
    <row r="1401" spans="1:38" x14ac:dyDescent="0.3">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v>7510</v>
      </c>
      <c r="S1401">
        <v>16873</v>
      </c>
      <c r="T1401">
        <v>1</v>
      </c>
      <c r="U1401" t="s">
        <v>43</v>
      </c>
      <c r="V1401">
        <v>17</v>
      </c>
      <c r="W1401">
        <v>3</v>
      </c>
      <c r="X1401">
        <v>2</v>
      </c>
      <c r="Y1401">
        <v>1</v>
      </c>
      <c r="Z1401">
        <v>10</v>
      </c>
      <c r="AA1401">
        <v>1</v>
      </c>
      <c r="AB1401">
        <v>3</v>
      </c>
      <c r="AC1401">
        <v>10</v>
      </c>
      <c r="AD1401">
        <v>9</v>
      </c>
      <c r="AE1401">
        <v>0</v>
      </c>
      <c r="AF1401">
        <v>9</v>
      </c>
      <c r="AG1401" t="s">
        <v>65</v>
      </c>
      <c r="AH1401">
        <v>0</v>
      </c>
      <c r="AI1401" t="s">
        <v>71</v>
      </c>
      <c r="AJ1401" s="3" t="s">
        <v>84</v>
      </c>
      <c r="AK1401" s="3">
        <v>0</v>
      </c>
      <c r="AL1401" s="3" t="s">
        <v>83</v>
      </c>
    </row>
    <row r="1402" spans="1:38" x14ac:dyDescent="0.3">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v>2991</v>
      </c>
      <c r="S1402">
        <v>5224</v>
      </c>
      <c r="T1402">
        <v>0</v>
      </c>
      <c r="U1402" t="s">
        <v>35</v>
      </c>
      <c r="V1402">
        <v>11</v>
      </c>
      <c r="W1402">
        <v>3</v>
      </c>
      <c r="X1402">
        <v>2</v>
      </c>
      <c r="Y1402">
        <v>1</v>
      </c>
      <c r="Z1402">
        <v>7</v>
      </c>
      <c r="AA1402">
        <v>2</v>
      </c>
      <c r="AB1402">
        <v>3</v>
      </c>
      <c r="AC1402">
        <v>6</v>
      </c>
      <c r="AD1402">
        <v>2</v>
      </c>
      <c r="AE1402">
        <v>1</v>
      </c>
      <c r="AF1402">
        <v>2</v>
      </c>
      <c r="AG1402" t="s">
        <v>65</v>
      </c>
      <c r="AH1402">
        <v>0</v>
      </c>
      <c r="AI1402" t="s">
        <v>70</v>
      </c>
      <c r="AJ1402" s="3" t="s">
        <v>83</v>
      </c>
      <c r="AK1402" s="3">
        <v>2</v>
      </c>
      <c r="AL1402" s="3" t="s">
        <v>84</v>
      </c>
    </row>
    <row r="1403" spans="1:38" x14ac:dyDescent="0.3">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v>19636</v>
      </c>
      <c r="S1403">
        <v>25811</v>
      </c>
      <c r="T1403">
        <v>4</v>
      </c>
      <c r="U1403" t="s">
        <v>35</v>
      </c>
      <c r="V1403">
        <v>18</v>
      </c>
      <c r="W1403">
        <v>3</v>
      </c>
      <c r="X1403">
        <v>1</v>
      </c>
      <c r="Y1403">
        <v>1</v>
      </c>
      <c r="Z1403">
        <v>35</v>
      </c>
      <c r="AA1403">
        <v>0</v>
      </c>
      <c r="AB1403">
        <v>3</v>
      </c>
      <c r="AC1403">
        <v>10</v>
      </c>
      <c r="AD1403">
        <v>9</v>
      </c>
      <c r="AE1403">
        <v>1</v>
      </c>
      <c r="AF1403">
        <v>4</v>
      </c>
      <c r="AG1403" t="s">
        <v>65</v>
      </c>
      <c r="AH1403">
        <v>0</v>
      </c>
      <c r="AI1403" t="s">
        <v>71</v>
      </c>
      <c r="AJ1403" s="3" t="s">
        <v>83</v>
      </c>
      <c r="AK1403" s="3">
        <v>2</v>
      </c>
      <c r="AL1403" s="3" t="s">
        <v>84</v>
      </c>
    </row>
    <row r="1404" spans="1:38" x14ac:dyDescent="0.3">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v>1129</v>
      </c>
      <c r="S1404">
        <v>17536</v>
      </c>
      <c r="T1404">
        <v>1</v>
      </c>
      <c r="U1404" t="s">
        <v>35</v>
      </c>
      <c r="V1404">
        <v>11</v>
      </c>
      <c r="W1404">
        <v>3</v>
      </c>
      <c r="X1404">
        <v>3</v>
      </c>
      <c r="Y1404">
        <v>3</v>
      </c>
      <c r="Z1404">
        <v>1</v>
      </c>
      <c r="AA1404">
        <v>4</v>
      </c>
      <c r="AB1404">
        <v>3</v>
      </c>
      <c r="AC1404">
        <v>1</v>
      </c>
      <c r="AD1404">
        <v>0</v>
      </c>
      <c r="AE1404">
        <v>0</v>
      </c>
      <c r="AF1404">
        <v>0</v>
      </c>
      <c r="AG1404" t="s">
        <v>67</v>
      </c>
      <c r="AH1404">
        <v>0</v>
      </c>
      <c r="AI1404" t="s">
        <v>69</v>
      </c>
      <c r="AJ1404" s="3" t="s">
        <v>82</v>
      </c>
      <c r="AK1404" s="3">
        <v>2</v>
      </c>
      <c r="AL1404" s="3" t="s">
        <v>84</v>
      </c>
    </row>
    <row r="1405" spans="1:38" x14ac:dyDescent="0.3">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v>13341</v>
      </c>
      <c r="S1405">
        <v>25098</v>
      </c>
      <c r="T1405">
        <v>0</v>
      </c>
      <c r="U1405" t="s">
        <v>43</v>
      </c>
      <c r="V1405">
        <v>12</v>
      </c>
      <c r="W1405">
        <v>3</v>
      </c>
      <c r="X1405">
        <v>1</v>
      </c>
      <c r="Y1405">
        <v>0</v>
      </c>
      <c r="Z1405">
        <v>21</v>
      </c>
      <c r="AA1405">
        <v>3</v>
      </c>
      <c r="AB1405">
        <v>3</v>
      </c>
      <c r="AC1405">
        <v>20</v>
      </c>
      <c r="AD1405">
        <v>8</v>
      </c>
      <c r="AE1405">
        <v>11</v>
      </c>
      <c r="AF1405">
        <v>10</v>
      </c>
      <c r="AG1405" t="s">
        <v>65</v>
      </c>
      <c r="AH1405">
        <v>0</v>
      </c>
      <c r="AI1405" t="s">
        <v>71</v>
      </c>
      <c r="AJ1405" s="3" t="s">
        <v>83</v>
      </c>
      <c r="AK1405" s="3">
        <v>1</v>
      </c>
      <c r="AL1405" s="3" t="s">
        <v>83</v>
      </c>
    </row>
    <row r="1406" spans="1:38" x14ac:dyDescent="0.3">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v>4332</v>
      </c>
      <c r="S1406">
        <v>14811</v>
      </c>
      <c r="T1406">
        <v>1</v>
      </c>
      <c r="U1406" t="s">
        <v>43</v>
      </c>
      <c r="V1406">
        <v>12</v>
      </c>
      <c r="W1406">
        <v>3</v>
      </c>
      <c r="X1406">
        <v>4</v>
      </c>
      <c r="Y1406">
        <v>0</v>
      </c>
      <c r="Z1406">
        <v>20</v>
      </c>
      <c r="AA1406">
        <v>2</v>
      </c>
      <c r="AB1406">
        <v>3</v>
      </c>
      <c r="AC1406">
        <v>20</v>
      </c>
      <c r="AD1406">
        <v>9</v>
      </c>
      <c r="AE1406">
        <v>3</v>
      </c>
      <c r="AF1406">
        <v>7</v>
      </c>
      <c r="AG1406" t="s">
        <v>65</v>
      </c>
      <c r="AH1406">
        <v>0</v>
      </c>
      <c r="AI1406" t="s">
        <v>71</v>
      </c>
      <c r="AJ1406" s="3" t="s">
        <v>84</v>
      </c>
      <c r="AK1406" s="3">
        <v>0</v>
      </c>
      <c r="AL1406" s="3" t="s">
        <v>83</v>
      </c>
    </row>
    <row r="1407" spans="1:38" x14ac:dyDescent="0.3">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v>11031</v>
      </c>
      <c r="S1407">
        <v>26862</v>
      </c>
      <c r="T1407">
        <v>4</v>
      </c>
      <c r="U1407" t="s">
        <v>43</v>
      </c>
      <c r="V1407">
        <v>20</v>
      </c>
      <c r="W1407">
        <v>4</v>
      </c>
      <c r="X1407">
        <v>3</v>
      </c>
      <c r="Y1407">
        <v>1</v>
      </c>
      <c r="Z1407">
        <v>13</v>
      </c>
      <c r="AA1407">
        <v>2</v>
      </c>
      <c r="AB1407">
        <v>4</v>
      </c>
      <c r="AC1407">
        <v>11</v>
      </c>
      <c r="AD1407">
        <v>7</v>
      </c>
      <c r="AE1407">
        <v>4</v>
      </c>
      <c r="AF1407">
        <v>8</v>
      </c>
      <c r="AG1407" t="s">
        <v>65</v>
      </c>
      <c r="AH1407">
        <v>0</v>
      </c>
      <c r="AI1407" t="s">
        <v>70</v>
      </c>
      <c r="AJ1407" s="3" t="s">
        <v>84</v>
      </c>
      <c r="AK1407" s="3">
        <v>0</v>
      </c>
      <c r="AL1407" s="3" t="s">
        <v>83</v>
      </c>
    </row>
    <row r="1408" spans="1:38" x14ac:dyDescent="0.3">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v>4440</v>
      </c>
      <c r="S1408">
        <v>25198</v>
      </c>
      <c r="T1408">
        <v>6</v>
      </c>
      <c r="U1408" t="s">
        <v>35</v>
      </c>
      <c r="V1408">
        <v>19</v>
      </c>
      <c r="W1408">
        <v>3</v>
      </c>
      <c r="X1408">
        <v>4</v>
      </c>
      <c r="Y1408">
        <v>0</v>
      </c>
      <c r="Z1408">
        <v>9</v>
      </c>
      <c r="AA1408">
        <v>3</v>
      </c>
      <c r="AB1408">
        <v>3</v>
      </c>
      <c r="AC1408">
        <v>5</v>
      </c>
      <c r="AD1408">
        <v>2</v>
      </c>
      <c r="AE1408">
        <v>1</v>
      </c>
      <c r="AF1408">
        <v>4</v>
      </c>
      <c r="AG1408" t="s">
        <v>68</v>
      </c>
      <c r="AH1408">
        <v>0</v>
      </c>
      <c r="AI1408" t="s">
        <v>71</v>
      </c>
      <c r="AJ1408" s="3" t="s">
        <v>83</v>
      </c>
      <c r="AK1408" s="3">
        <v>2</v>
      </c>
      <c r="AL1408" s="3" t="s">
        <v>84</v>
      </c>
    </row>
    <row r="1409" spans="1:38" x14ac:dyDescent="0.3">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v>4617</v>
      </c>
      <c r="S1409">
        <v>14120</v>
      </c>
      <c r="T1409">
        <v>1</v>
      </c>
      <c r="U1409" t="s">
        <v>43</v>
      </c>
      <c r="V1409">
        <v>12</v>
      </c>
      <c r="W1409">
        <v>3</v>
      </c>
      <c r="X1409">
        <v>2</v>
      </c>
      <c r="Y1409">
        <v>0</v>
      </c>
      <c r="Z1409">
        <v>4</v>
      </c>
      <c r="AA1409">
        <v>2</v>
      </c>
      <c r="AB1409">
        <v>2</v>
      </c>
      <c r="AC1409">
        <v>4</v>
      </c>
      <c r="AD1409">
        <v>3</v>
      </c>
      <c r="AE1409">
        <v>1</v>
      </c>
      <c r="AF1409">
        <v>2</v>
      </c>
      <c r="AG1409" t="s">
        <v>68</v>
      </c>
      <c r="AH1409">
        <v>0</v>
      </c>
      <c r="AI1409" t="s">
        <v>69</v>
      </c>
      <c r="AJ1409" s="3" t="s">
        <v>84</v>
      </c>
      <c r="AK1409" s="3">
        <v>0</v>
      </c>
      <c r="AL1409" s="3" t="s">
        <v>83</v>
      </c>
    </row>
    <row r="1410" spans="1:38" x14ac:dyDescent="0.3">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v>2647</v>
      </c>
      <c r="S1410">
        <v>13672</v>
      </c>
      <c r="T1410">
        <v>1</v>
      </c>
      <c r="U1410" t="s">
        <v>43</v>
      </c>
      <c r="V1410">
        <v>13</v>
      </c>
      <c r="W1410">
        <v>3</v>
      </c>
      <c r="X1410">
        <v>3</v>
      </c>
      <c r="Y1410">
        <v>0</v>
      </c>
      <c r="Z1410">
        <v>5</v>
      </c>
      <c r="AA1410">
        <v>6</v>
      </c>
      <c r="AB1410">
        <v>4</v>
      </c>
      <c r="AC1410">
        <v>5</v>
      </c>
      <c r="AD1410">
        <v>2</v>
      </c>
      <c r="AE1410">
        <v>1</v>
      </c>
      <c r="AF1410">
        <v>4</v>
      </c>
      <c r="AG1410" t="s">
        <v>68</v>
      </c>
      <c r="AH1410">
        <v>0</v>
      </c>
      <c r="AI1410" t="s">
        <v>72</v>
      </c>
      <c r="AJ1410" s="3" t="s">
        <v>82</v>
      </c>
      <c r="AK1410" s="3">
        <v>0</v>
      </c>
      <c r="AL1410" s="3" t="s">
        <v>83</v>
      </c>
    </row>
    <row r="1411" spans="1:38" x14ac:dyDescent="0.3">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v>6323</v>
      </c>
      <c r="S1411">
        <v>26849</v>
      </c>
      <c r="T1411">
        <v>1</v>
      </c>
      <c r="U1411" t="s">
        <v>43</v>
      </c>
      <c r="V1411">
        <v>11</v>
      </c>
      <c r="W1411">
        <v>3</v>
      </c>
      <c r="X1411">
        <v>1</v>
      </c>
      <c r="Y1411">
        <v>1</v>
      </c>
      <c r="Z1411">
        <v>10</v>
      </c>
      <c r="AA1411">
        <v>2</v>
      </c>
      <c r="AB1411">
        <v>4</v>
      </c>
      <c r="AC1411">
        <v>10</v>
      </c>
      <c r="AD1411">
        <v>9</v>
      </c>
      <c r="AE1411">
        <v>9</v>
      </c>
      <c r="AF1411">
        <v>4</v>
      </c>
      <c r="AG1411" t="s">
        <v>65</v>
      </c>
      <c r="AH1411">
        <v>0</v>
      </c>
      <c r="AI1411" t="s">
        <v>72</v>
      </c>
      <c r="AJ1411" s="3" t="s">
        <v>84</v>
      </c>
      <c r="AK1411" s="3">
        <v>0</v>
      </c>
      <c r="AL1411" s="3" t="s">
        <v>83</v>
      </c>
    </row>
    <row r="1412" spans="1:38" x14ac:dyDescent="0.3">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v>5677</v>
      </c>
      <c r="S1412">
        <v>4258</v>
      </c>
      <c r="T1412">
        <v>3</v>
      </c>
      <c r="U1412" t="s">
        <v>43</v>
      </c>
      <c r="V1412">
        <v>14</v>
      </c>
      <c r="W1412">
        <v>3</v>
      </c>
      <c r="X1412">
        <v>3</v>
      </c>
      <c r="Y1412">
        <v>1</v>
      </c>
      <c r="Z1412">
        <v>15</v>
      </c>
      <c r="AA1412">
        <v>4</v>
      </c>
      <c r="AB1412">
        <v>3</v>
      </c>
      <c r="AC1412">
        <v>11</v>
      </c>
      <c r="AD1412">
        <v>8</v>
      </c>
      <c r="AE1412">
        <v>5</v>
      </c>
      <c r="AF1412">
        <v>10</v>
      </c>
      <c r="AG1412" t="s">
        <v>65</v>
      </c>
      <c r="AH1412">
        <v>0</v>
      </c>
      <c r="AI1412" t="s">
        <v>70</v>
      </c>
      <c r="AJ1412" s="3" t="s">
        <v>83</v>
      </c>
      <c r="AK1412" s="3">
        <v>1</v>
      </c>
      <c r="AL1412" s="3" t="s">
        <v>83</v>
      </c>
    </row>
    <row r="1413" spans="1:38" x14ac:dyDescent="0.3">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v>2187</v>
      </c>
      <c r="S1413">
        <v>19655</v>
      </c>
      <c r="T1413">
        <v>4</v>
      </c>
      <c r="U1413" t="s">
        <v>43</v>
      </c>
      <c r="V1413">
        <v>14</v>
      </c>
      <c r="W1413">
        <v>3</v>
      </c>
      <c r="X1413">
        <v>3</v>
      </c>
      <c r="Y1413">
        <v>0</v>
      </c>
      <c r="Z1413">
        <v>6</v>
      </c>
      <c r="AA1413">
        <v>3</v>
      </c>
      <c r="AB1413">
        <v>3</v>
      </c>
      <c r="AC1413">
        <v>2</v>
      </c>
      <c r="AD1413">
        <v>0</v>
      </c>
      <c r="AE1413">
        <v>1</v>
      </c>
      <c r="AF1413">
        <v>2</v>
      </c>
      <c r="AG1413" t="s">
        <v>67</v>
      </c>
      <c r="AH1413">
        <v>0</v>
      </c>
      <c r="AI1413" t="s">
        <v>70</v>
      </c>
      <c r="AJ1413" s="3" t="s">
        <v>83</v>
      </c>
      <c r="AK1413" s="3">
        <v>2</v>
      </c>
      <c r="AL1413" s="3" t="s">
        <v>84</v>
      </c>
    </row>
    <row r="1414" spans="1:38" x14ac:dyDescent="0.3">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v>3748</v>
      </c>
      <c r="S1414">
        <v>4077</v>
      </c>
      <c r="T1414">
        <v>1</v>
      </c>
      <c r="U1414" t="s">
        <v>43</v>
      </c>
      <c r="V1414">
        <v>13</v>
      </c>
      <c r="W1414">
        <v>3</v>
      </c>
      <c r="X1414">
        <v>3</v>
      </c>
      <c r="Y1414">
        <v>0</v>
      </c>
      <c r="Z1414">
        <v>12</v>
      </c>
      <c r="AA1414">
        <v>6</v>
      </c>
      <c r="AB1414">
        <v>2</v>
      </c>
      <c r="AC1414">
        <v>12</v>
      </c>
      <c r="AD1414">
        <v>8</v>
      </c>
      <c r="AE1414">
        <v>1</v>
      </c>
      <c r="AF1414">
        <v>7</v>
      </c>
      <c r="AG1414" t="s">
        <v>65</v>
      </c>
      <c r="AH1414">
        <v>0</v>
      </c>
      <c r="AI1414" t="s">
        <v>72</v>
      </c>
      <c r="AJ1414" s="3" t="s">
        <v>83</v>
      </c>
      <c r="AK1414" s="3">
        <v>1</v>
      </c>
      <c r="AL1414" s="3" t="s">
        <v>83</v>
      </c>
    </row>
    <row r="1415" spans="1:38" x14ac:dyDescent="0.3">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v>3977</v>
      </c>
      <c r="S1415">
        <v>7298</v>
      </c>
      <c r="T1415">
        <v>6</v>
      </c>
      <c r="U1415" t="s">
        <v>35</v>
      </c>
      <c r="V1415">
        <v>19</v>
      </c>
      <c r="W1415">
        <v>3</v>
      </c>
      <c r="X1415">
        <v>3</v>
      </c>
      <c r="Y1415">
        <v>1</v>
      </c>
      <c r="Z1415">
        <v>7</v>
      </c>
      <c r="AA1415">
        <v>2</v>
      </c>
      <c r="AB1415">
        <v>2</v>
      </c>
      <c r="AC1415">
        <v>2</v>
      </c>
      <c r="AD1415">
        <v>2</v>
      </c>
      <c r="AE1415">
        <v>0</v>
      </c>
      <c r="AF1415">
        <v>2</v>
      </c>
      <c r="AG1415" t="s">
        <v>67</v>
      </c>
      <c r="AH1415">
        <v>0</v>
      </c>
      <c r="AI1415" t="s">
        <v>71</v>
      </c>
      <c r="AJ1415" s="3" t="s">
        <v>84</v>
      </c>
      <c r="AK1415" s="3">
        <v>2</v>
      </c>
      <c r="AL1415" s="3" t="s">
        <v>84</v>
      </c>
    </row>
    <row r="1416" spans="1:38" x14ac:dyDescent="0.3">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v>8633</v>
      </c>
      <c r="S1416">
        <v>13084</v>
      </c>
      <c r="T1416">
        <v>2</v>
      </c>
      <c r="U1416" t="s">
        <v>43</v>
      </c>
      <c r="V1416">
        <v>23</v>
      </c>
      <c r="W1416">
        <v>4</v>
      </c>
      <c r="X1416">
        <v>2</v>
      </c>
      <c r="Y1416">
        <v>0</v>
      </c>
      <c r="Z1416">
        <v>25</v>
      </c>
      <c r="AA1416">
        <v>3</v>
      </c>
      <c r="AB1416">
        <v>3</v>
      </c>
      <c r="AC1416">
        <v>17</v>
      </c>
      <c r="AD1416">
        <v>14</v>
      </c>
      <c r="AE1416">
        <v>12</v>
      </c>
      <c r="AF1416">
        <v>11</v>
      </c>
      <c r="AG1416" t="s">
        <v>65</v>
      </c>
      <c r="AH1416">
        <v>0</v>
      </c>
      <c r="AI1416" t="s">
        <v>72</v>
      </c>
      <c r="AJ1416" s="3" t="s">
        <v>84</v>
      </c>
      <c r="AK1416" s="3">
        <v>0</v>
      </c>
      <c r="AL1416" s="3" t="s">
        <v>83</v>
      </c>
    </row>
    <row r="1417" spans="1:38" x14ac:dyDescent="0.3">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v>2008</v>
      </c>
      <c r="S1417">
        <v>20439</v>
      </c>
      <c r="T1417">
        <v>1</v>
      </c>
      <c r="U1417" t="s">
        <v>43</v>
      </c>
      <c r="V1417">
        <v>12</v>
      </c>
      <c r="W1417">
        <v>3</v>
      </c>
      <c r="X1417">
        <v>3</v>
      </c>
      <c r="Y1417">
        <v>3</v>
      </c>
      <c r="Z1417">
        <v>1</v>
      </c>
      <c r="AA1417">
        <v>2</v>
      </c>
      <c r="AB1417">
        <v>2</v>
      </c>
      <c r="AC1417">
        <v>1</v>
      </c>
      <c r="AD1417">
        <v>1</v>
      </c>
      <c r="AE1417">
        <v>0</v>
      </c>
      <c r="AF1417">
        <v>0</v>
      </c>
      <c r="AG1417" t="s">
        <v>67</v>
      </c>
      <c r="AH1417">
        <v>0</v>
      </c>
      <c r="AI1417" t="s">
        <v>70</v>
      </c>
      <c r="AJ1417" s="3" t="s">
        <v>84</v>
      </c>
      <c r="AK1417" s="3">
        <v>1</v>
      </c>
      <c r="AL1417" s="3" t="s">
        <v>83</v>
      </c>
    </row>
    <row r="1418" spans="1:38" x14ac:dyDescent="0.3">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v>4440</v>
      </c>
      <c r="S1418">
        <v>7636</v>
      </c>
      <c r="T1418">
        <v>0</v>
      </c>
      <c r="U1418" t="s">
        <v>43</v>
      </c>
      <c r="V1418">
        <v>15</v>
      </c>
      <c r="W1418">
        <v>3</v>
      </c>
      <c r="X1418">
        <v>1</v>
      </c>
      <c r="Y1418">
        <v>2</v>
      </c>
      <c r="Z1418">
        <v>16</v>
      </c>
      <c r="AA1418">
        <v>3</v>
      </c>
      <c r="AB1418">
        <v>3</v>
      </c>
      <c r="AC1418">
        <v>15</v>
      </c>
      <c r="AD1418">
        <v>13</v>
      </c>
      <c r="AE1418">
        <v>5</v>
      </c>
      <c r="AF1418">
        <v>8</v>
      </c>
      <c r="AG1418" t="s">
        <v>65</v>
      </c>
      <c r="AH1418">
        <v>0</v>
      </c>
      <c r="AI1418" t="s">
        <v>71</v>
      </c>
      <c r="AJ1418" s="3" t="s">
        <v>83</v>
      </c>
      <c r="AK1418" s="3">
        <v>1</v>
      </c>
      <c r="AL1418" s="3" t="s">
        <v>83</v>
      </c>
    </row>
    <row r="1419" spans="1:38" x14ac:dyDescent="0.3">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v>3067</v>
      </c>
      <c r="S1419">
        <v>6393</v>
      </c>
      <c r="T1419">
        <v>0</v>
      </c>
      <c r="U1419" t="s">
        <v>43</v>
      </c>
      <c r="V1419">
        <v>19</v>
      </c>
      <c r="W1419">
        <v>3</v>
      </c>
      <c r="X1419">
        <v>3</v>
      </c>
      <c r="Y1419">
        <v>1</v>
      </c>
      <c r="Z1419">
        <v>3</v>
      </c>
      <c r="AA1419">
        <v>1</v>
      </c>
      <c r="AB1419">
        <v>3</v>
      </c>
      <c r="AC1419">
        <v>2</v>
      </c>
      <c r="AD1419">
        <v>2</v>
      </c>
      <c r="AE1419">
        <v>1</v>
      </c>
      <c r="AF1419">
        <v>2</v>
      </c>
      <c r="AG1419" t="s">
        <v>67</v>
      </c>
      <c r="AH1419">
        <v>0</v>
      </c>
      <c r="AI1419" t="s">
        <v>71</v>
      </c>
      <c r="AJ1419" s="3" t="s">
        <v>84</v>
      </c>
      <c r="AK1419" s="3">
        <v>1</v>
      </c>
      <c r="AL1419" s="3" t="s">
        <v>83</v>
      </c>
    </row>
    <row r="1420" spans="1:38" x14ac:dyDescent="0.3">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v>5321</v>
      </c>
      <c r="S1420">
        <v>14284</v>
      </c>
      <c r="T1420">
        <v>2</v>
      </c>
      <c r="U1420" t="s">
        <v>43</v>
      </c>
      <c r="V1420">
        <v>11</v>
      </c>
      <c r="W1420">
        <v>3</v>
      </c>
      <c r="X1420">
        <v>4</v>
      </c>
      <c r="Y1420">
        <v>1</v>
      </c>
      <c r="Z1420">
        <v>10</v>
      </c>
      <c r="AA1420">
        <v>1</v>
      </c>
      <c r="AB1420">
        <v>3</v>
      </c>
      <c r="AC1420">
        <v>8</v>
      </c>
      <c r="AD1420">
        <v>3</v>
      </c>
      <c r="AE1420">
        <v>7</v>
      </c>
      <c r="AF1420">
        <v>7</v>
      </c>
      <c r="AG1420" t="s">
        <v>65</v>
      </c>
      <c r="AH1420">
        <v>0</v>
      </c>
      <c r="AI1420" t="s">
        <v>71</v>
      </c>
      <c r="AJ1420" s="3" t="s">
        <v>84</v>
      </c>
      <c r="AK1420" s="3">
        <v>0</v>
      </c>
      <c r="AL1420" s="3" t="s">
        <v>83</v>
      </c>
    </row>
    <row r="1421" spans="1:38" x14ac:dyDescent="0.3">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v>5410</v>
      </c>
      <c r="S1421">
        <v>11189</v>
      </c>
      <c r="T1421">
        <v>6</v>
      </c>
      <c r="U1421" t="s">
        <v>35</v>
      </c>
      <c r="V1421">
        <v>17</v>
      </c>
      <c r="W1421">
        <v>3</v>
      </c>
      <c r="X1421">
        <v>3</v>
      </c>
      <c r="Y1421">
        <v>1</v>
      </c>
      <c r="Z1421">
        <v>9</v>
      </c>
      <c r="AA1421">
        <v>3</v>
      </c>
      <c r="AB1421">
        <v>2</v>
      </c>
      <c r="AC1421">
        <v>4</v>
      </c>
      <c r="AD1421">
        <v>3</v>
      </c>
      <c r="AE1421">
        <v>1</v>
      </c>
      <c r="AF1421">
        <v>2</v>
      </c>
      <c r="AG1421" t="s">
        <v>68</v>
      </c>
      <c r="AH1421">
        <v>0</v>
      </c>
      <c r="AI1421" t="s">
        <v>71</v>
      </c>
      <c r="AJ1421" s="3" t="s">
        <v>83</v>
      </c>
      <c r="AK1421" s="3">
        <v>2</v>
      </c>
      <c r="AL1421" s="3" t="s">
        <v>84</v>
      </c>
    </row>
    <row r="1422" spans="1:38" x14ac:dyDescent="0.3">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v>2782</v>
      </c>
      <c r="S1422">
        <v>21412</v>
      </c>
      <c r="T1422">
        <v>3</v>
      </c>
      <c r="U1422" t="s">
        <v>43</v>
      </c>
      <c r="V1422">
        <v>22</v>
      </c>
      <c r="W1422">
        <v>4</v>
      </c>
      <c r="X1422">
        <v>1</v>
      </c>
      <c r="Y1422">
        <v>1</v>
      </c>
      <c r="Z1422">
        <v>12</v>
      </c>
      <c r="AA1422">
        <v>3</v>
      </c>
      <c r="AB1422">
        <v>3</v>
      </c>
      <c r="AC1422">
        <v>5</v>
      </c>
      <c r="AD1422">
        <v>3</v>
      </c>
      <c r="AE1422">
        <v>1</v>
      </c>
      <c r="AF1422">
        <v>0</v>
      </c>
      <c r="AG1422" t="s">
        <v>68</v>
      </c>
      <c r="AH1422">
        <v>0</v>
      </c>
      <c r="AI1422" t="s">
        <v>70</v>
      </c>
      <c r="AJ1422" s="3" t="s">
        <v>82</v>
      </c>
      <c r="AK1422" s="3">
        <v>0</v>
      </c>
      <c r="AL1422" s="3" t="s">
        <v>83</v>
      </c>
    </row>
    <row r="1423" spans="1:38" x14ac:dyDescent="0.3">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v>11957</v>
      </c>
      <c r="S1423">
        <v>17231</v>
      </c>
      <c r="T1423">
        <v>0</v>
      </c>
      <c r="U1423" t="s">
        <v>43</v>
      </c>
      <c r="V1423">
        <v>18</v>
      </c>
      <c r="W1423">
        <v>3</v>
      </c>
      <c r="X1423">
        <v>1</v>
      </c>
      <c r="Y1423">
        <v>2</v>
      </c>
      <c r="Z1423">
        <v>14</v>
      </c>
      <c r="AA1423">
        <v>3</v>
      </c>
      <c r="AB1423">
        <v>1</v>
      </c>
      <c r="AC1423">
        <v>13</v>
      </c>
      <c r="AD1423">
        <v>8</v>
      </c>
      <c r="AE1423">
        <v>5</v>
      </c>
      <c r="AF1423">
        <v>12</v>
      </c>
      <c r="AG1423" t="s">
        <v>65</v>
      </c>
      <c r="AH1423">
        <v>0</v>
      </c>
      <c r="AI1423" t="s">
        <v>70</v>
      </c>
      <c r="AJ1423" s="3" t="s">
        <v>83</v>
      </c>
      <c r="AK1423" s="3">
        <v>1</v>
      </c>
      <c r="AL1423" s="3" t="s">
        <v>83</v>
      </c>
    </row>
    <row r="1424" spans="1:38" x14ac:dyDescent="0.3">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v>2660</v>
      </c>
      <c r="S1424">
        <v>20232</v>
      </c>
      <c r="T1424">
        <v>7</v>
      </c>
      <c r="U1424" t="s">
        <v>35</v>
      </c>
      <c r="V1424">
        <v>11</v>
      </c>
      <c r="W1424">
        <v>3</v>
      </c>
      <c r="X1424">
        <v>3</v>
      </c>
      <c r="Y1424">
        <v>1</v>
      </c>
      <c r="Z1424">
        <v>5</v>
      </c>
      <c r="AA1424">
        <v>3</v>
      </c>
      <c r="AB1424">
        <v>3</v>
      </c>
      <c r="AC1424">
        <v>2</v>
      </c>
      <c r="AD1424">
        <v>2</v>
      </c>
      <c r="AE1424">
        <v>2</v>
      </c>
      <c r="AF1424">
        <v>2</v>
      </c>
      <c r="AG1424" t="s">
        <v>67</v>
      </c>
      <c r="AH1424">
        <v>0</v>
      </c>
      <c r="AI1424" t="s">
        <v>70</v>
      </c>
      <c r="AJ1424" s="3" t="s">
        <v>84</v>
      </c>
      <c r="AK1424" s="3">
        <v>2</v>
      </c>
      <c r="AL1424" s="3" t="s">
        <v>84</v>
      </c>
    </row>
    <row r="1425" spans="1:38" x14ac:dyDescent="0.3">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v>3375</v>
      </c>
      <c r="S1425">
        <v>17624</v>
      </c>
      <c r="T1425">
        <v>0</v>
      </c>
      <c r="U1425" t="s">
        <v>43</v>
      </c>
      <c r="V1425">
        <v>12</v>
      </c>
      <c r="W1425">
        <v>3</v>
      </c>
      <c r="X1425">
        <v>4</v>
      </c>
      <c r="Y1425">
        <v>0</v>
      </c>
      <c r="Z1425">
        <v>4</v>
      </c>
      <c r="AA1425">
        <v>2</v>
      </c>
      <c r="AB1425">
        <v>4</v>
      </c>
      <c r="AC1425">
        <v>3</v>
      </c>
      <c r="AD1425">
        <v>2</v>
      </c>
      <c r="AE1425">
        <v>1</v>
      </c>
      <c r="AF1425">
        <v>2</v>
      </c>
      <c r="AG1425" t="s">
        <v>67</v>
      </c>
      <c r="AH1425">
        <v>0</v>
      </c>
      <c r="AI1425" t="s">
        <v>71</v>
      </c>
      <c r="AJ1425" s="3" t="s">
        <v>84</v>
      </c>
      <c r="AK1425" s="3">
        <v>1</v>
      </c>
      <c r="AL1425" s="3" t="s">
        <v>83</v>
      </c>
    </row>
    <row r="1426" spans="1:38" x14ac:dyDescent="0.3">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v>5098</v>
      </c>
      <c r="S1426">
        <v>18698</v>
      </c>
      <c r="T1426">
        <v>1</v>
      </c>
      <c r="U1426" t="s">
        <v>43</v>
      </c>
      <c r="V1426">
        <v>19</v>
      </c>
      <c r="W1426">
        <v>3</v>
      </c>
      <c r="X1426">
        <v>2</v>
      </c>
      <c r="Y1426">
        <v>0</v>
      </c>
      <c r="Z1426">
        <v>10</v>
      </c>
      <c r="AA1426">
        <v>5</v>
      </c>
      <c r="AB1426">
        <v>3</v>
      </c>
      <c r="AC1426">
        <v>10</v>
      </c>
      <c r="AD1426">
        <v>7</v>
      </c>
      <c r="AE1426">
        <v>0</v>
      </c>
      <c r="AF1426">
        <v>8</v>
      </c>
      <c r="AG1426" t="s">
        <v>65</v>
      </c>
      <c r="AH1426">
        <v>0</v>
      </c>
      <c r="AI1426" t="s">
        <v>72</v>
      </c>
      <c r="AJ1426" s="3" t="s">
        <v>84</v>
      </c>
      <c r="AK1426" s="3">
        <v>0</v>
      </c>
      <c r="AL1426" s="3" t="s">
        <v>83</v>
      </c>
    </row>
    <row r="1427" spans="1:38" x14ac:dyDescent="0.3">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v>4878</v>
      </c>
      <c r="S1427">
        <v>21653</v>
      </c>
      <c r="T1427">
        <v>0</v>
      </c>
      <c r="U1427" t="s">
        <v>35</v>
      </c>
      <c r="V1427">
        <v>13</v>
      </c>
      <c r="W1427">
        <v>3</v>
      </c>
      <c r="X1427">
        <v>1</v>
      </c>
      <c r="Y1427">
        <v>1</v>
      </c>
      <c r="Z1427">
        <v>10</v>
      </c>
      <c r="AA1427">
        <v>6</v>
      </c>
      <c r="AB1427">
        <v>3</v>
      </c>
      <c r="AC1427">
        <v>9</v>
      </c>
      <c r="AD1427">
        <v>7</v>
      </c>
      <c r="AE1427">
        <v>8</v>
      </c>
      <c r="AF1427">
        <v>1</v>
      </c>
      <c r="AG1427" t="s">
        <v>65</v>
      </c>
      <c r="AH1427">
        <v>0</v>
      </c>
      <c r="AI1427" t="s">
        <v>71</v>
      </c>
      <c r="AJ1427" s="3" t="s">
        <v>82</v>
      </c>
      <c r="AK1427" s="3">
        <v>1</v>
      </c>
      <c r="AL1427" s="3" t="s">
        <v>83</v>
      </c>
    </row>
    <row r="1428" spans="1:38" x14ac:dyDescent="0.3">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v>2837</v>
      </c>
      <c r="S1428">
        <v>15919</v>
      </c>
      <c r="T1428">
        <v>1</v>
      </c>
      <c r="U1428" t="s">
        <v>43</v>
      </c>
      <c r="V1428">
        <v>13</v>
      </c>
      <c r="W1428">
        <v>3</v>
      </c>
      <c r="X1428">
        <v>3</v>
      </c>
      <c r="Y1428">
        <v>0</v>
      </c>
      <c r="Z1428">
        <v>6</v>
      </c>
      <c r="AA1428">
        <v>3</v>
      </c>
      <c r="AB1428">
        <v>3</v>
      </c>
      <c r="AC1428">
        <v>6</v>
      </c>
      <c r="AD1428">
        <v>2</v>
      </c>
      <c r="AE1428">
        <v>4</v>
      </c>
      <c r="AF1428">
        <v>1</v>
      </c>
      <c r="AG1428" t="s">
        <v>65</v>
      </c>
      <c r="AH1428">
        <v>0</v>
      </c>
      <c r="AI1428" t="s">
        <v>71</v>
      </c>
      <c r="AJ1428" s="3" t="s">
        <v>83</v>
      </c>
      <c r="AK1428" s="3">
        <v>1</v>
      </c>
      <c r="AL1428" s="3" t="s">
        <v>83</v>
      </c>
    </row>
    <row r="1429" spans="1:38" x14ac:dyDescent="0.3">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v>2406</v>
      </c>
      <c r="S1429">
        <v>4060</v>
      </c>
      <c r="T1429">
        <v>8</v>
      </c>
      <c r="U1429" t="s">
        <v>43</v>
      </c>
      <c r="V1429">
        <v>19</v>
      </c>
      <c r="W1429">
        <v>3</v>
      </c>
      <c r="X1429">
        <v>3</v>
      </c>
      <c r="Y1429">
        <v>2</v>
      </c>
      <c r="Z1429">
        <v>8</v>
      </c>
      <c r="AA1429">
        <v>3</v>
      </c>
      <c r="AB1429">
        <v>2</v>
      </c>
      <c r="AC1429">
        <v>1</v>
      </c>
      <c r="AD1429">
        <v>0</v>
      </c>
      <c r="AE1429">
        <v>0</v>
      </c>
      <c r="AF1429">
        <v>0</v>
      </c>
      <c r="AG1429" t="s">
        <v>67</v>
      </c>
      <c r="AH1429">
        <v>0</v>
      </c>
      <c r="AI1429" t="s">
        <v>71</v>
      </c>
      <c r="AJ1429" s="3" t="s">
        <v>82</v>
      </c>
      <c r="AK1429" s="3">
        <v>1</v>
      </c>
      <c r="AL1429" s="3" t="s">
        <v>83</v>
      </c>
    </row>
    <row r="1430" spans="1:38" x14ac:dyDescent="0.3">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v>2269</v>
      </c>
      <c r="S1430">
        <v>18024</v>
      </c>
      <c r="T1430">
        <v>0</v>
      </c>
      <c r="U1430" t="s">
        <v>43</v>
      </c>
      <c r="V1430">
        <v>14</v>
      </c>
      <c r="W1430">
        <v>3</v>
      </c>
      <c r="X1430">
        <v>2</v>
      </c>
      <c r="Y1430">
        <v>1</v>
      </c>
      <c r="Z1430">
        <v>3</v>
      </c>
      <c r="AA1430">
        <v>2</v>
      </c>
      <c r="AB1430">
        <v>3</v>
      </c>
      <c r="AC1430">
        <v>2</v>
      </c>
      <c r="AD1430">
        <v>2</v>
      </c>
      <c r="AE1430">
        <v>2</v>
      </c>
      <c r="AF1430">
        <v>2</v>
      </c>
      <c r="AG1430" t="s">
        <v>67</v>
      </c>
      <c r="AH1430">
        <v>0</v>
      </c>
      <c r="AI1430" t="s">
        <v>70</v>
      </c>
      <c r="AJ1430" s="3" t="s">
        <v>83</v>
      </c>
      <c r="AK1430" s="3">
        <v>2</v>
      </c>
      <c r="AL1430" s="3" t="s">
        <v>84</v>
      </c>
    </row>
    <row r="1431" spans="1:38" x14ac:dyDescent="0.3">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v>4108</v>
      </c>
      <c r="S1431">
        <v>5340</v>
      </c>
      <c r="T1431">
        <v>7</v>
      </c>
      <c r="U1431" t="s">
        <v>43</v>
      </c>
      <c r="V1431">
        <v>13</v>
      </c>
      <c r="W1431">
        <v>3</v>
      </c>
      <c r="X1431">
        <v>1</v>
      </c>
      <c r="Y1431">
        <v>0</v>
      </c>
      <c r="Z1431">
        <v>18</v>
      </c>
      <c r="AA1431">
        <v>2</v>
      </c>
      <c r="AB1431">
        <v>3</v>
      </c>
      <c r="AC1431">
        <v>7</v>
      </c>
      <c r="AD1431">
        <v>7</v>
      </c>
      <c r="AE1431">
        <v>1</v>
      </c>
      <c r="AF1431">
        <v>7</v>
      </c>
      <c r="AG1431" t="s">
        <v>65</v>
      </c>
      <c r="AH1431">
        <v>0</v>
      </c>
      <c r="AI1431" t="s">
        <v>71</v>
      </c>
      <c r="AJ1431" s="3" t="s">
        <v>82</v>
      </c>
      <c r="AK1431" s="3">
        <v>0</v>
      </c>
      <c r="AL1431" s="3" t="s">
        <v>83</v>
      </c>
    </row>
    <row r="1432" spans="1:38" x14ac:dyDescent="0.3">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v>13206</v>
      </c>
      <c r="S1432">
        <v>3376</v>
      </c>
      <c r="T1432">
        <v>3</v>
      </c>
      <c r="U1432" t="s">
        <v>43</v>
      </c>
      <c r="V1432">
        <v>12</v>
      </c>
      <c r="W1432">
        <v>3</v>
      </c>
      <c r="X1432">
        <v>1</v>
      </c>
      <c r="Y1432">
        <v>1</v>
      </c>
      <c r="Z1432">
        <v>20</v>
      </c>
      <c r="AA1432">
        <v>3</v>
      </c>
      <c r="AB1432">
        <v>3</v>
      </c>
      <c r="AC1432">
        <v>18</v>
      </c>
      <c r="AD1432">
        <v>16</v>
      </c>
      <c r="AE1432">
        <v>1</v>
      </c>
      <c r="AF1432">
        <v>11</v>
      </c>
      <c r="AG1432" t="s">
        <v>65</v>
      </c>
      <c r="AH1432">
        <v>0</v>
      </c>
      <c r="AI1432" t="s">
        <v>71</v>
      </c>
      <c r="AJ1432" s="3" t="s">
        <v>84</v>
      </c>
      <c r="AK1432" s="3">
        <v>0</v>
      </c>
      <c r="AL1432" s="3" t="s">
        <v>83</v>
      </c>
    </row>
    <row r="1433" spans="1:38" x14ac:dyDescent="0.3">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v>10422</v>
      </c>
      <c r="S1433">
        <v>24032</v>
      </c>
      <c r="T1433">
        <v>1</v>
      </c>
      <c r="U1433" t="s">
        <v>43</v>
      </c>
      <c r="V1433">
        <v>19</v>
      </c>
      <c r="W1433">
        <v>3</v>
      </c>
      <c r="X1433">
        <v>3</v>
      </c>
      <c r="Y1433">
        <v>2</v>
      </c>
      <c r="Z1433">
        <v>14</v>
      </c>
      <c r="AA1433">
        <v>3</v>
      </c>
      <c r="AB1433">
        <v>3</v>
      </c>
      <c r="AC1433">
        <v>14</v>
      </c>
      <c r="AD1433">
        <v>10</v>
      </c>
      <c r="AE1433">
        <v>5</v>
      </c>
      <c r="AF1433">
        <v>7</v>
      </c>
      <c r="AG1433" t="s">
        <v>65</v>
      </c>
      <c r="AH1433">
        <v>0</v>
      </c>
      <c r="AI1433" t="s">
        <v>71</v>
      </c>
      <c r="AJ1433" s="3" t="s">
        <v>82</v>
      </c>
      <c r="AK1433" s="3">
        <v>0</v>
      </c>
      <c r="AL1433" s="3" t="s">
        <v>83</v>
      </c>
    </row>
    <row r="1434" spans="1:38" x14ac:dyDescent="0.3">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v>13744</v>
      </c>
      <c r="S1434">
        <v>15471</v>
      </c>
      <c r="T1434">
        <v>1</v>
      </c>
      <c r="U1434" t="s">
        <v>35</v>
      </c>
      <c r="V1434">
        <v>25</v>
      </c>
      <c r="W1434">
        <v>4</v>
      </c>
      <c r="X1434">
        <v>1</v>
      </c>
      <c r="Y1434">
        <v>1</v>
      </c>
      <c r="Z1434">
        <v>16</v>
      </c>
      <c r="AA1434">
        <v>2</v>
      </c>
      <c r="AB1434">
        <v>3</v>
      </c>
      <c r="AC1434">
        <v>16</v>
      </c>
      <c r="AD1434">
        <v>11</v>
      </c>
      <c r="AE1434">
        <v>6</v>
      </c>
      <c r="AF1434">
        <v>8</v>
      </c>
      <c r="AG1434" t="s">
        <v>65</v>
      </c>
      <c r="AH1434">
        <v>0</v>
      </c>
      <c r="AI1434" t="s">
        <v>71</v>
      </c>
      <c r="AJ1434" s="3" t="s">
        <v>82</v>
      </c>
      <c r="AK1434" s="3">
        <v>1</v>
      </c>
      <c r="AL1434" s="3" t="s">
        <v>83</v>
      </c>
    </row>
    <row r="1435" spans="1:38" x14ac:dyDescent="0.3">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v>4907</v>
      </c>
      <c r="S1435">
        <v>13684</v>
      </c>
      <c r="T1435">
        <v>0</v>
      </c>
      <c r="U1435" t="s">
        <v>35</v>
      </c>
      <c r="V1435">
        <v>22</v>
      </c>
      <c r="W1435">
        <v>4</v>
      </c>
      <c r="X1435">
        <v>2</v>
      </c>
      <c r="Y1435">
        <v>1</v>
      </c>
      <c r="Z1435">
        <v>6</v>
      </c>
      <c r="AA1435">
        <v>3</v>
      </c>
      <c r="AB1435">
        <v>2</v>
      </c>
      <c r="AC1435">
        <v>5</v>
      </c>
      <c r="AD1435">
        <v>3</v>
      </c>
      <c r="AE1435">
        <v>0</v>
      </c>
      <c r="AF1435">
        <v>4</v>
      </c>
      <c r="AG1435" t="s">
        <v>68</v>
      </c>
      <c r="AH1435">
        <v>0</v>
      </c>
      <c r="AI1435" t="s">
        <v>71</v>
      </c>
      <c r="AJ1435" s="3" t="s">
        <v>84</v>
      </c>
      <c r="AK1435" s="3">
        <v>1</v>
      </c>
      <c r="AL1435" s="3" t="s">
        <v>83</v>
      </c>
    </row>
    <row r="1436" spans="1:38" x14ac:dyDescent="0.3">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v>3482</v>
      </c>
      <c r="S1436">
        <v>19788</v>
      </c>
      <c r="T1436">
        <v>2</v>
      </c>
      <c r="U1436" t="s">
        <v>43</v>
      </c>
      <c r="V1436">
        <v>15</v>
      </c>
      <c r="W1436">
        <v>3</v>
      </c>
      <c r="X1436">
        <v>2</v>
      </c>
      <c r="Y1436">
        <v>2</v>
      </c>
      <c r="Z1436">
        <v>16</v>
      </c>
      <c r="AA1436">
        <v>3</v>
      </c>
      <c r="AB1436">
        <v>2</v>
      </c>
      <c r="AC1436">
        <v>9</v>
      </c>
      <c r="AD1436">
        <v>8</v>
      </c>
      <c r="AE1436">
        <v>0</v>
      </c>
      <c r="AF1436">
        <v>0</v>
      </c>
      <c r="AG1436" t="s">
        <v>65</v>
      </c>
      <c r="AH1436">
        <v>0</v>
      </c>
      <c r="AI1436" t="s">
        <v>72</v>
      </c>
      <c r="AJ1436" s="3" t="s">
        <v>82</v>
      </c>
      <c r="AK1436" s="3">
        <v>0</v>
      </c>
      <c r="AL1436" s="3" t="s">
        <v>83</v>
      </c>
    </row>
    <row r="1437" spans="1:38" x14ac:dyDescent="0.3">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v>2436</v>
      </c>
      <c r="S1437">
        <v>13422</v>
      </c>
      <c r="T1437">
        <v>6</v>
      </c>
      <c r="U1437" t="s">
        <v>35</v>
      </c>
      <c r="V1437">
        <v>12</v>
      </c>
      <c r="W1437">
        <v>3</v>
      </c>
      <c r="X1437">
        <v>3</v>
      </c>
      <c r="Y1437">
        <v>0</v>
      </c>
      <c r="Z1437">
        <v>6</v>
      </c>
      <c r="AA1437">
        <v>2</v>
      </c>
      <c r="AB1437">
        <v>3</v>
      </c>
      <c r="AC1437">
        <v>4</v>
      </c>
      <c r="AD1437">
        <v>3</v>
      </c>
      <c r="AE1437">
        <v>1</v>
      </c>
      <c r="AF1437">
        <v>2</v>
      </c>
      <c r="AG1437" t="s">
        <v>68</v>
      </c>
      <c r="AH1437">
        <v>0</v>
      </c>
      <c r="AI1437" t="s">
        <v>69</v>
      </c>
      <c r="AJ1437" s="3" t="s">
        <v>82</v>
      </c>
      <c r="AK1437" s="3">
        <v>1</v>
      </c>
      <c r="AL1437" s="3" t="s">
        <v>83</v>
      </c>
    </row>
    <row r="1438" spans="1:38" x14ac:dyDescent="0.3">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v>2380</v>
      </c>
      <c r="S1438">
        <v>25479</v>
      </c>
      <c r="T1438">
        <v>1</v>
      </c>
      <c r="U1438" t="s">
        <v>35</v>
      </c>
      <c r="V1438">
        <v>11</v>
      </c>
      <c r="W1438">
        <v>3</v>
      </c>
      <c r="X1438">
        <v>4</v>
      </c>
      <c r="Y1438">
        <v>0</v>
      </c>
      <c r="Z1438">
        <v>2</v>
      </c>
      <c r="AA1438">
        <v>6</v>
      </c>
      <c r="AB1438">
        <v>3</v>
      </c>
      <c r="AC1438">
        <v>2</v>
      </c>
      <c r="AD1438">
        <v>2</v>
      </c>
      <c r="AE1438">
        <v>1</v>
      </c>
      <c r="AF1438">
        <v>2</v>
      </c>
      <c r="AG1438" t="s">
        <v>67</v>
      </c>
      <c r="AH1438">
        <v>0</v>
      </c>
      <c r="AI1438" t="s">
        <v>70</v>
      </c>
      <c r="AJ1438" s="3" t="s">
        <v>83</v>
      </c>
      <c r="AK1438" s="3">
        <v>3</v>
      </c>
      <c r="AL1438" s="3" t="s">
        <v>82</v>
      </c>
    </row>
    <row r="1439" spans="1:38" x14ac:dyDescent="0.3">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v>19431</v>
      </c>
      <c r="S1439">
        <v>15302</v>
      </c>
      <c r="T1439">
        <v>2</v>
      </c>
      <c r="U1439" t="s">
        <v>43</v>
      </c>
      <c r="V1439">
        <v>13</v>
      </c>
      <c r="W1439">
        <v>3</v>
      </c>
      <c r="X1439">
        <v>3</v>
      </c>
      <c r="Y1439">
        <v>0</v>
      </c>
      <c r="Z1439">
        <v>21</v>
      </c>
      <c r="AA1439">
        <v>3</v>
      </c>
      <c r="AB1439">
        <v>2</v>
      </c>
      <c r="AC1439">
        <v>6</v>
      </c>
      <c r="AD1439">
        <v>0</v>
      </c>
      <c r="AE1439">
        <v>1</v>
      </c>
      <c r="AF1439">
        <v>3</v>
      </c>
      <c r="AG1439" t="s">
        <v>65</v>
      </c>
      <c r="AH1439">
        <v>0</v>
      </c>
      <c r="AI1439" t="s">
        <v>72</v>
      </c>
      <c r="AJ1439" s="3" t="s">
        <v>82</v>
      </c>
      <c r="AK1439" s="3">
        <v>0</v>
      </c>
      <c r="AL1439" s="3" t="s">
        <v>83</v>
      </c>
    </row>
    <row r="1440" spans="1:38" x14ac:dyDescent="0.3">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v>1790</v>
      </c>
      <c r="S1440">
        <v>26956</v>
      </c>
      <c r="T1440">
        <v>1</v>
      </c>
      <c r="U1440" t="s">
        <v>43</v>
      </c>
      <c r="V1440">
        <v>19</v>
      </c>
      <c r="W1440">
        <v>3</v>
      </c>
      <c r="X1440">
        <v>1</v>
      </c>
      <c r="Y1440">
        <v>1</v>
      </c>
      <c r="Z1440">
        <v>1</v>
      </c>
      <c r="AA1440">
        <v>3</v>
      </c>
      <c r="AB1440">
        <v>2</v>
      </c>
      <c r="AC1440">
        <v>1</v>
      </c>
      <c r="AD1440">
        <v>0</v>
      </c>
      <c r="AE1440">
        <v>1</v>
      </c>
      <c r="AF1440">
        <v>0</v>
      </c>
      <c r="AG1440" t="s">
        <v>67</v>
      </c>
      <c r="AH1440">
        <v>1</v>
      </c>
      <c r="AI1440" t="s">
        <v>71</v>
      </c>
      <c r="AJ1440" s="3" t="s">
        <v>83</v>
      </c>
      <c r="AK1440" s="3">
        <v>2</v>
      </c>
      <c r="AL1440" s="3" t="s">
        <v>84</v>
      </c>
    </row>
    <row r="1441" spans="1:38" x14ac:dyDescent="0.3">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v>7644</v>
      </c>
      <c r="S1441">
        <v>12695</v>
      </c>
      <c r="T1441">
        <v>0</v>
      </c>
      <c r="U1441" t="s">
        <v>43</v>
      </c>
      <c r="V1441">
        <v>19</v>
      </c>
      <c r="W1441">
        <v>3</v>
      </c>
      <c r="X1441">
        <v>3</v>
      </c>
      <c r="Y1441">
        <v>2</v>
      </c>
      <c r="Z1441">
        <v>10</v>
      </c>
      <c r="AA1441">
        <v>2</v>
      </c>
      <c r="AB1441">
        <v>3</v>
      </c>
      <c r="AC1441">
        <v>9</v>
      </c>
      <c r="AD1441">
        <v>7</v>
      </c>
      <c r="AE1441">
        <v>3</v>
      </c>
      <c r="AF1441">
        <v>4</v>
      </c>
      <c r="AG1441" t="s">
        <v>65</v>
      </c>
      <c r="AH1441">
        <v>0</v>
      </c>
      <c r="AI1441" t="s">
        <v>72</v>
      </c>
      <c r="AJ1441" s="3" t="s">
        <v>82</v>
      </c>
      <c r="AK1441" s="3">
        <v>0</v>
      </c>
      <c r="AL1441" s="3" t="s">
        <v>83</v>
      </c>
    </row>
    <row r="1442" spans="1:38" x14ac:dyDescent="0.3">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v>5131</v>
      </c>
      <c r="S1442">
        <v>9192</v>
      </c>
      <c r="T1442">
        <v>7</v>
      </c>
      <c r="U1442" t="s">
        <v>43</v>
      </c>
      <c r="V1442">
        <v>13</v>
      </c>
      <c r="W1442">
        <v>3</v>
      </c>
      <c r="X1442">
        <v>2</v>
      </c>
      <c r="Y1442">
        <v>3</v>
      </c>
      <c r="Z1442">
        <v>18</v>
      </c>
      <c r="AA1442">
        <v>3</v>
      </c>
      <c r="AB1442">
        <v>3</v>
      </c>
      <c r="AC1442">
        <v>4</v>
      </c>
      <c r="AD1442">
        <v>2</v>
      </c>
      <c r="AE1442">
        <v>0</v>
      </c>
      <c r="AF1442">
        <v>2</v>
      </c>
      <c r="AG1442" t="s">
        <v>68</v>
      </c>
      <c r="AH1442">
        <v>0</v>
      </c>
      <c r="AI1442" t="s">
        <v>71</v>
      </c>
      <c r="AJ1442" s="3" t="s">
        <v>83</v>
      </c>
      <c r="AK1442" s="3">
        <v>1</v>
      </c>
      <c r="AL1442" s="3" t="s">
        <v>83</v>
      </c>
    </row>
    <row r="1443" spans="1:38" x14ac:dyDescent="0.3">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v>6306</v>
      </c>
      <c r="S1443">
        <v>26236</v>
      </c>
      <c r="T1443">
        <v>1</v>
      </c>
      <c r="U1443" t="s">
        <v>43</v>
      </c>
      <c r="V1443">
        <v>21</v>
      </c>
      <c r="W1443">
        <v>4</v>
      </c>
      <c r="X1443">
        <v>1</v>
      </c>
      <c r="Y1443">
        <v>1</v>
      </c>
      <c r="Z1443">
        <v>13</v>
      </c>
      <c r="AA1443">
        <v>2</v>
      </c>
      <c r="AB1443">
        <v>2</v>
      </c>
      <c r="AC1443">
        <v>13</v>
      </c>
      <c r="AD1443">
        <v>12</v>
      </c>
      <c r="AE1443">
        <v>1</v>
      </c>
      <c r="AF1443">
        <v>9</v>
      </c>
      <c r="AG1443" t="s">
        <v>65</v>
      </c>
      <c r="AH1443">
        <v>0</v>
      </c>
      <c r="AI1443" t="s">
        <v>71</v>
      </c>
      <c r="AJ1443" s="3" t="s">
        <v>84</v>
      </c>
      <c r="AK1443" s="3">
        <v>0</v>
      </c>
      <c r="AL1443" s="3" t="s">
        <v>83</v>
      </c>
    </row>
    <row r="1444" spans="1:38" x14ac:dyDescent="0.3">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v>4787</v>
      </c>
      <c r="S1444">
        <v>26124</v>
      </c>
      <c r="T1444">
        <v>9</v>
      </c>
      <c r="U1444" t="s">
        <v>35</v>
      </c>
      <c r="V1444">
        <v>14</v>
      </c>
      <c r="W1444">
        <v>3</v>
      </c>
      <c r="X1444">
        <v>2</v>
      </c>
      <c r="Y1444">
        <v>3</v>
      </c>
      <c r="Z1444">
        <v>4</v>
      </c>
      <c r="AA1444">
        <v>3</v>
      </c>
      <c r="AB1444">
        <v>4</v>
      </c>
      <c r="AC1444">
        <v>2</v>
      </c>
      <c r="AD1444">
        <v>2</v>
      </c>
      <c r="AE1444">
        <v>2</v>
      </c>
      <c r="AF1444">
        <v>2</v>
      </c>
      <c r="AG1444" t="s">
        <v>67</v>
      </c>
      <c r="AH1444">
        <v>1</v>
      </c>
      <c r="AI1444" t="s">
        <v>69</v>
      </c>
      <c r="AJ1444" s="3" t="s">
        <v>82</v>
      </c>
      <c r="AK1444" s="3">
        <v>2</v>
      </c>
      <c r="AL1444" s="3" t="s">
        <v>84</v>
      </c>
    </row>
    <row r="1445" spans="1:38" x14ac:dyDescent="0.3">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v>18880</v>
      </c>
      <c r="S1445">
        <v>17312</v>
      </c>
      <c r="T1445">
        <v>5</v>
      </c>
      <c r="U1445" t="s">
        <v>43</v>
      </c>
      <c r="V1445">
        <v>11</v>
      </c>
      <c r="W1445">
        <v>3</v>
      </c>
      <c r="X1445">
        <v>1</v>
      </c>
      <c r="Y1445">
        <v>0</v>
      </c>
      <c r="Z1445">
        <v>24</v>
      </c>
      <c r="AA1445">
        <v>2</v>
      </c>
      <c r="AB1445">
        <v>2</v>
      </c>
      <c r="AC1445">
        <v>22</v>
      </c>
      <c r="AD1445">
        <v>6</v>
      </c>
      <c r="AE1445">
        <v>4</v>
      </c>
      <c r="AF1445">
        <v>14</v>
      </c>
      <c r="AG1445" t="s">
        <v>65</v>
      </c>
      <c r="AH1445">
        <v>0</v>
      </c>
      <c r="AI1445" t="s">
        <v>72</v>
      </c>
      <c r="AJ1445" s="3" t="s">
        <v>84</v>
      </c>
      <c r="AK1445" s="3">
        <v>0</v>
      </c>
      <c r="AL1445" s="3" t="s">
        <v>83</v>
      </c>
    </row>
    <row r="1446" spans="1:38" x14ac:dyDescent="0.3">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v>2339</v>
      </c>
      <c r="S1446">
        <v>3666</v>
      </c>
      <c r="T1446">
        <v>8</v>
      </c>
      <c r="U1446" t="s">
        <v>43</v>
      </c>
      <c r="V1446">
        <v>11</v>
      </c>
      <c r="W1446">
        <v>3</v>
      </c>
      <c r="X1446">
        <v>4</v>
      </c>
      <c r="Y1446">
        <v>1</v>
      </c>
      <c r="Z1446">
        <v>14</v>
      </c>
      <c r="AA1446">
        <v>4</v>
      </c>
      <c r="AB1446">
        <v>1</v>
      </c>
      <c r="AC1446">
        <v>10</v>
      </c>
      <c r="AD1446">
        <v>9</v>
      </c>
      <c r="AE1446">
        <v>9</v>
      </c>
      <c r="AF1446">
        <v>8</v>
      </c>
      <c r="AG1446" t="s">
        <v>65</v>
      </c>
      <c r="AH1446">
        <v>1</v>
      </c>
      <c r="AI1446" t="s">
        <v>70</v>
      </c>
      <c r="AJ1446" s="3" t="s">
        <v>84</v>
      </c>
      <c r="AK1446" s="3">
        <v>0</v>
      </c>
      <c r="AL1446" s="3" t="s">
        <v>83</v>
      </c>
    </row>
    <row r="1447" spans="1:38" x14ac:dyDescent="0.3">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v>13570</v>
      </c>
      <c r="S1447">
        <v>5640</v>
      </c>
      <c r="T1447">
        <v>0</v>
      </c>
      <c r="U1447" t="s">
        <v>43</v>
      </c>
      <c r="V1447">
        <v>23</v>
      </c>
      <c r="W1447">
        <v>4</v>
      </c>
      <c r="X1447">
        <v>3</v>
      </c>
      <c r="Y1447">
        <v>1</v>
      </c>
      <c r="Z1447">
        <v>21</v>
      </c>
      <c r="AA1447">
        <v>3</v>
      </c>
      <c r="AB1447">
        <v>3</v>
      </c>
      <c r="AC1447">
        <v>20</v>
      </c>
      <c r="AD1447">
        <v>7</v>
      </c>
      <c r="AE1447">
        <v>0</v>
      </c>
      <c r="AF1447">
        <v>10</v>
      </c>
      <c r="AG1447" t="s">
        <v>65</v>
      </c>
      <c r="AH1447">
        <v>0</v>
      </c>
      <c r="AI1447" t="s">
        <v>69</v>
      </c>
      <c r="AJ1447" s="3" t="s">
        <v>83</v>
      </c>
      <c r="AK1447" s="3">
        <v>1</v>
      </c>
      <c r="AL1447" s="3" t="s">
        <v>83</v>
      </c>
    </row>
    <row r="1448" spans="1:38" x14ac:dyDescent="0.3">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v>6712</v>
      </c>
      <c r="S1448">
        <v>8978</v>
      </c>
      <c r="T1448">
        <v>1</v>
      </c>
      <c r="U1448" t="s">
        <v>43</v>
      </c>
      <c r="V1448">
        <v>21</v>
      </c>
      <c r="W1448">
        <v>4</v>
      </c>
      <c r="X1448">
        <v>4</v>
      </c>
      <c r="Y1448">
        <v>2</v>
      </c>
      <c r="Z1448">
        <v>8</v>
      </c>
      <c r="AA1448">
        <v>2</v>
      </c>
      <c r="AB1448">
        <v>3</v>
      </c>
      <c r="AC1448">
        <v>8</v>
      </c>
      <c r="AD1448">
        <v>7</v>
      </c>
      <c r="AE1448">
        <v>1</v>
      </c>
      <c r="AF1448">
        <v>7</v>
      </c>
      <c r="AG1448" t="s">
        <v>65</v>
      </c>
      <c r="AH1448">
        <v>0</v>
      </c>
      <c r="AI1448" t="s">
        <v>70</v>
      </c>
      <c r="AJ1448" s="3" t="s">
        <v>84</v>
      </c>
      <c r="AK1448" s="3">
        <v>0</v>
      </c>
      <c r="AL1448" s="3" t="s">
        <v>83</v>
      </c>
    </row>
    <row r="1449" spans="1:38" x14ac:dyDescent="0.3">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v>5406</v>
      </c>
      <c r="S1449">
        <v>10436</v>
      </c>
      <c r="T1449">
        <v>1</v>
      </c>
      <c r="U1449" t="s">
        <v>43</v>
      </c>
      <c r="V1449">
        <v>24</v>
      </c>
      <c r="W1449">
        <v>4</v>
      </c>
      <c r="X1449">
        <v>1</v>
      </c>
      <c r="Y1449">
        <v>1</v>
      </c>
      <c r="Z1449">
        <v>15</v>
      </c>
      <c r="AA1449">
        <v>4</v>
      </c>
      <c r="AB1449">
        <v>2</v>
      </c>
      <c r="AC1449">
        <v>15</v>
      </c>
      <c r="AD1449">
        <v>12</v>
      </c>
      <c r="AE1449">
        <v>11</v>
      </c>
      <c r="AF1449">
        <v>11</v>
      </c>
      <c r="AG1449" t="s">
        <v>65</v>
      </c>
      <c r="AH1449">
        <v>0</v>
      </c>
      <c r="AI1449" t="s">
        <v>71</v>
      </c>
      <c r="AJ1449" s="3" t="s">
        <v>82</v>
      </c>
      <c r="AK1449" s="3">
        <v>0</v>
      </c>
      <c r="AL1449" s="3" t="s">
        <v>83</v>
      </c>
    </row>
    <row r="1450" spans="1:38" x14ac:dyDescent="0.3">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v>8938</v>
      </c>
      <c r="S1450">
        <v>12227</v>
      </c>
      <c r="T1450">
        <v>2</v>
      </c>
      <c r="U1450" t="s">
        <v>43</v>
      </c>
      <c r="V1450">
        <v>11</v>
      </c>
      <c r="W1450">
        <v>3</v>
      </c>
      <c r="X1450">
        <v>3</v>
      </c>
      <c r="Y1450">
        <v>1</v>
      </c>
      <c r="Z1450">
        <v>14</v>
      </c>
      <c r="AA1450">
        <v>5</v>
      </c>
      <c r="AB1450">
        <v>3</v>
      </c>
      <c r="AC1450">
        <v>5</v>
      </c>
      <c r="AD1450">
        <v>4</v>
      </c>
      <c r="AE1450">
        <v>0</v>
      </c>
      <c r="AF1450">
        <v>4</v>
      </c>
      <c r="AG1450" t="s">
        <v>68</v>
      </c>
      <c r="AH1450">
        <v>0</v>
      </c>
      <c r="AI1450" t="s">
        <v>71</v>
      </c>
      <c r="AJ1450" s="3" t="s">
        <v>83</v>
      </c>
      <c r="AK1450" s="3">
        <v>1</v>
      </c>
      <c r="AL1450" s="3" t="s">
        <v>83</v>
      </c>
    </row>
    <row r="1451" spans="1:38" x14ac:dyDescent="0.3">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v>2439</v>
      </c>
      <c r="S1451">
        <v>11288</v>
      </c>
      <c r="T1451">
        <v>1</v>
      </c>
      <c r="U1451" t="s">
        <v>43</v>
      </c>
      <c r="V1451">
        <v>14</v>
      </c>
      <c r="W1451">
        <v>3</v>
      </c>
      <c r="X1451">
        <v>4</v>
      </c>
      <c r="Y1451">
        <v>0</v>
      </c>
      <c r="Z1451">
        <v>4</v>
      </c>
      <c r="AA1451">
        <v>4</v>
      </c>
      <c r="AB1451">
        <v>3</v>
      </c>
      <c r="AC1451">
        <v>4</v>
      </c>
      <c r="AD1451">
        <v>2</v>
      </c>
      <c r="AE1451">
        <v>1</v>
      </c>
      <c r="AF1451">
        <v>2</v>
      </c>
      <c r="AG1451" t="s">
        <v>68</v>
      </c>
      <c r="AH1451">
        <v>0</v>
      </c>
      <c r="AI1451" t="s">
        <v>70</v>
      </c>
      <c r="AJ1451" s="3" t="s">
        <v>83</v>
      </c>
      <c r="AK1451" s="3">
        <v>1</v>
      </c>
      <c r="AL1451" s="3" t="s">
        <v>83</v>
      </c>
    </row>
    <row r="1452" spans="1:38" x14ac:dyDescent="0.3">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v>8837</v>
      </c>
      <c r="S1452">
        <v>16642</v>
      </c>
      <c r="T1452">
        <v>1</v>
      </c>
      <c r="U1452" t="s">
        <v>35</v>
      </c>
      <c r="V1452">
        <v>16</v>
      </c>
      <c r="W1452">
        <v>3</v>
      </c>
      <c r="X1452">
        <v>3</v>
      </c>
      <c r="Y1452">
        <v>0</v>
      </c>
      <c r="Z1452">
        <v>9</v>
      </c>
      <c r="AA1452">
        <v>2</v>
      </c>
      <c r="AB1452">
        <v>3</v>
      </c>
      <c r="AC1452">
        <v>9</v>
      </c>
      <c r="AD1452">
        <v>0</v>
      </c>
      <c r="AE1452">
        <v>1</v>
      </c>
      <c r="AF1452">
        <v>7</v>
      </c>
      <c r="AG1452" t="s">
        <v>65</v>
      </c>
      <c r="AH1452">
        <v>0</v>
      </c>
      <c r="AI1452" t="s">
        <v>71</v>
      </c>
      <c r="AJ1452" s="3" t="s">
        <v>82</v>
      </c>
      <c r="AK1452" s="3">
        <v>1</v>
      </c>
      <c r="AL1452" s="3" t="s">
        <v>83</v>
      </c>
    </row>
    <row r="1453" spans="1:38" x14ac:dyDescent="0.3">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v>5343</v>
      </c>
      <c r="S1453">
        <v>5982</v>
      </c>
      <c r="T1453">
        <v>1</v>
      </c>
      <c r="U1453" t="s">
        <v>43</v>
      </c>
      <c r="V1453">
        <v>11</v>
      </c>
      <c r="W1453">
        <v>3</v>
      </c>
      <c r="X1453">
        <v>3</v>
      </c>
      <c r="Y1453">
        <v>1</v>
      </c>
      <c r="Z1453">
        <v>10</v>
      </c>
      <c r="AA1453">
        <v>1</v>
      </c>
      <c r="AB1453">
        <v>3</v>
      </c>
      <c r="AC1453">
        <v>10</v>
      </c>
      <c r="AD1453">
        <v>7</v>
      </c>
      <c r="AE1453">
        <v>1</v>
      </c>
      <c r="AF1453">
        <v>9</v>
      </c>
      <c r="AG1453" t="s">
        <v>65</v>
      </c>
      <c r="AH1453">
        <v>0</v>
      </c>
      <c r="AI1453" t="s">
        <v>71</v>
      </c>
      <c r="AJ1453" s="3" t="s">
        <v>82</v>
      </c>
      <c r="AK1453" s="3">
        <v>0</v>
      </c>
      <c r="AL1453" s="3" t="s">
        <v>83</v>
      </c>
    </row>
    <row r="1454" spans="1:38" x14ac:dyDescent="0.3">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v>6728</v>
      </c>
      <c r="S1454">
        <v>14255</v>
      </c>
      <c r="T1454">
        <v>7</v>
      </c>
      <c r="U1454" t="s">
        <v>43</v>
      </c>
      <c r="V1454">
        <v>12</v>
      </c>
      <c r="W1454">
        <v>3</v>
      </c>
      <c r="X1454">
        <v>4</v>
      </c>
      <c r="Y1454">
        <v>2</v>
      </c>
      <c r="Z1454">
        <v>12</v>
      </c>
      <c r="AA1454">
        <v>3</v>
      </c>
      <c r="AB1454">
        <v>3</v>
      </c>
      <c r="AC1454">
        <v>6</v>
      </c>
      <c r="AD1454">
        <v>3</v>
      </c>
      <c r="AE1454">
        <v>0</v>
      </c>
      <c r="AF1454">
        <v>1</v>
      </c>
      <c r="AG1454" t="s">
        <v>65</v>
      </c>
      <c r="AH1454">
        <v>1</v>
      </c>
      <c r="AI1454" t="s">
        <v>71</v>
      </c>
      <c r="AJ1454" s="3" t="s">
        <v>84</v>
      </c>
      <c r="AK1454" s="3">
        <v>0</v>
      </c>
      <c r="AL1454" s="3" t="s">
        <v>83</v>
      </c>
    </row>
    <row r="1455" spans="1:38" x14ac:dyDescent="0.3">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v>6652</v>
      </c>
      <c r="S1455">
        <v>14369</v>
      </c>
      <c r="T1455">
        <v>4</v>
      </c>
      <c r="U1455" t="s">
        <v>43</v>
      </c>
      <c r="V1455">
        <v>13</v>
      </c>
      <c r="W1455">
        <v>3</v>
      </c>
      <c r="X1455">
        <v>1</v>
      </c>
      <c r="Y1455">
        <v>1</v>
      </c>
      <c r="Z1455">
        <v>8</v>
      </c>
      <c r="AA1455">
        <v>2</v>
      </c>
      <c r="AB1455">
        <v>2</v>
      </c>
      <c r="AC1455">
        <v>6</v>
      </c>
      <c r="AD1455">
        <v>3</v>
      </c>
      <c r="AE1455">
        <v>0</v>
      </c>
      <c r="AF1455">
        <v>0</v>
      </c>
      <c r="AG1455" t="s">
        <v>65</v>
      </c>
      <c r="AH1455">
        <v>0</v>
      </c>
      <c r="AI1455" t="s">
        <v>69</v>
      </c>
      <c r="AJ1455" s="3" t="s">
        <v>82</v>
      </c>
      <c r="AK1455" s="3">
        <v>0</v>
      </c>
      <c r="AL1455" s="3" t="s">
        <v>83</v>
      </c>
    </row>
    <row r="1456" spans="1:38" x14ac:dyDescent="0.3">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v>4850</v>
      </c>
      <c r="S1456">
        <v>23333</v>
      </c>
      <c r="T1456">
        <v>8</v>
      </c>
      <c r="U1456" t="s">
        <v>43</v>
      </c>
      <c r="V1456">
        <v>15</v>
      </c>
      <c r="W1456">
        <v>3</v>
      </c>
      <c r="X1456">
        <v>3</v>
      </c>
      <c r="Y1456">
        <v>0</v>
      </c>
      <c r="Z1456">
        <v>8</v>
      </c>
      <c r="AA1456">
        <v>3</v>
      </c>
      <c r="AB1456">
        <v>3</v>
      </c>
      <c r="AC1456">
        <v>5</v>
      </c>
      <c r="AD1456">
        <v>3</v>
      </c>
      <c r="AE1456">
        <v>0</v>
      </c>
      <c r="AF1456">
        <v>1</v>
      </c>
      <c r="AG1456" t="s">
        <v>68</v>
      </c>
      <c r="AH1456">
        <v>0</v>
      </c>
      <c r="AI1456" t="s">
        <v>71</v>
      </c>
      <c r="AJ1456" s="3" t="s">
        <v>84</v>
      </c>
      <c r="AK1456" s="3">
        <v>0</v>
      </c>
      <c r="AL1456" s="3" t="s">
        <v>83</v>
      </c>
    </row>
    <row r="1457" spans="1:38" x14ac:dyDescent="0.3">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v>2809</v>
      </c>
      <c r="S1457">
        <v>2725</v>
      </c>
      <c r="T1457">
        <v>2</v>
      </c>
      <c r="U1457" t="s">
        <v>43</v>
      </c>
      <c r="V1457">
        <v>14</v>
      </c>
      <c r="W1457">
        <v>3</v>
      </c>
      <c r="X1457">
        <v>4</v>
      </c>
      <c r="Y1457">
        <v>0</v>
      </c>
      <c r="Z1457">
        <v>8</v>
      </c>
      <c r="AA1457">
        <v>2</v>
      </c>
      <c r="AB1457">
        <v>3</v>
      </c>
      <c r="AC1457">
        <v>2</v>
      </c>
      <c r="AD1457">
        <v>2</v>
      </c>
      <c r="AE1457">
        <v>2</v>
      </c>
      <c r="AF1457">
        <v>2</v>
      </c>
      <c r="AG1457" t="s">
        <v>67</v>
      </c>
      <c r="AH1457">
        <v>0</v>
      </c>
      <c r="AI1457" t="s">
        <v>70</v>
      </c>
      <c r="AJ1457" s="3" t="s">
        <v>84</v>
      </c>
      <c r="AK1457" s="3">
        <v>1</v>
      </c>
      <c r="AL1457" s="3" t="s">
        <v>83</v>
      </c>
    </row>
    <row r="1458" spans="1:38" x14ac:dyDescent="0.3">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v>5689</v>
      </c>
      <c r="S1458">
        <v>24594</v>
      </c>
      <c r="T1458">
        <v>1</v>
      </c>
      <c r="U1458" t="s">
        <v>35</v>
      </c>
      <c r="V1458">
        <v>14</v>
      </c>
      <c r="W1458">
        <v>3</v>
      </c>
      <c r="X1458">
        <v>4</v>
      </c>
      <c r="Y1458">
        <v>2</v>
      </c>
      <c r="Z1458">
        <v>10</v>
      </c>
      <c r="AA1458">
        <v>2</v>
      </c>
      <c r="AB1458">
        <v>4</v>
      </c>
      <c r="AC1458">
        <v>10</v>
      </c>
      <c r="AD1458">
        <v>2</v>
      </c>
      <c r="AE1458">
        <v>0</v>
      </c>
      <c r="AF1458">
        <v>2</v>
      </c>
      <c r="AG1458" t="s">
        <v>65</v>
      </c>
      <c r="AH1458">
        <v>0</v>
      </c>
      <c r="AI1458" t="s">
        <v>70</v>
      </c>
      <c r="AJ1458" s="3" t="s">
        <v>84</v>
      </c>
      <c r="AK1458" s="3">
        <v>1</v>
      </c>
      <c r="AL1458" s="3" t="s">
        <v>83</v>
      </c>
    </row>
    <row r="1459" spans="1:38" x14ac:dyDescent="0.3">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v>2001</v>
      </c>
      <c r="S1459">
        <v>12549</v>
      </c>
      <c r="T1459">
        <v>2</v>
      </c>
      <c r="U1459" t="s">
        <v>43</v>
      </c>
      <c r="V1459">
        <v>14</v>
      </c>
      <c r="W1459">
        <v>3</v>
      </c>
      <c r="X1459">
        <v>2</v>
      </c>
      <c r="Y1459">
        <v>3</v>
      </c>
      <c r="Z1459">
        <v>20</v>
      </c>
      <c r="AA1459">
        <v>2</v>
      </c>
      <c r="AB1459">
        <v>3</v>
      </c>
      <c r="AC1459">
        <v>5</v>
      </c>
      <c r="AD1459">
        <v>3</v>
      </c>
      <c r="AE1459">
        <v>0</v>
      </c>
      <c r="AF1459">
        <v>2</v>
      </c>
      <c r="AG1459" t="s">
        <v>68</v>
      </c>
      <c r="AH1459">
        <v>0</v>
      </c>
      <c r="AI1459" t="s">
        <v>71</v>
      </c>
      <c r="AJ1459" s="3" t="s">
        <v>84</v>
      </c>
      <c r="AK1459" s="3">
        <v>0</v>
      </c>
      <c r="AL1459" s="3" t="s">
        <v>83</v>
      </c>
    </row>
    <row r="1460" spans="1:38" x14ac:dyDescent="0.3">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v>2977</v>
      </c>
      <c r="S1460">
        <v>8952</v>
      </c>
      <c r="T1460">
        <v>1</v>
      </c>
      <c r="U1460" t="s">
        <v>43</v>
      </c>
      <c r="V1460">
        <v>12</v>
      </c>
      <c r="W1460">
        <v>3</v>
      </c>
      <c r="X1460">
        <v>4</v>
      </c>
      <c r="Y1460">
        <v>1</v>
      </c>
      <c r="Z1460">
        <v>4</v>
      </c>
      <c r="AA1460">
        <v>5</v>
      </c>
      <c r="AB1460">
        <v>3</v>
      </c>
      <c r="AC1460">
        <v>4</v>
      </c>
      <c r="AD1460">
        <v>3</v>
      </c>
      <c r="AE1460">
        <v>1</v>
      </c>
      <c r="AF1460">
        <v>1</v>
      </c>
      <c r="AG1460" t="s">
        <v>68</v>
      </c>
      <c r="AH1460">
        <v>0</v>
      </c>
      <c r="AI1460" t="s">
        <v>70</v>
      </c>
      <c r="AJ1460" s="3" t="s">
        <v>82</v>
      </c>
      <c r="AK1460" s="3">
        <v>0</v>
      </c>
      <c r="AL1460" s="3" t="s">
        <v>83</v>
      </c>
    </row>
    <row r="1461" spans="1:38" x14ac:dyDescent="0.3">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v>4025</v>
      </c>
      <c r="S1461">
        <v>23679</v>
      </c>
      <c r="T1461">
        <v>4</v>
      </c>
      <c r="U1461" t="s">
        <v>35</v>
      </c>
      <c r="V1461">
        <v>13</v>
      </c>
      <c r="W1461">
        <v>3</v>
      </c>
      <c r="X1461">
        <v>1</v>
      </c>
      <c r="Y1461">
        <v>1</v>
      </c>
      <c r="Z1461">
        <v>10</v>
      </c>
      <c r="AA1461">
        <v>2</v>
      </c>
      <c r="AB1461">
        <v>3</v>
      </c>
      <c r="AC1461">
        <v>4</v>
      </c>
      <c r="AD1461">
        <v>3</v>
      </c>
      <c r="AE1461">
        <v>0</v>
      </c>
      <c r="AF1461">
        <v>3</v>
      </c>
      <c r="AG1461" t="s">
        <v>68</v>
      </c>
      <c r="AH1461">
        <v>0</v>
      </c>
      <c r="AI1461" t="s">
        <v>71</v>
      </c>
      <c r="AJ1461" s="3" t="s">
        <v>83</v>
      </c>
      <c r="AK1461" s="3">
        <v>2</v>
      </c>
      <c r="AL1461" s="3" t="s">
        <v>84</v>
      </c>
    </row>
    <row r="1462" spans="1:38" x14ac:dyDescent="0.3">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v>3785</v>
      </c>
      <c r="S1462">
        <v>8489</v>
      </c>
      <c r="T1462">
        <v>1</v>
      </c>
      <c r="U1462" t="s">
        <v>43</v>
      </c>
      <c r="V1462">
        <v>14</v>
      </c>
      <c r="W1462">
        <v>3</v>
      </c>
      <c r="X1462">
        <v>2</v>
      </c>
      <c r="Y1462">
        <v>0</v>
      </c>
      <c r="Z1462">
        <v>5</v>
      </c>
      <c r="AA1462">
        <v>3</v>
      </c>
      <c r="AB1462">
        <v>1</v>
      </c>
      <c r="AC1462">
        <v>5</v>
      </c>
      <c r="AD1462">
        <v>4</v>
      </c>
      <c r="AE1462">
        <v>0</v>
      </c>
      <c r="AF1462">
        <v>4</v>
      </c>
      <c r="AG1462" t="s">
        <v>68</v>
      </c>
      <c r="AH1462">
        <v>0</v>
      </c>
      <c r="AI1462" t="s">
        <v>72</v>
      </c>
      <c r="AJ1462" s="3" t="s">
        <v>83</v>
      </c>
      <c r="AK1462" s="3">
        <v>1</v>
      </c>
      <c r="AL1462" s="3" t="s">
        <v>83</v>
      </c>
    </row>
    <row r="1463" spans="1:38" x14ac:dyDescent="0.3">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v>10854</v>
      </c>
      <c r="S1463">
        <v>16586</v>
      </c>
      <c r="T1463">
        <v>4</v>
      </c>
      <c r="U1463" t="s">
        <v>35</v>
      </c>
      <c r="V1463">
        <v>13</v>
      </c>
      <c r="W1463">
        <v>3</v>
      </c>
      <c r="X1463">
        <v>2</v>
      </c>
      <c r="Y1463">
        <v>1</v>
      </c>
      <c r="Z1463">
        <v>20</v>
      </c>
      <c r="AA1463">
        <v>3</v>
      </c>
      <c r="AB1463">
        <v>3</v>
      </c>
      <c r="AC1463">
        <v>3</v>
      </c>
      <c r="AD1463">
        <v>2</v>
      </c>
      <c r="AE1463">
        <v>2</v>
      </c>
      <c r="AF1463">
        <v>0</v>
      </c>
      <c r="AG1463" t="s">
        <v>67</v>
      </c>
      <c r="AH1463">
        <v>1</v>
      </c>
      <c r="AI1463" t="s">
        <v>72</v>
      </c>
      <c r="AJ1463" s="3" t="s">
        <v>83</v>
      </c>
      <c r="AK1463" s="3">
        <v>3</v>
      </c>
      <c r="AL1463" s="3" t="s">
        <v>82</v>
      </c>
    </row>
    <row r="1464" spans="1:38" x14ac:dyDescent="0.3">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v>12031</v>
      </c>
      <c r="S1464">
        <v>8828</v>
      </c>
      <c r="T1464">
        <v>0</v>
      </c>
      <c r="U1464" t="s">
        <v>43</v>
      </c>
      <c r="V1464">
        <v>11</v>
      </c>
      <c r="W1464">
        <v>3</v>
      </c>
      <c r="X1464">
        <v>1</v>
      </c>
      <c r="Y1464">
        <v>1</v>
      </c>
      <c r="Z1464">
        <v>21</v>
      </c>
      <c r="AA1464">
        <v>2</v>
      </c>
      <c r="AB1464">
        <v>2</v>
      </c>
      <c r="AC1464">
        <v>20</v>
      </c>
      <c r="AD1464">
        <v>9</v>
      </c>
      <c r="AE1464">
        <v>9</v>
      </c>
      <c r="AF1464">
        <v>6</v>
      </c>
      <c r="AG1464" t="s">
        <v>65</v>
      </c>
      <c r="AH1464">
        <v>0</v>
      </c>
      <c r="AI1464" t="s">
        <v>69</v>
      </c>
      <c r="AJ1464" s="3" t="s">
        <v>82</v>
      </c>
      <c r="AK1464" s="3">
        <v>0</v>
      </c>
      <c r="AL1464" s="3" t="s">
        <v>83</v>
      </c>
    </row>
    <row r="1465" spans="1:38" x14ac:dyDescent="0.3">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v>9936</v>
      </c>
      <c r="S1465">
        <v>3787</v>
      </c>
      <c r="T1465">
        <v>0</v>
      </c>
      <c r="U1465" t="s">
        <v>43</v>
      </c>
      <c r="V1465">
        <v>19</v>
      </c>
      <c r="W1465">
        <v>3</v>
      </c>
      <c r="X1465">
        <v>2</v>
      </c>
      <c r="Y1465">
        <v>0</v>
      </c>
      <c r="Z1465">
        <v>10</v>
      </c>
      <c r="AA1465">
        <v>2</v>
      </c>
      <c r="AB1465">
        <v>3</v>
      </c>
      <c r="AC1465">
        <v>9</v>
      </c>
      <c r="AD1465">
        <v>4</v>
      </c>
      <c r="AE1465">
        <v>1</v>
      </c>
      <c r="AF1465">
        <v>7</v>
      </c>
      <c r="AG1465" t="s">
        <v>65</v>
      </c>
      <c r="AH1465">
        <v>0</v>
      </c>
      <c r="AI1465" t="s">
        <v>71</v>
      </c>
      <c r="AJ1465" s="3" t="s">
        <v>83</v>
      </c>
      <c r="AK1465" s="3">
        <v>1</v>
      </c>
      <c r="AL1465" s="3" t="s">
        <v>83</v>
      </c>
    </row>
    <row r="1466" spans="1:38" x14ac:dyDescent="0.3">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v>2966</v>
      </c>
      <c r="S1466">
        <v>21378</v>
      </c>
      <c r="T1466">
        <v>0</v>
      </c>
      <c r="U1466" t="s">
        <v>43</v>
      </c>
      <c r="V1466">
        <v>18</v>
      </c>
      <c r="W1466">
        <v>3</v>
      </c>
      <c r="X1466">
        <v>4</v>
      </c>
      <c r="Y1466">
        <v>0</v>
      </c>
      <c r="Z1466">
        <v>5</v>
      </c>
      <c r="AA1466">
        <v>2</v>
      </c>
      <c r="AB1466">
        <v>3</v>
      </c>
      <c r="AC1466">
        <v>4</v>
      </c>
      <c r="AD1466">
        <v>2</v>
      </c>
      <c r="AE1466">
        <v>0</v>
      </c>
      <c r="AF1466">
        <v>0</v>
      </c>
      <c r="AG1466" t="s">
        <v>68</v>
      </c>
      <c r="AH1466">
        <v>0</v>
      </c>
      <c r="AI1466" t="s">
        <v>71</v>
      </c>
      <c r="AJ1466" s="3" t="s">
        <v>84</v>
      </c>
      <c r="AK1466" s="3">
        <v>0</v>
      </c>
      <c r="AL1466" s="3" t="s">
        <v>83</v>
      </c>
    </row>
    <row r="1467" spans="1:38" x14ac:dyDescent="0.3">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v>2571</v>
      </c>
      <c r="S1467">
        <v>12290</v>
      </c>
      <c r="T1467">
        <v>4</v>
      </c>
      <c r="U1467" t="s">
        <v>43</v>
      </c>
      <c r="V1467">
        <v>17</v>
      </c>
      <c r="W1467">
        <v>3</v>
      </c>
      <c r="X1467">
        <v>3</v>
      </c>
      <c r="Y1467">
        <v>1</v>
      </c>
      <c r="Z1467">
        <v>17</v>
      </c>
      <c r="AA1467">
        <v>3</v>
      </c>
      <c r="AB1467">
        <v>3</v>
      </c>
      <c r="AC1467">
        <v>5</v>
      </c>
      <c r="AD1467">
        <v>2</v>
      </c>
      <c r="AE1467">
        <v>0</v>
      </c>
      <c r="AF1467">
        <v>3</v>
      </c>
      <c r="AG1467" t="s">
        <v>68</v>
      </c>
      <c r="AH1467">
        <v>0</v>
      </c>
      <c r="AI1467" t="s">
        <v>72</v>
      </c>
      <c r="AJ1467" s="3" t="s">
        <v>82</v>
      </c>
      <c r="AK1467" s="3">
        <v>0</v>
      </c>
      <c r="AL1467" s="3" t="s">
        <v>83</v>
      </c>
    </row>
    <row r="1468" spans="1:38" x14ac:dyDescent="0.3">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v>9991</v>
      </c>
      <c r="S1468">
        <v>21457</v>
      </c>
      <c r="T1468">
        <v>4</v>
      </c>
      <c r="U1468" t="s">
        <v>43</v>
      </c>
      <c r="V1468">
        <v>15</v>
      </c>
      <c r="W1468">
        <v>3</v>
      </c>
      <c r="X1468">
        <v>1</v>
      </c>
      <c r="Y1468">
        <v>1</v>
      </c>
      <c r="Z1468">
        <v>9</v>
      </c>
      <c r="AA1468">
        <v>5</v>
      </c>
      <c r="AB1468">
        <v>3</v>
      </c>
      <c r="AC1468">
        <v>7</v>
      </c>
      <c r="AD1468">
        <v>7</v>
      </c>
      <c r="AE1468">
        <v>1</v>
      </c>
      <c r="AF1468">
        <v>7</v>
      </c>
      <c r="AG1468" t="s">
        <v>65</v>
      </c>
      <c r="AH1468">
        <v>0</v>
      </c>
      <c r="AI1468" t="s">
        <v>71</v>
      </c>
      <c r="AJ1468" s="3" t="s">
        <v>83</v>
      </c>
      <c r="AK1468" s="3">
        <v>1</v>
      </c>
      <c r="AL1468" s="3" t="s">
        <v>83</v>
      </c>
    </row>
    <row r="1469" spans="1:38" x14ac:dyDescent="0.3">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v>6142</v>
      </c>
      <c r="S1469">
        <v>5174</v>
      </c>
      <c r="T1469">
        <v>1</v>
      </c>
      <c r="U1469" t="s">
        <v>35</v>
      </c>
      <c r="V1469">
        <v>20</v>
      </c>
      <c r="W1469">
        <v>4</v>
      </c>
      <c r="X1469">
        <v>2</v>
      </c>
      <c r="Y1469">
        <v>1</v>
      </c>
      <c r="Z1469">
        <v>6</v>
      </c>
      <c r="AA1469">
        <v>0</v>
      </c>
      <c r="AB1469">
        <v>3</v>
      </c>
      <c r="AC1469">
        <v>6</v>
      </c>
      <c r="AD1469">
        <v>2</v>
      </c>
      <c r="AE1469">
        <v>0</v>
      </c>
      <c r="AF1469">
        <v>3</v>
      </c>
      <c r="AG1469" t="s">
        <v>65</v>
      </c>
      <c r="AH1469">
        <v>0</v>
      </c>
      <c r="AI1469" t="s">
        <v>71</v>
      </c>
      <c r="AJ1469" s="3" t="s">
        <v>83</v>
      </c>
      <c r="AK1469" s="3">
        <v>2</v>
      </c>
      <c r="AL1469" s="3" t="s">
        <v>84</v>
      </c>
    </row>
    <row r="1470" spans="1:38" x14ac:dyDescent="0.3">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v>5390</v>
      </c>
      <c r="S1470">
        <v>13243</v>
      </c>
      <c r="T1470">
        <v>2</v>
      </c>
      <c r="U1470" t="s">
        <v>43</v>
      </c>
      <c r="V1470">
        <v>14</v>
      </c>
      <c r="W1470">
        <v>3</v>
      </c>
      <c r="X1470">
        <v>4</v>
      </c>
      <c r="Y1470">
        <v>0</v>
      </c>
      <c r="Z1470">
        <v>17</v>
      </c>
      <c r="AA1470">
        <v>3</v>
      </c>
      <c r="AB1470">
        <v>2</v>
      </c>
      <c r="AC1470">
        <v>9</v>
      </c>
      <c r="AD1470">
        <v>6</v>
      </c>
      <c r="AE1470">
        <v>0</v>
      </c>
      <c r="AF1470">
        <v>8</v>
      </c>
      <c r="AG1470" t="s">
        <v>65</v>
      </c>
      <c r="AH1470">
        <v>0</v>
      </c>
      <c r="AI1470" t="s">
        <v>72</v>
      </c>
      <c r="AJ1470" s="3" t="s">
        <v>83</v>
      </c>
      <c r="AK1470" s="3">
        <v>1</v>
      </c>
      <c r="AL1470" s="3" t="s">
        <v>83</v>
      </c>
    </row>
    <row r="1471" spans="1:38" x14ac:dyDescent="0.3">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v>4404</v>
      </c>
      <c r="S1471">
        <v>10228</v>
      </c>
      <c r="T1471">
        <v>2</v>
      </c>
      <c r="U1471" t="s">
        <v>43</v>
      </c>
      <c r="V1471">
        <v>12</v>
      </c>
      <c r="W1471">
        <v>3</v>
      </c>
      <c r="X1471">
        <v>1</v>
      </c>
      <c r="Y1471">
        <v>0</v>
      </c>
      <c r="Z1471">
        <v>6</v>
      </c>
      <c r="AA1471">
        <v>3</v>
      </c>
      <c r="AB1471">
        <v>4</v>
      </c>
      <c r="AC1471">
        <v>4</v>
      </c>
      <c r="AD1471">
        <v>3</v>
      </c>
      <c r="AE1471">
        <v>1</v>
      </c>
      <c r="AF1471">
        <v>2</v>
      </c>
      <c r="AG1471" t="s">
        <v>68</v>
      </c>
      <c r="AH1471">
        <v>0</v>
      </c>
      <c r="AI1471" t="s">
        <v>70</v>
      </c>
      <c r="AJ1471" s="3" t="s">
        <v>84</v>
      </c>
      <c r="AK1471" s="3">
        <v>0</v>
      </c>
      <c r="AL1471" s="3" t="s">
        <v>83</v>
      </c>
    </row>
  </sheetData>
  <sheetProtection algorithmName="SHA-512" hashValue="6T2nBCOab8Su/d6PZlZxCYgsAQzqO4vjkLo8pEf+N1DxN+Lu89lLBs4fPv2a1ZHsKIONR4zSxdiWC612LdMyIA==" saltValue="U5qjY9nO2+SYUDejYbp2VQ==" spinCount="100000" sheet="1" objects="1" scenarios="1" selectLockedCells="1" selectUnlockedCells="1"/>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BF361-2651-40C0-AAA2-B38AF68BF9C7}">
  <dimension ref="A1:B8"/>
  <sheetViews>
    <sheetView workbookViewId="0">
      <selection activeCell="A8" sqref="A8"/>
    </sheetView>
  </sheetViews>
  <sheetFormatPr defaultRowHeight="14.4" x14ac:dyDescent="0.3"/>
  <cols>
    <col min="1" max="1" width="25.3984375" customWidth="1"/>
    <col min="5" max="5" width="11.796875" customWidth="1"/>
  </cols>
  <sheetData>
    <row r="1" spans="1:2" x14ac:dyDescent="0.3">
      <c r="A1" t="s">
        <v>76</v>
      </c>
      <c r="B1" t="s">
        <v>77</v>
      </c>
    </row>
    <row r="2" spans="1:2" x14ac:dyDescent="0.3">
      <c r="A2" t="s">
        <v>75</v>
      </c>
      <c r="B2">
        <f xml:space="preserve"> COUNTA(DataTable[EmployeeNumber])</f>
        <v>1470</v>
      </c>
    </row>
    <row r="3" spans="1:2" x14ac:dyDescent="0.3">
      <c r="A3" t="s">
        <v>73</v>
      </c>
      <c r="B3">
        <f>SUM(DataTable[Attrition Flag])</f>
        <v>237</v>
      </c>
    </row>
    <row r="4" spans="1:2" x14ac:dyDescent="0.3">
      <c r="A4" t="s">
        <v>78</v>
      </c>
      <c r="B4" s="1">
        <f>AVERAGE(DataTable[YearsAtCompany])</f>
        <v>7.0081632653061225</v>
      </c>
    </row>
    <row r="5" spans="1:2" x14ac:dyDescent="0.3">
      <c r="A5" t="s">
        <v>79</v>
      </c>
      <c r="B5" s="1">
        <f>AVERAGEIFS(DataTable[YearsAtCompany],DataTable[Attrition Flag], 1)</f>
        <v>5.1308016877637135</v>
      </c>
    </row>
    <row r="6" spans="1:2" x14ac:dyDescent="0.3">
      <c r="A6" t="s">
        <v>74</v>
      </c>
      <c r="B6" s="2">
        <f>B3/B2</f>
        <v>0.16122448979591836</v>
      </c>
    </row>
    <row r="7" spans="1:2" x14ac:dyDescent="0.3">
      <c r="A7" t="s">
        <v>80</v>
      </c>
      <c r="B7" s="2">
        <f>(COUNTIFS(DataTable[Attrition Flag],1,DataTable[TenureBand],"1-3"))/ (COUNTIFS(DataTable[TenureBand], "1-3"))</f>
        <v>0.24882629107981222</v>
      </c>
    </row>
    <row r="8" spans="1:2" x14ac:dyDescent="0.3">
      <c r="A8" t="s">
        <v>85</v>
      </c>
      <c r="B8">
        <f>COUNTIFS(DataTable[Risk Level],"High")</f>
        <v>56</v>
      </c>
    </row>
  </sheetData>
  <sheetProtection algorithmName="SHA-512" hashValue="ZhlsmFjIfBVBZDZqUCxZLuptqDQcvcxYVN1rgz4VTc64CnOAS5DxyKo8EZEmm57O8FxS2mRZuinOX4o0zw8UwA==" saltValue="/L+5lCaR+Y8qhu1RJ19w5g==" spinCount="100000" sheet="1" objects="1" scenarios="1" selectLockedCells="1"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19BF-DDA7-443F-B7D8-65F24C40490E}">
  <dimension ref="A1:E24"/>
  <sheetViews>
    <sheetView workbookViewId="0">
      <selection activeCell="D21" sqref="D21"/>
    </sheetView>
  </sheetViews>
  <sheetFormatPr defaultRowHeight="14.4" x14ac:dyDescent="0.3"/>
  <cols>
    <col min="1" max="1" width="21.3984375" bestFit="1" customWidth="1"/>
    <col min="2" max="2" width="19.59765625" bestFit="1" customWidth="1"/>
    <col min="4" max="4" width="19.69921875" bestFit="1" customWidth="1"/>
    <col min="5" max="5" width="19.59765625" bestFit="1" customWidth="1"/>
    <col min="6" max="6" width="22.296875" bestFit="1" customWidth="1"/>
    <col min="7" max="7" width="20.3984375" bestFit="1" customWidth="1"/>
    <col min="8" max="8" width="19.59765625" bestFit="1" customWidth="1"/>
    <col min="9" max="9" width="22.296875" bestFit="1" customWidth="1"/>
  </cols>
  <sheetData>
    <row r="1" spans="1:5" x14ac:dyDescent="0.3">
      <c r="A1" s="5" t="s">
        <v>4</v>
      </c>
      <c r="B1" t="s">
        <v>86</v>
      </c>
      <c r="D1" s="5" t="s">
        <v>88</v>
      </c>
      <c r="E1" t="s">
        <v>86</v>
      </c>
    </row>
    <row r="2" spans="1:5" x14ac:dyDescent="0.3">
      <c r="A2" s="6" t="s">
        <v>61</v>
      </c>
      <c r="B2" s="4">
        <v>0.19047619047619047</v>
      </c>
      <c r="D2" s="6" t="s">
        <v>66</v>
      </c>
      <c r="E2" s="4">
        <v>0.36363636363636365</v>
      </c>
    </row>
    <row r="3" spans="1:5" x14ac:dyDescent="0.3">
      <c r="A3" s="6" t="s">
        <v>45</v>
      </c>
      <c r="B3" s="4">
        <v>0.13839750260145681</v>
      </c>
      <c r="D3" s="6" t="s">
        <v>67</v>
      </c>
      <c r="E3" s="4">
        <v>0.24882629107981222</v>
      </c>
    </row>
    <row r="4" spans="1:5" x14ac:dyDescent="0.3">
      <c r="A4" s="6" t="s">
        <v>37</v>
      </c>
      <c r="B4" s="4">
        <v>0.20627802690582961</v>
      </c>
      <c r="D4" s="6" t="s">
        <v>68</v>
      </c>
      <c r="E4" s="4">
        <v>0.13071895424836602</v>
      </c>
    </row>
    <row r="5" spans="1:5" x14ac:dyDescent="0.3">
      <c r="A5" s="6" t="s">
        <v>87</v>
      </c>
      <c r="B5" s="4">
        <v>0.16122448979591836</v>
      </c>
      <c r="D5" s="6" t="s">
        <v>65</v>
      </c>
      <c r="E5" s="4">
        <v>0.10806916426512968</v>
      </c>
    </row>
    <row r="6" spans="1:5" x14ac:dyDescent="0.3">
      <c r="D6" s="6" t="s">
        <v>87</v>
      </c>
      <c r="E6" s="4">
        <v>0.16122448979591836</v>
      </c>
    </row>
    <row r="7" spans="1:5" x14ac:dyDescent="0.3">
      <c r="A7" s="5" t="s">
        <v>15</v>
      </c>
      <c r="B7" t="s">
        <v>86</v>
      </c>
    </row>
    <row r="8" spans="1:5" x14ac:dyDescent="0.3">
      <c r="A8" s="6" t="s">
        <v>54</v>
      </c>
      <c r="B8" s="4">
        <v>6.8702290076335881E-2</v>
      </c>
      <c r="D8" s="5" t="s">
        <v>22</v>
      </c>
      <c r="E8" t="s">
        <v>86</v>
      </c>
    </row>
    <row r="9" spans="1:5" x14ac:dyDescent="0.3">
      <c r="A9" s="6" t="s">
        <v>61</v>
      </c>
      <c r="B9" s="4">
        <v>0.23076923076923078</v>
      </c>
      <c r="D9" s="6" t="s">
        <v>43</v>
      </c>
      <c r="E9" s="4">
        <v>0.10436432637571158</v>
      </c>
    </row>
    <row r="10" spans="1:5" x14ac:dyDescent="0.3">
      <c r="A10" s="6" t="s">
        <v>50</v>
      </c>
      <c r="B10" s="4">
        <v>0.23938223938223938</v>
      </c>
      <c r="D10" s="6" t="s">
        <v>35</v>
      </c>
      <c r="E10" s="4">
        <v>0.30528846153846156</v>
      </c>
    </row>
    <row r="11" spans="1:5" x14ac:dyDescent="0.3">
      <c r="A11" s="6" t="s">
        <v>56</v>
      </c>
      <c r="B11" s="4">
        <v>4.9019607843137254E-2</v>
      </c>
      <c r="D11" s="6" t="s">
        <v>87</v>
      </c>
      <c r="E11" s="4">
        <v>0.16122448979591836</v>
      </c>
    </row>
    <row r="12" spans="1:5" x14ac:dyDescent="0.3">
      <c r="A12" s="6" t="s">
        <v>53</v>
      </c>
      <c r="B12" s="4">
        <v>6.8965517241379309E-2</v>
      </c>
    </row>
    <row r="13" spans="1:5" x14ac:dyDescent="0.3">
      <c r="A13" s="6" t="s">
        <v>58</v>
      </c>
      <c r="B13" s="4">
        <v>2.5000000000000001E-2</v>
      </c>
      <c r="D13" s="5" t="s">
        <v>91</v>
      </c>
      <c r="E13" t="s">
        <v>86</v>
      </c>
    </row>
    <row r="14" spans="1:5" x14ac:dyDescent="0.3">
      <c r="A14" s="6" t="s">
        <v>47</v>
      </c>
      <c r="B14" s="4">
        <v>0.16095890410958905</v>
      </c>
      <c r="D14" s="6" t="s">
        <v>82</v>
      </c>
      <c r="E14" s="4">
        <v>0.11328976034858387</v>
      </c>
    </row>
    <row r="15" spans="1:5" x14ac:dyDescent="0.3">
      <c r="A15" s="6" t="s">
        <v>40</v>
      </c>
      <c r="B15" s="4">
        <v>0.17484662576687116</v>
      </c>
      <c r="D15" s="6" t="s">
        <v>83</v>
      </c>
      <c r="E15" s="4">
        <v>0.19683655536028119</v>
      </c>
    </row>
    <row r="16" spans="1:5" x14ac:dyDescent="0.3">
      <c r="A16" s="6" t="s">
        <v>57</v>
      </c>
      <c r="B16" s="4">
        <v>0.39759036144578314</v>
      </c>
      <c r="D16" s="6" t="s">
        <v>84</v>
      </c>
      <c r="E16" s="4">
        <v>0.16515837104072398</v>
      </c>
    </row>
    <row r="17" spans="1:5" x14ac:dyDescent="0.3">
      <c r="A17" s="6" t="s">
        <v>87</v>
      </c>
      <c r="B17" s="4">
        <v>0.16122448979591836</v>
      </c>
      <c r="D17" s="6" t="s">
        <v>87</v>
      </c>
      <c r="E17" s="4">
        <v>0.16122448979591836</v>
      </c>
    </row>
    <row r="19" spans="1:5" x14ac:dyDescent="0.3">
      <c r="A19" s="5" t="s">
        <v>92</v>
      </c>
      <c r="B19" t="s">
        <v>86</v>
      </c>
    </row>
    <row r="20" spans="1:5" x14ac:dyDescent="0.3">
      <c r="A20" s="6">
        <v>1</v>
      </c>
      <c r="B20" s="4">
        <v>0.22837370242214533</v>
      </c>
    </row>
    <row r="21" spans="1:5" x14ac:dyDescent="0.3">
      <c r="A21" s="6">
        <v>2</v>
      </c>
      <c r="B21" s="4">
        <v>0.16428571428571428</v>
      </c>
    </row>
    <row r="22" spans="1:5" x14ac:dyDescent="0.3">
      <c r="A22" s="6">
        <v>3</v>
      </c>
      <c r="B22" s="4">
        <v>0.16515837104072398</v>
      </c>
    </row>
    <row r="23" spans="1:5" x14ac:dyDescent="0.3">
      <c r="A23" s="6">
        <v>4</v>
      </c>
      <c r="B23" s="4">
        <v>0.11328976034858387</v>
      </c>
    </row>
    <row r="24" spans="1:5" x14ac:dyDescent="0.3">
      <c r="A24" s="6" t="s">
        <v>87</v>
      </c>
      <c r="B24" s="4">
        <v>0.16122448979591836</v>
      </c>
    </row>
  </sheetData>
  <sheetProtection algorithmName="SHA-512" hashValue="fkf8HeTuoBkbQKHQAV0nM+butXWLq7V+mUgVs1YyAmk+gf54e90RwHrOGBLyRNjSMZNDNumOET8gFvOG1+c0Jg==" saltValue="AT3m5k3dYNWCbKP+5YuqNw==" spinCount="100000" sheet="1" objects="1" scenarios="1"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F3FF-10B9-4128-8476-0D2FA67D4C56}">
  <dimension ref="A1"/>
  <sheetViews>
    <sheetView tabSelected="1" zoomScale="70" zoomScaleNormal="70" workbookViewId="0">
      <selection activeCell="T10" sqref="T10"/>
    </sheetView>
  </sheetViews>
  <sheetFormatPr defaultRowHeight="14.4" x14ac:dyDescent="0.3"/>
  <sheetData/>
  <sheetProtection algorithmName="SHA-512" hashValue="IPqsKJutcV+eqYcCoxjSUA8vZKvkNzzcrhLeuXfDUuhex7iReyOxawJKfL/OpEH2IEnRtN2L+FSnkNhAf2cZ0Q==" saltValue="jI6jLyQUZA+dVTavAxvvVw=="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A0F225-79C8-4DDA-A3C7-FCBD046E0C97}">
  <ds:schemaRefs>
    <ds:schemaRef ds:uri="http://schemas.microsoft.com/DataMashup"/>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Clean Data</vt:lpstr>
      <vt:lpstr>Metrics</vt:lpstr>
      <vt:lpstr>Pivots</vt:lpstr>
      <vt:lpstr>DashBoard</vt:lpstr>
      <vt:lpstr>Metrics!Total_Employees</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KALLA</dc:creator>
  <cp:lastModifiedBy>PRIYANKA, KALLA</cp:lastModifiedBy>
  <dcterms:created xsi:type="dcterms:W3CDTF">2025-12-12T15:46:52Z</dcterms:created>
  <dcterms:modified xsi:type="dcterms:W3CDTF">2025-12-13T14:26:42Z</dcterms:modified>
</cp:coreProperties>
</file>